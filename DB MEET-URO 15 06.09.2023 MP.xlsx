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titutonazionaledeitumori-my.sharepoint.com/personal/sara_ferri_istitutotumori_mi_it/Documents/TESI/Article MeetURO/2026-03--revision/NEW_ANALYSIS/"/>
    </mc:Choice>
  </mc:AlternateContent>
  <xr:revisionPtr revIDLastSave="128" documentId="13_ncr:1_{4442AC21-6A4D-4D58-813B-34C0529006F3}" xr6:coauthVersionLast="47" xr6:coauthVersionMax="47" xr10:uidLastSave="{4F36C243-239B-42D4-8DA3-DCC4C546F5A8}"/>
  <bookViews>
    <workbookView xWindow="14295" yWindow="0" windowWidth="14610" windowHeight="15585" xr2:uid="{00000000-000D-0000-FFFF-FFFF00000000}"/>
  </bookViews>
  <sheets>
    <sheet name="dataset" sheetId="1" r:id="rId1"/>
  </sheets>
  <definedNames>
    <definedName name="_xlnm._FilterDatabase" localSheetId="0" hidden="1">dataset!$A$1:$CV$572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298" i="1" l="1"/>
  <c r="CQ295" i="1"/>
  <c r="CP295" i="1"/>
  <c r="CN295" i="1"/>
  <c r="CV295" i="1" l="1" a="1"/>
  <c r="CV295" i="1" s="1"/>
  <c r="CU295" i="1" a="1"/>
  <c r="CU295" i="1" s="1"/>
  <c r="CG3" i="1" l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G178" i="1"/>
  <c r="CG179" i="1"/>
  <c r="CG180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6" i="1"/>
  <c r="CG197" i="1"/>
  <c r="CG198" i="1"/>
  <c r="CG199" i="1"/>
  <c r="CG200" i="1"/>
  <c r="CG201" i="1"/>
  <c r="CG202" i="1"/>
  <c r="CG203" i="1"/>
  <c r="CG204" i="1"/>
  <c r="CG205" i="1"/>
  <c r="CG206" i="1"/>
  <c r="CG207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2" i="1"/>
  <c r="CG223" i="1"/>
  <c r="CG224" i="1"/>
  <c r="CG225" i="1"/>
  <c r="CG226" i="1"/>
  <c r="CG227" i="1"/>
  <c r="CG228" i="1"/>
  <c r="CG229" i="1"/>
  <c r="CG230" i="1"/>
  <c r="CG231" i="1"/>
  <c r="CG232" i="1"/>
  <c r="CG233" i="1"/>
  <c r="CG234" i="1"/>
  <c r="CG235" i="1"/>
  <c r="CG236" i="1"/>
  <c r="CG237" i="1"/>
  <c r="CG238" i="1"/>
  <c r="CG239" i="1"/>
  <c r="CG240" i="1"/>
  <c r="CG241" i="1"/>
  <c r="CG242" i="1"/>
  <c r="CG243" i="1"/>
  <c r="CG244" i="1"/>
  <c r="CG245" i="1"/>
  <c r="CG246" i="1"/>
  <c r="CG247" i="1"/>
  <c r="CG248" i="1"/>
  <c r="CG249" i="1"/>
  <c r="CG250" i="1"/>
  <c r="CG251" i="1"/>
  <c r="CG252" i="1"/>
  <c r="CG253" i="1"/>
  <c r="CG254" i="1"/>
  <c r="CG255" i="1"/>
  <c r="CG256" i="1"/>
  <c r="CG257" i="1"/>
  <c r="CG258" i="1"/>
  <c r="CG259" i="1"/>
  <c r="CG260" i="1"/>
  <c r="CG261" i="1"/>
  <c r="CG262" i="1"/>
  <c r="CG263" i="1"/>
  <c r="CG264" i="1"/>
  <c r="CG265" i="1"/>
  <c r="CG266" i="1"/>
  <c r="CG267" i="1"/>
  <c r="CG268" i="1"/>
  <c r="CG269" i="1"/>
  <c r="CG270" i="1"/>
  <c r="CG271" i="1"/>
  <c r="CG272" i="1"/>
  <c r="CG273" i="1"/>
  <c r="CG274" i="1"/>
  <c r="CG275" i="1"/>
  <c r="CG276" i="1"/>
  <c r="CG277" i="1"/>
  <c r="CG278" i="1"/>
  <c r="CG279" i="1"/>
  <c r="CG280" i="1"/>
  <c r="CG281" i="1"/>
  <c r="CG282" i="1"/>
  <c r="CG283" i="1"/>
  <c r="CG284" i="1"/>
  <c r="CG285" i="1"/>
  <c r="CG286" i="1"/>
  <c r="CG287" i="1"/>
  <c r="CG288" i="1"/>
  <c r="CG289" i="1"/>
  <c r="CG290" i="1"/>
  <c r="CG291" i="1"/>
  <c r="CG292" i="1"/>
  <c r="CG293" i="1"/>
  <c r="CG294" i="1"/>
  <c r="CG295" i="1"/>
  <c r="CG296" i="1"/>
  <c r="CG297" i="1"/>
  <c r="CG298" i="1"/>
  <c r="CG299" i="1"/>
  <c r="CG300" i="1"/>
  <c r="CG301" i="1"/>
  <c r="CG302" i="1"/>
  <c r="CG303" i="1"/>
  <c r="CG304" i="1"/>
  <c r="CG305" i="1"/>
  <c r="CG306" i="1"/>
  <c r="CG307" i="1"/>
  <c r="CG308" i="1"/>
  <c r="CG309" i="1"/>
  <c r="CG310" i="1"/>
  <c r="CG311" i="1"/>
  <c r="CG312" i="1"/>
  <c r="CG313" i="1"/>
  <c r="CG314" i="1"/>
  <c r="CG315" i="1"/>
  <c r="CG316" i="1"/>
  <c r="CG317" i="1"/>
  <c r="CG318" i="1"/>
  <c r="CG319" i="1"/>
  <c r="CG320" i="1"/>
  <c r="CG321" i="1"/>
  <c r="CG322" i="1"/>
  <c r="CG323" i="1"/>
  <c r="CG324" i="1"/>
  <c r="CG325" i="1"/>
  <c r="CG326" i="1"/>
  <c r="CG327" i="1"/>
  <c r="CG328" i="1"/>
  <c r="CG329" i="1"/>
  <c r="CG330" i="1"/>
  <c r="CG331" i="1"/>
  <c r="CG332" i="1"/>
  <c r="CG333" i="1"/>
  <c r="CG334" i="1"/>
  <c r="CG335" i="1"/>
  <c r="CG336" i="1"/>
  <c r="CG337" i="1"/>
  <c r="CG338" i="1"/>
  <c r="CG339" i="1"/>
  <c r="CG340" i="1"/>
  <c r="CG341" i="1"/>
  <c r="CG342" i="1"/>
  <c r="CG343" i="1"/>
  <c r="CG344" i="1"/>
  <c r="CG345" i="1"/>
  <c r="CG346" i="1"/>
  <c r="CG347" i="1"/>
  <c r="CG348" i="1"/>
  <c r="CG349" i="1"/>
  <c r="CG350" i="1"/>
  <c r="CG351" i="1"/>
  <c r="CG352" i="1"/>
  <c r="CG353" i="1"/>
  <c r="CG354" i="1"/>
  <c r="CG355" i="1"/>
  <c r="CG356" i="1"/>
  <c r="CG357" i="1"/>
  <c r="CG358" i="1"/>
  <c r="CG359" i="1"/>
  <c r="CG360" i="1"/>
  <c r="CG361" i="1"/>
  <c r="CG362" i="1"/>
  <c r="CG363" i="1"/>
  <c r="CG364" i="1"/>
  <c r="CG365" i="1"/>
  <c r="CG366" i="1"/>
  <c r="CG367" i="1"/>
  <c r="CG368" i="1"/>
  <c r="CG369" i="1"/>
  <c r="CG370" i="1"/>
  <c r="CG371" i="1"/>
  <c r="CG372" i="1"/>
  <c r="CG373" i="1"/>
  <c r="CG374" i="1"/>
  <c r="CG375" i="1"/>
  <c r="CG376" i="1"/>
  <c r="CG377" i="1"/>
  <c r="CG378" i="1"/>
  <c r="CG379" i="1"/>
  <c r="CG380" i="1"/>
  <c r="CG381" i="1"/>
  <c r="CG382" i="1"/>
  <c r="CG383" i="1"/>
  <c r="CG384" i="1"/>
  <c r="CG385" i="1"/>
  <c r="CG386" i="1"/>
  <c r="CG387" i="1"/>
  <c r="CG388" i="1"/>
  <c r="CG389" i="1"/>
  <c r="CG390" i="1"/>
  <c r="CG391" i="1"/>
  <c r="CG392" i="1"/>
  <c r="CG393" i="1"/>
  <c r="CG394" i="1"/>
  <c r="CG395" i="1"/>
  <c r="CG396" i="1"/>
  <c r="CG397" i="1"/>
  <c r="CG398" i="1"/>
  <c r="CG399" i="1"/>
  <c r="CG400" i="1"/>
  <c r="CG401" i="1"/>
  <c r="CG402" i="1"/>
  <c r="CG403" i="1"/>
  <c r="CG404" i="1"/>
  <c r="CG405" i="1"/>
  <c r="CG406" i="1"/>
  <c r="CG407" i="1"/>
  <c r="CG408" i="1"/>
  <c r="CG409" i="1"/>
  <c r="CG410" i="1"/>
  <c r="CG411" i="1"/>
  <c r="CG412" i="1"/>
  <c r="CG413" i="1"/>
  <c r="CG414" i="1"/>
  <c r="CG415" i="1"/>
  <c r="CG416" i="1"/>
  <c r="CG417" i="1"/>
  <c r="CG418" i="1"/>
  <c r="CG419" i="1"/>
  <c r="CG420" i="1"/>
  <c r="CG421" i="1"/>
  <c r="CG422" i="1"/>
  <c r="CG423" i="1"/>
  <c r="CG424" i="1"/>
  <c r="CG425" i="1"/>
  <c r="CG426" i="1"/>
  <c r="CG427" i="1"/>
  <c r="CG428" i="1"/>
  <c r="CG429" i="1"/>
  <c r="CG430" i="1"/>
  <c r="CG431" i="1"/>
  <c r="CG432" i="1"/>
  <c r="CG433" i="1"/>
  <c r="CG434" i="1"/>
  <c r="CG435" i="1"/>
  <c r="CG436" i="1"/>
  <c r="CG437" i="1"/>
  <c r="CG438" i="1"/>
  <c r="CG439" i="1"/>
  <c r="CG440" i="1"/>
  <c r="CG441" i="1"/>
  <c r="CG442" i="1"/>
  <c r="CG443" i="1"/>
  <c r="CG444" i="1"/>
  <c r="CG445" i="1"/>
  <c r="CG446" i="1"/>
  <c r="CG447" i="1"/>
  <c r="CG448" i="1"/>
  <c r="CG449" i="1"/>
  <c r="CG450" i="1"/>
  <c r="CG451" i="1"/>
  <c r="CG452" i="1"/>
  <c r="CG453" i="1"/>
  <c r="CG454" i="1"/>
  <c r="CG455" i="1"/>
  <c r="CG456" i="1"/>
  <c r="CG457" i="1"/>
  <c r="CG458" i="1"/>
  <c r="CG459" i="1"/>
  <c r="CG460" i="1"/>
  <c r="CG461" i="1"/>
  <c r="CG462" i="1"/>
  <c r="CG463" i="1"/>
  <c r="CG464" i="1"/>
  <c r="CG465" i="1"/>
  <c r="CG466" i="1"/>
  <c r="CG467" i="1"/>
  <c r="CG468" i="1"/>
  <c r="CG469" i="1"/>
  <c r="CG470" i="1"/>
  <c r="CG471" i="1"/>
  <c r="CG472" i="1"/>
  <c r="CG473" i="1"/>
  <c r="CG474" i="1"/>
  <c r="CG475" i="1"/>
  <c r="CG476" i="1"/>
  <c r="CG477" i="1"/>
  <c r="CG478" i="1"/>
  <c r="CG479" i="1"/>
  <c r="CG480" i="1"/>
  <c r="CG481" i="1"/>
  <c r="CG482" i="1"/>
  <c r="CG483" i="1"/>
  <c r="CG484" i="1"/>
  <c r="CG485" i="1"/>
  <c r="CG486" i="1"/>
  <c r="CG487" i="1"/>
  <c r="CG488" i="1"/>
  <c r="CG489" i="1"/>
  <c r="CG490" i="1"/>
  <c r="CG491" i="1"/>
  <c r="CG492" i="1"/>
  <c r="CG493" i="1"/>
  <c r="CG494" i="1"/>
  <c r="CG495" i="1"/>
  <c r="CG496" i="1"/>
  <c r="CG497" i="1"/>
  <c r="CG498" i="1"/>
  <c r="CG499" i="1"/>
  <c r="CG500" i="1"/>
  <c r="CG501" i="1"/>
  <c r="CG502" i="1"/>
  <c r="CG503" i="1"/>
  <c r="CG504" i="1"/>
  <c r="CG505" i="1"/>
  <c r="CG506" i="1"/>
  <c r="CG507" i="1"/>
  <c r="CG508" i="1"/>
  <c r="CG509" i="1"/>
  <c r="CG510" i="1"/>
  <c r="CG511" i="1"/>
  <c r="CG512" i="1"/>
  <c r="CG513" i="1"/>
  <c r="CG514" i="1"/>
  <c r="CG515" i="1"/>
  <c r="CG516" i="1"/>
  <c r="CG517" i="1"/>
  <c r="CG518" i="1"/>
  <c r="CG519" i="1"/>
  <c r="CG520" i="1"/>
  <c r="CG521" i="1"/>
  <c r="CG522" i="1"/>
  <c r="CG523" i="1"/>
  <c r="CG524" i="1"/>
  <c r="CG525" i="1"/>
  <c r="CG526" i="1"/>
  <c r="CG527" i="1"/>
  <c r="CG528" i="1"/>
  <c r="CG529" i="1"/>
  <c r="CG530" i="1"/>
  <c r="CG531" i="1"/>
  <c r="CG532" i="1"/>
  <c r="CG533" i="1"/>
  <c r="CG534" i="1"/>
  <c r="CG535" i="1"/>
  <c r="CG536" i="1"/>
  <c r="CG537" i="1"/>
  <c r="CG538" i="1"/>
  <c r="CG539" i="1"/>
  <c r="CG540" i="1"/>
  <c r="CG541" i="1"/>
  <c r="CG542" i="1"/>
  <c r="CG543" i="1"/>
  <c r="CG544" i="1"/>
  <c r="CG545" i="1"/>
  <c r="CG546" i="1"/>
  <c r="CG547" i="1"/>
  <c r="CG548" i="1"/>
  <c r="CG549" i="1"/>
  <c r="CG550" i="1"/>
  <c r="CG551" i="1"/>
  <c r="CG552" i="1"/>
  <c r="CG553" i="1"/>
  <c r="CG554" i="1"/>
  <c r="CG555" i="1"/>
  <c r="CG556" i="1"/>
  <c r="CG557" i="1"/>
  <c r="CG558" i="1"/>
  <c r="CG559" i="1"/>
  <c r="CG560" i="1"/>
  <c r="CG561" i="1"/>
  <c r="CG562" i="1"/>
  <c r="CG563" i="1"/>
  <c r="CG564" i="1"/>
  <c r="CG565" i="1"/>
  <c r="CG566" i="1"/>
  <c r="CG567" i="1"/>
  <c r="CG568" i="1"/>
  <c r="CG569" i="1"/>
  <c r="CG570" i="1"/>
  <c r="CG571" i="1"/>
  <c r="CG572" i="1"/>
  <c r="CG2" i="1"/>
  <c r="CF2" i="1"/>
  <c r="AR13" i="1"/>
  <c r="CN13" i="1" s="1"/>
  <c r="AR14" i="1"/>
  <c r="CN14" i="1" s="1"/>
  <c r="AR15" i="1"/>
  <c r="CN15" i="1" s="1"/>
  <c r="AR16" i="1"/>
  <c r="CN16" i="1" s="1"/>
  <c r="AR17" i="1"/>
  <c r="CN17" i="1" s="1"/>
  <c r="AR18" i="1"/>
  <c r="CN18" i="1" s="1"/>
  <c r="AR19" i="1"/>
  <c r="CN19" i="1" s="1"/>
  <c r="AR20" i="1"/>
  <c r="CN20" i="1" s="1"/>
  <c r="AR21" i="1"/>
  <c r="CN21" i="1" s="1"/>
  <c r="AR22" i="1"/>
  <c r="CN22" i="1" s="1"/>
  <c r="AR23" i="1"/>
  <c r="CN23" i="1" s="1"/>
  <c r="AR24" i="1"/>
  <c r="CN24" i="1" s="1"/>
  <c r="AR25" i="1"/>
  <c r="CN25" i="1" s="1"/>
  <c r="AR26" i="1"/>
  <c r="CN26" i="1" s="1"/>
  <c r="AR27" i="1"/>
  <c r="CN27" i="1" s="1"/>
  <c r="AR28" i="1"/>
  <c r="CN28" i="1" s="1"/>
  <c r="AR29" i="1"/>
  <c r="CN29" i="1" s="1"/>
  <c r="AR30" i="1"/>
  <c r="CN30" i="1" s="1"/>
  <c r="AR31" i="1"/>
  <c r="CN31" i="1" s="1"/>
  <c r="AR32" i="1"/>
  <c r="CN32" i="1" s="1"/>
  <c r="AR33" i="1"/>
  <c r="CN33" i="1" s="1"/>
  <c r="AR34" i="1"/>
  <c r="CN34" i="1" s="1"/>
  <c r="AR35" i="1"/>
  <c r="CN35" i="1" s="1"/>
  <c r="AR36" i="1"/>
  <c r="CN36" i="1" s="1"/>
  <c r="AR37" i="1"/>
  <c r="CN37" i="1" s="1"/>
  <c r="AR38" i="1"/>
  <c r="CN38" i="1" s="1"/>
  <c r="AR39" i="1"/>
  <c r="CN39" i="1" s="1"/>
  <c r="AR40" i="1"/>
  <c r="CN40" i="1" s="1"/>
  <c r="AR41" i="1"/>
  <c r="CN41" i="1" s="1"/>
  <c r="AR42" i="1"/>
  <c r="CN42" i="1" s="1"/>
  <c r="AR43" i="1"/>
  <c r="CN43" i="1" s="1"/>
  <c r="AR44" i="1"/>
  <c r="CN44" i="1" s="1"/>
  <c r="AR45" i="1"/>
  <c r="CN45" i="1" s="1"/>
  <c r="AR46" i="1"/>
  <c r="CN46" i="1" s="1"/>
  <c r="AR47" i="1"/>
  <c r="CN47" i="1" s="1"/>
  <c r="AR48" i="1"/>
  <c r="CN48" i="1" s="1"/>
  <c r="AR49" i="1"/>
  <c r="CN49" i="1" s="1"/>
  <c r="AR50" i="1"/>
  <c r="CN50" i="1" s="1"/>
  <c r="AR51" i="1"/>
  <c r="CN51" i="1" s="1"/>
  <c r="AR52" i="1"/>
  <c r="CN52" i="1" s="1"/>
  <c r="AR53" i="1"/>
  <c r="CN53" i="1" s="1"/>
  <c r="AR54" i="1"/>
  <c r="CN54" i="1" s="1"/>
  <c r="AR55" i="1"/>
  <c r="CN55" i="1" s="1"/>
  <c r="AR56" i="1"/>
  <c r="CN56" i="1" s="1"/>
  <c r="AR57" i="1"/>
  <c r="CN57" i="1" s="1"/>
  <c r="AR58" i="1"/>
  <c r="CN58" i="1" s="1"/>
  <c r="AR59" i="1"/>
  <c r="CN59" i="1" s="1"/>
  <c r="AR60" i="1"/>
  <c r="CN60" i="1" s="1"/>
  <c r="AR61" i="1"/>
  <c r="CN61" i="1" s="1"/>
  <c r="AR62" i="1"/>
  <c r="CN62" i="1" s="1"/>
  <c r="AR63" i="1"/>
  <c r="CN63" i="1" s="1"/>
  <c r="AR64" i="1"/>
  <c r="CN64" i="1" s="1"/>
  <c r="AR65" i="1"/>
  <c r="CN65" i="1" s="1"/>
  <c r="AR66" i="1"/>
  <c r="CN66" i="1" s="1"/>
  <c r="AR67" i="1"/>
  <c r="CN67" i="1" s="1"/>
  <c r="AR68" i="1"/>
  <c r="CN68" i="1" s="1"/>
  <c r="AR69" i="1"/>
  <c r="CN69" i="1" s="1"/>
  <c r="AR70" i="1"/>
  <c r="CN70" i="1" s="1"/>
  <c r="AR71" i="1"/>
  <c r="CN71" i="1" s="1"/>
  <c r="AR72" i="1"/>
  <c r="CN72" i="1" s="1"/>
  <c r="AR73" i="1"/>
  <c r="CN73" i="1" s="1"/>
  <c r="AR74" i="1"/>
  <c r="CN74" i="1" s="1"/>
  <c r="AR75" i="1"/>
  <c r="CN75" i="1" s="1"/>
  <c r="AR76" i="1"/>
  <c r="CN76" i="1" s="1"/>
  <c r="AR77" i="1"/>
  <c r="CN77" i="1" s="1"/>
  <c r="AR78" i="1"/>
  <c r="CN78" i="1" s="1"/>
  <c r="AR79" i="1"/>
  <c r="CN79" i="1" s="1"/>
  <c r="AR80" i="1"/>
  <c r="CN80" i="1" s="1"/>
  <c r="AR81" i="1"/>
  <c r="CN81" i="1" s="1"/>
  <c r="AR82" i="1"/>
  <c r="CN82" i="1" s="1"/>
  <c r="AR83" i="1"/>
  <c r="CN83" i="1" s="1"/>
  <c r="AR84" i="1"/>
  <c r="CN84" i="1" s="1"/>
  <c r="AR85" i="1"/>
  <c r="CN85" i="1" s="1"/>
  <c r="AR86" i="1"/>
  <c r="CN86" i="1" s="1"/>
  <c r="AR87" i="1"/>
  <c r="CN87" i="1" s="1"/>
  <c r="AR88" i="1"/>
  <c r="CN88" i="1" s="1"/>
  <c r="AR89" i="1"/>
  <c r="CN89" i="1" s="1"/>
  <c r="AR90" i="1"/>
  <c r="CN90" i="1" s="1"/>
  <c r="AR91" i="1"/>
  <c r="CN91" i="1" s="1"/>
  <c r="AR92" i="1"/>
  <c r="CN92" i="1" s="1"/>
  <c r="AR93" i="1"/>
  <c r="CN93" i="1" s="1"/>
  <c r="AR94" i="1"/>
  <c r="CN94" i="1" s="1"/>
  <c r="AR95" i="1"/>
  <c r="CN95" i="1" s="1"/>
  <c r="AR96" i="1"/>
  <c r="CN96" i="1" s="1"/>
  <c r="AR97" i="1"/>
  <c r="CN97" i="1" s="1"/>
  <c r="AR98" i="1"/>
  <c r="CN98" i="1" s="1"/>
  <c r="AR99" i="1"/>
  <c r="CN99" i="1" s="1"/>
  <c r="AR100" i="1"/>
  <c r="CN100" i="1" s="1"/>
  <c r="AR101" i="1"/>
  <c r="CN101" i="1" s="1"/>
  <c r="AR102" i="1"/>
  <c r="CN102" i="1" s="1"/>
  <c r="AR103" i="1"/>
  <c r="CN103" i="1" s="1"/>
  <c r="AR104" i="1"/>
  <c r="CN104" i="1" s="1"/>
  <c r="AR105" i="1"/>
  <c r="CN105" i="1" s="1"/>
  <c r="AR106" i="1"/>
  <c r="CN106" i="1" s="1"/>
  <c r="AR107" i="1"/>
  <c r="CN107" i="1" s="1"/>
  <c r="AR108" i="1"/>
  <c r="CN108" i="1" s="1"/>
  <c r="AR109" i="1"/>
  <c r="CN109" i="1" s="1"/>
  <c r="AR110" i="1"/>
  <c r="CN110" i="1" s="1"/>
  <c r="AR111" i="1"/>
  <c r="CN111" i="1" s="1"/>
  <c r="AR112" i="1"/>
  <c r="CN112" i="1" s="1"/>
  <c r="AR113" i="1"/>
  <c r="CN113" i="1" s="1"/>
  <c r="AR114" i="1"/>
  <c r="CN114" i="1" s="1"/>
  <c r="AR115" i="1"/>
  <c r="CN115" i="1" s="1"/>
  <c r="AR116" i="1"/>
  <c r="CN116" i="1" s="1"/>
  <c r="AR117" i="1"/>
  <c r="CN117" i="1" s="1"/>
  <c r="AR118" i="1"/>
  <c r="CN118" i="1" s="1"/>
  <c r="AR119" i="1"/>
  <c r="CN119" i="1" s="1"/>
  <c r="AR120" i="1"/>
  <c r="CN120" i="1" s="1"/>
  <c r="AR121" i="1"/>
  <c r="CN121" i="1" s="1"/>
  <c r="AR122" i="1"/>
  <c r="CN122" i="1" s="1"/>
  <c r="AR123" i="1"/>
  <c r="CN123" i="1" s="1"/>
  <c r="AR124" i="1"/>
  <c r="CN124" i="1" s="1"/>
  <c r="AR125" i="1"/>
  <c r="CN125" i="1" s="1"/>
  <c r="AR126" i="1"/>
  <c r="CN126" i="1" s="1"/>
  <c r="AR127" i="1"/>
  <c r="CN127" i="1" s="1"/>
  <c r="AR128" i="1"/>
  <c r="CN128" i="1" s="1"/>
  <c r="AR129" i="1"/>
  <c r="CN129" i="1" s="1"/>
  <c r="AR130" i="1"/>
  <c r="CN130" i="1" s="1"/>
  <c r="AR131" i="1"/>
  <c r="CN131" i="1" s="1"/>
  <c r="AR132" i="1"/>
  <c r="CN132" i="1" s="1"/>
  <c r="AR133" i="1"/>
  <c r="CN133" i="1" s="1"/>
  <c r="AR134" i="1"/>
  <c r="CN134" i="1" s="1"/>
  <c r="AR135" i="1"/>
  <c r="CN135" i="1" s="1"/>
  <c r="AR136" i="1"/>
  <c r="CN136" i="1" s="1"/>
  <c r="AR137" i="1"/>
  <c r="CN137" i="1" s="1"/>
  <c r="AR138" i="1"/>
  <c r="CN138" i="1" s="1"/>
  <c r="AR139" i="1"/>
  <c r="CN139" i="1" s="1"/>
  <c r="AR140" i="1"/>
  <c r="CN140" i="1" s="1"/>
  <c r="AR141" i="1"/>
  <c r="CN141" i="1" s="1"/>
  <c r="AR142" i="1"/>
  <c r="CN142" i="1" s="1"/>
  <c r="AR143" i="1"/>
  <c r="CN143" i="1" s="1"/>
  <c r="AR144" i="1"/>
  <c r="CN144" i="1" s="1"/>
  <c r="AR145" i="1"/>
  <c r="CN145" i="1" s="1"/>
  <c r="AR146" i="1"/>
  <c r="CN146" i="1" s="1"/>
  <c r="AR147" i="1"/>
  <c r="CN147" i="1" s="1"/>
  <c r="AR148" i="1"/>
  <c r="CN148" i="1" s="1"/>
  <c r="AR149" i="1"/>
  <c r="CN149" i="1" s="1"/>
  <c r="AR150" i="1"/>
  <c r="CN150" i="1" s="1"/>
  <c r="AR151" i="1"/>
  <c r="CN151" i="1" s="1"/>
  <c r="AR152" i="1"/>
  <c r="CN152" i="1" s="1"/>
  <c r="AR153" i="1"/>
  <c r="CN153" i="1" s="1"/>
  <c r="AR154" i="1"/>
  <c r="CN154" i="1" s="1"/>
  <c r="AR155" i="1"/>
  <c r="CN155" i="1" s="1"/>
  <c r="AR156" i="1"/>
  <c r="CN156" i="1" s="1"/>
  <c r="AR157" i="1"/>
  <c r="CN157" i="1" s="1"/>
  <c r="AR158" i="1"/>
  <c r="CN158" i="1" s="1"/>
  <c r="AR159" i="1"/>
  <c r="CN159" i="1" s="1"/>
  <c r="AR160" i="1"/>
  <c r="CN160" i="1" s="1"/>
  <c r="AR161" i="1"/>
  <c r="CN161" i="1" s="1"/>
  <c r="AR162" i="1"/>
  <c r="CN162" i="1" s="1"/>
  <c r="AR163" i="1"/>
  <c r="CN163" i="1" s="1"/>
  <c r="AR164" i="1"/>
  <c r="CN164" i="1" s="1"/>
  <c r="AR165" i="1"/>
  <c r="CN165" i="1" s="1"/>
  <c r="AR166" i="1"/>
  <c r="CN166" i="1" s="1"/>
  <c r="AR167" i="1"/>
  <c r="CN167" i="1" s="1"/>
  <c r="AR168" i="1"/>
  <c r="CN168" i="1" s="1"/>
  <c r="AR169" i="1"/>
  <c r="CN169" i="1" s="1"/>
  <c r="AR170" i="1"/>
  <c r="CN170" i="1" s="1"/>
  <c r="AR171" i="1"/>
  <c r="CN171" i="1" s="1"/>
  <c r="AR172" i="1"/>
  <c r="CN172" i="1" s="1"/>
  <c r="AR173" i="1"/>
  <c r="CN173" i="1" s="1"/>
  <c r="AR174" i="1"/>
  <c r="CN174" i="1" s="1"/>
  <c r="AR175" i="1"/>
  <c r="CN175" i="1" s="1"/>
  <c r="AR176" i="1"/>
  <c r="CN176" i="1" s="1"/>
  <c r="AR177" i="1"/>
  <c r="CN177" i="1" s="1"/>
  <c r="AR178" i="1"/>
  <c r="CN178" i="1" s="1"/>
  <c r="AR179" i="1"/>
  <c r="CN179" i="1" s="1"/>
  <c r="AR180" i="1"/>
  <c r="CN180" i="1" s="1"/>
  <c r="AR181" i="1"/>
  <c r="CN181" i="1" s="1"/>
  <c r="AR182" i="1"/>
  <c r="CN182" i="1" s="1"/>
  <c r="AR183" i="1"/>
  <c r="CN183" i="1" s="1"/>
  <c r="AR184" i="1"/>
  <c r="CN184" i="1" s="1"/>
  <c r="AR185" i="1"/>
  <c r="CN185" i="1" s="1"/>
  <c r="AR186" i="1"/>
  <c r="CN186" i="1" s="1"/>
  <c r="AR187" i="1"/>
  <c r="CN187" i="1" s="1"/>
  <c r="AR188" i="1"/>
  <c r="CN188" i="1" s="1"/>
  <c r="AR189" i="1"/>
  <c r="CN189" i="1" s="1"/>
  <c r="AR190" i="1"/>
  <c r="CN190" i="1" s="1"/>
  <c r="AR191" i="1"/>
  <c r="CN191" i="1" s="1"/>
  <c r="AR192" i="1"/>
  <c r="CN192" i="1" s="1"/>
  <c r="AR193" i="1"/>
  <c r="CN193" i="1" s="1"/>
  <c r="AR194" i="1"/>
  <c r="CN194" i="1" s="1"/>
  <c r="AR195" i="1"/>
  <c r="CN195" i="1" s="1"/>
  <c r="AR196" i="1"/>
  <c r="CN196" i="1" s="1"/>
  <c r="AR197" i="1"/>
  <c r="CN197" i="1" s="1"/>
  <c r="AR198" i="1"/>
  <c r="CN198" i="1" s="1"/>
  <c r="AR199" i="1"/>
  <c r="CN199" i="1" s="1"/>
  <c r="AR200" i="1"/>
  <c r="CN200" i="1" s="1"/>
  <c r="AR201" i="1"/>
  <c r="CN201" i="1" s="1"/>
  <c r="AR202" i="1"/>
  <c r="CN202" i="1" s="1"/>
  <c r="AR203" i="1"/>
  <c r="CN203" i="1" s="1"/>
  <c r="AR204" i="1"/>
  <c r="CN204" i="1" s="1"/>
  <c r="AR205" i="1"/>
  <c r="CN205" i="1" s="1"/>
  <c r="AR206" i="1"/>
  <c r="CN206" i="1" s="1"/>
  <c r="AR207" i="1"/>
  <c r="CN207" i="1" s="1"/>
  <c r="AR208" i="1"/>
  <c r="CN208" i="1" s="1"/>
  <c r="AR209" i="1"/>
  <c r="CN209" i="1" s="1"/>
  <c r="AR210" i="1"/>
  <c r="CN210" i="1" s="1"/>
  <c r="AR211" i="1"/>
  <c r="CN211" i="1" s="1"/>
  <c r="AR212" i="1"/>
  <c r="CN212" i="1" s="1"/>
  <c r="AR213" i="1"/>
  <c r="CN213" i="1" s="1"/>
  <c r="AR214" i="1"/>
  <c r="CN214" i="1" s="1"/>
  <c r="AR215" i="1"/>
  <c r="CN215" i="1" s="1"/>
  <c r="AR216" i="1"/>
  <c r="CN216" i="1" s="1"/>
  <c r="AR217" i="1"/>
  <c r="CN217" i="1" s="1"/>
  <c r="AR218" i="1"/>
  <c r="CN218" i="1" s="1"/>
  <c r="AR219" i="1"/>
  <c r="CN219" i="1" s="1"/>
  <c r="AR220" i="1"/>
  <c r="CN220" i="1" s="1"/>
  <c r="AR221" i="1"/>
  <c r="CN221" i="1" s="1"/>
  <c r="AR222" i="1"/>
  <c r="CN222" i="1" s="1"/>
  <c r="AR223" i="1"/>
  <c r="CN223" i="1" s="1"/>
  <c r="AR224" i="1"/>
  <c r="CN224" i="1" s="1"/>
  <c r="AR225" i="1"/>
  <c r="CN225" i="1" s="1"/>
  <c r="AR226" i="1"/>
  <c r="CN226" i="1" s="1"/>
  <c r="AR227" i="1"/>
  <c r="CN227" i="1" s="1"/>
  <c r="AR228" i="1"/>
  <c r="CN228" i="1" s="1"/>
  <c r="AR229" i="1"/>
  <c r="CN229" i="1" s="1"/>
  <c r="AR230" i="1"/>
  <c r="CN230" i="1" s="1"/>
  <c r="AR231" i="1"/>
  <c r="CN231" i="1" s="1"/>
  <c r="AR232" i="1"/>
  <c r="CN232" i="1" s="1"/>
  <c r="AR233" i="1"/>
  <c r="CN233" i="1" s="1"/>
  <c r="AR234" i="1"/>
  <c r="CN234" i="1" s="1"/>
  <c r="AR235" i="1"/>
  <c r="CN235" i="1" s="1"/>
  <c r="AR236" i="1"/>
  <c r="CN236" i="1" s="1"/>
  <c r="AR237" i="1"/>
  <c r="CN237" i="1" s="1"/>
  <c r="AR238" i="1"/>
  <c r="CN238" i="1" s="1"/>
  <c r="AR239" i="1"/>
  <c r="CN239" i="1" s="1"/>
  <c r="AR240" i="1"/>
  <c r="CN240" i="1" s="1"/>
  <c r="AR241" i="1"/>
  <c r="CN241" i="1" s="1"/>
  <c r="AR242" i="1"/>
  <c r="CN242" i="1" s="1"/>
  <c r="AR243" i="1"/>
  <c r="CN243" i="1" s="1"/>
  <c r="AR244" i="1"/>
  <c r="CN244" i="1" s="1"/>
  <c r="AR245" i="1"/>
  <c r="CN245" i="1" s="1"/>
  <c r="AR246" i="1"/>
  <c r="CN246" i="1" s="1"/>
  <c r="AR247" i="1"/>
  <c r="CN247" i="1" s="1"/>
  <c r="AR248" i="1"/>
  <c r="CN248" i="1" s="1"/>
  <c r="AR249" i="1"/>
  <c r="CN249" i="1" s="1"/>
  <c r="AR250" i="1"/>
  <c r="CN250" i="1" s="1"/>
  <c r="AR251" i="1"/>
  <c r="CN251" i="1" s="1"/>
  <c r="AR252" i="1"/>
  <c r="CN252" i="1" s="1"/>
  <c r="AR253" i="1"/>
  <c r="CN253" i="1" s="1"/>
  <c r="AR254" i="1"/>
  <c r="CN254" i="1" s="1"/>
  <c r="AR255" i="1"/>
  <c r="CN255" i="1" s="1"/>
  <c r="AR256" i="1"/>
  <c r="CN256" i="1" s="1"/>
  <c r="AR257" i="1"/>
  <c r="CN257" i="1" s="1"/>
  <c r="AR258" i="1"/>
  <c r="CN258" i="1" s="1"/>
  <c r="AR259" i="1"/>
  <c r="CN259" i="1" s="1"/>
  <c r="AR260" i="1"/>
  <c r="CN260" i="1" s="1"/>
  <c r="AR261" i="1"/>
  <c r="CN261" i="1" s="1"/>
  <c r="AR262" i="1"/>
  <c r="CN262" i="1" s="1"/>
  <c r="AR263" i="1"/>
  <c r="CN263" i="1" s="1"/>
  <c r="AR264" i="1"/>
  <c r="CN264" i="1" s="1"/>
  <c r="AR265" i="1"/>
  <c r="CN265" i="1" s="1"/>
  <c r="AR266" i="1"/>
  <c r="CN266" i="1" s="1"/>
  <c r="AR267" i="1"/>
  <c r="CN267" i="1" s="1"/>
  <c r="AR268" i="1"/>
  <c r="CN268" i="1" s="1"/>
  <c r="AR269" i="1"/>
  <c r="CN269" i="1" s="1"/>
  <c r="AR270" i="1"/>
  <c r="CN270" i="1" s="1"/>
  <c r="AR271" i="1"/>
  <c r="CN271" i="1" s="1"/>
  <c r="AR272" i="1"/>
  <c r="CN272" i="1" s="1"/>
  <c r="AR273" i="1"/>
  <c r="CN273" i="1" s="1"/>
  <c r="AR274" i="1"/>
  <c r="CN274" i="1" s="1"/>
  <c r="AR275" i="1"/>
  <c r="CN275" i="1" s="1"/>
  <c r="AR276" i="1"/>
  <c r="CN276" i="1" s="1"/>
  <c r="AR277" i="1"/>
  <c r="CN277" i="1" s="1"/>
  <c r="AR278" i="1"/>
  <c r="CN278" i="1" s="1"/>
  <c r="AR279" i="1"/>
  <c r="CN279" i="1" s="1"/>
  <c r="AR280" i="1"/>
  <c r="CN280" i="1" s="1"/>
  <c r="AR281" i="1"/>
  <c r="CN281" i="1" s="1"/>
  <c r="AR282" i="1"/>
  <c r="CN282" i="1" s="1"/>
  <c r="AR283" i="1"/>
  <c r="CN283" i="1" s="1"/>
  <c r="AR284" i="1"/>
  <c r="CN284" i="1" s="1"/>
  <c r="AR285" i="1"/>
  <c r="CN285" i="1" s="1"/>
  <c r="AR286" i="1"/>
  <c r="CN286" i="1" s="1"/>
  <c r="AR287" i="1"/>
  <c r="CN287" i="1" s="1"/>
  <c r="AR288" i="1"/>
  <c r="CN288" i="1" s="1"/>
  <c r="AR289" i="1"/>
  <c r="CN289" i="1" s="1"/>
  <c r="AR290" i="1"/>
  <c r="CN290" i="1" s="1"/>
  <c r="AR291" i="1"/>
  <c r="CN291" i="1" s="1"/>
  <c r="AR292" i="1"/>
  <c r="CN292" i="1" s="1"/>
  <c r="AR293" i="1"/>
  <c r="CN293" i="1" s="1"/>
  <c r="AR294" i="1"/>
  <c r="CN294" i="1" s="1"/>
  <c r="AR296" i="1"/>
  <c r="CN296" i="1" s="1"/>
  <c r="AR297" i="1"/>
  <c r="CN297" i="1" s="1"/>
  <c r="AR298" i="1"/>
  <c r="CN298" i="1" s="1"/>
  <c r="AR299" i="1"/>
  <c r="CN299" i="1" s="1"/>
  <c r="AR300" i="1"/>
  <c r="CN300" i="1" s="1"/>
  <c r="AR301" i="1"/>
  <c r="CN301" i="1" s="1"/>
  <c r="AR302" i="1"/>
  <c r="CN302" i="1" s="1"/>
  <c r="AR303" i="1"/>
  <c r="CN303" i="1" s="1"/>
  <c r="AR304" i="1"/>
  <c r="CN304" i="1" s="1"/>
  <c r="AR305" i="1"/>
  <c r="CN305" i="1" s="1"/>
  <c r="AR306" i="1"/>
  <c r="CN306" i="1" s="1"/>
  <c r="AR307" i="1"/>
  <c r="CN307" i="1" s="1"/>
  <c r="AR308" i="1"/>
  <c r="CN308" i="1" s="1"/>
  <c r="AR309" i="1"/>
  <c r="CN309" i="1" s="1"/>
  <c r="AR310" i="1"/>
  <c r="CN310" i="1" s="1"/>
  <c r="AR311" i="1"/>
  <c r="CN311" i="1" s="1"/>
  <c r="AR312" i="1"/>
  <c r="CN312" i="1" s="1"/>
  <c r="AR313" i="1"/>
  <c r="CN313" i="1" s="1"/>
  <c r="AR314" i="1"/>
  <c r="CN314" i="1" s="1"/>
  <c r="AR315" i="1"/>
  <c r="CN315" i="1" s="1"/>
  <c r="AR316" i="1"/>
  <c r="CN316" i="1" s="1"/>
  <c r="AR317" i="1"/>
  <c r="CN317" i="1" s="1"/>
  <c r="AR318" i="1"/>
  <c r="CN318" i="1" s="1"/>
  <c r="AR319" i="1"/>
  <c r="CN319" i="1" s="1"/>
  <c r="AR320" i="1"/>
  <c r="CN320" i="1" s="1"/>
  <c r="AR321" i="1"/>
  <c r="CN321" i="1" s="1"/>
  <c r="AR322" i="1"/>
  <c r="CN322" i="1" s="1"/>
  <c r="AR323" i="1"/>
  <c r="CN323" i="1" s="1"/>
  <c r="AR324" i="1"/>
  <c r="CN324" i="1" s="1"/>
  <c r="AR325" i="1"/>
  <c r="CN325" i="1" s="1"/>
  <c r="AR326" i="1"/>
  <c r="CN326" i="1" s="1"/>
  <c r="AR327" i="1"/>
  <c r="CN327" i="1" s="1"/>
  <c r="AR328" i="1"/>
  <c r="CN328" i="1" s="1"/>
  <c r="AR329" i="1"/>
  <c r="CN329" i="1" s="1"/>
  <c r="AR330" i="1"/>
  <c r="CN330" i="1" s="1"/>
  <c r="AR331" i="1"/>
  <c r="CN331" i="1" s="1"/>
  <c r="AR332" i="1"/>
  <c r="CN332" i="1" s="1"/>
  <c r="AR333" i="1"/>
  <c r="CN333" i="1" s="1"/>
  <c r="AR334" i="1"/>
  <c r="CN334" i="1" s="1"/>
  <c r="AR335" i="1"/>
  <c r="CN335" i="1" s="1"/>
  <c r="AR336" i="1"/>
  <c r="CN336" i="1" s="1"/>
  <c r="AR337" i="1"/>
  <c r="CN337" i="1" s="1"/>
  <c r="AR338" i="1"/>
  <c r="CN338" i="1" s="1"/>
  <c r="AR339" i="1"/>
  <c r="CN339" i="1" s="1"/>
  <c r="AR340" i="1"/>
  <c r="CN340" i="1" s="1"/>
  <c r="AR341" i="1"/>
  <c r="CN341" i="1" s="1"/>
  <c r="AR342" i="1"/>
  <c r="CN342" i="1" s="1"/>
  <c r="AR343" i="1"/>
  <c r="CN343" i="1" s="1"/>
  <c r="AR344" i="1"/>
  <c r="CN344" i="1" s="1"/>
  <c r="AR345" i="1"/>
  <c r="CN345" i="1" s="1"/>
  <c r="AR346" i="1"/>
  <c r="CN346" i="1" s="1"/>
  <c r="AR347" i="1"/>
  <c r="CN347" i="1" s="1"/>
  <c r="AR348" i="1"/>
  <c r="CN348" i="1" s="1"/>
  <c r="AR349" i="1"/>
  <c r="CN349" i="1" s="1"/>
  <c r="AR350" i="1"/>
  <c r="CN350" i="1" s="1"/>
  <c r="AR351" i="1"/>
  <c r="CN351" i="1" s="1"/>
  <c r="AR352" i="1"/>
  <c r="CN352" i="1" s="1"/>
  <c r="AR353" i="1"/>
  <c r="CN353" i="1" s="1"/>
  <c r="AR354" i="1"/>
  <c r="CN354" i="1" s="1"/>
  <c r="AR355" i="1"/>
  <c r="CN355" i="1" s="1"/>
  <c r="AR356" i="1"/>
  <c r="CN356" i="1" s="1"/>
  <c r="AR357" i="1"/>
  <c r="CN357" i="1" s="1"/>
  <c r="AR358" i="1"/>
  <c r="CN358" i="1" s="1"/>
  <c r="AR359" i="1"/>
  <c r="CN359" i="1" s="1"/>
  <c r="AR360" i="1"/>
  <c r="CN360" i="1" s="1"/>
  <c r="AR361" i="1"/>
  <c r="CN361" i="1" s="1"/>
  <c r="AR362" i="1"/>
  <c r="CN362" i="1" s="1"/>
  <c r="AR363" i="1"/>
  <c r="CN363" i="1" s="1"/>
  <c r="AR364" i="1"/>
  <c r="CN364" i="1" s="1"/>
  <c r="AR365" i="1"/>
  <c r="CN365" i="1" s="1"/>
  <c r="AR366" i="1"/>
  <c r="CN366" i="1" s="1"/>
  <c r="AR367" i="1"/>
  <c r="CN367" i="1" s="1"/>
  <c r="AR368" i="1"/>
  <c r="CN368" i="1" s="1"/>
  <c r="AR369" i="1"/>
  <c r="CN369" i="1" s="1"/>
  <c r="AR370" i="1"/>
  <c r="CN370" i="1" s="1"/>
  <c r="AR371" i="1"/>
  <c r="CN371" i="1" s="1"/>
  <c r="AR372" i="1"/>
  <c r="CN372" i="1" s="1"/>
  <c r="AR373" i="1"/>
  <c r="CN373" i="1" s="1"/>
  <c r="AR374" i="1"/>
  <c r="CN374" i="1" s="1"/>
  <c r="AR375" i="1"/>
  <c r="CN375" i="1" s="1"/>
  <c r="AR376" i="1"/>
  <c r="CN376" i="1" s="1"/>
  <c r="AR377" i="1"/>
  <c r="CN377" i="1" s="1"/>
  <c r="AR378" i="1"/>
  <c r="CN378" i="1" s="1"/>
  <c r="AR379" i="1"/>
  <c r="CN379" i="1" s="1"/>
  <c r="AR380" i="1"/>
  <c r="CN380" i="1" s="1"/>
  <c r="AR381" i="1"/>
  <c r="CN381" i="1" s="1"/>
  <c r="AR382" i="1"/>
  <c r="CN382" i="1" s="1"/>
  <c r="AR383" i="1"/>
  <c r="CN383" i="1" s="1"/>
  <c r="AR384" i="1"/>
  <c r="CN384" i="1" s="1"/>
  <c r="AR385" i="1"/>
  <c r="CN385" i="1" s="1"/>
  <c r="AR386" i="1"/>
  <c r="CN386" i="1" s="1"/>
  <c r="AR387" i="1"/>
  <c r="CN387" i="1" s="1"/>
  <c r="AR388" i="1"/>
  <c r="CN388" i="1" s="1"/>
  <c r="AR389" i="1"/>
  <c r="CN389" i="1" s="1"/>
  <c r="AR390" i="1"/>
  <c r="CN390" i="1" s="1"/>
  <c r="AR391" i="1"/>
  <c r="CN391" i="1" s="1"/>
  <c r="AR392" i="1"/>
  <c r="CN392" i="1" s="1"/>
  <c r="AR393" i="1"/>
  <c r="CN393" i="1" s="1"/>
  <c r="AR394" i="1"/>
  <c r="CN394" i="1" s="1"/>
  <c r="AR395" i="1"/>
  <c r="CN395" i="1" s="1"/>
  <c r="AR396" i="1"/>
  <c r="CN396" i="1" s="1"/>
  <c r="AR397" i="1"/>
  <c r="CN397" i="1" s="1"/>
  <c r="AR398" i="1"/>
  <c r="CN398" i="1" s="1"/>
  <c r="AR399" i="1"/>
  <c r="CN399" i="1" s="1"/>
  <c r="AR400" i="1"/>
  <c r="CN400" i="1" s="1"/>
  <c r="AR401" i="1"/>
  <c r="CN401" i="1" s="1"/>
  <c r="AR402" i="1"/>
  <c r="CN402" i="1" s="1"/>
  <c r="AR403" i="1"/>
  <c r="CN403" i="1" s="1"/>
  <c r="AR404" i="1"/>
  <c r="CN404" i="1" s="1"/>
  <c r="AR405" i="1"/>
  <c r="CN405" i="1" s="1"/>
  <c r="AR406" i="1"/>
  <c r="CN406" i="1" s="1"/>
  <c r="AR407" i="1"/>
  <c r="CN407" i="1" s="1"/>
  <c r="AR408" i="1"/>
  <c r="CN408" i="1" s="1"/>
  <c r="AR409" i="1"/>
  <c r="CN409" i="1" s="1"/>
  <c r="AR410" i="1"/>
  <c r="CN410" i="1" s="1"/>
  <c r="AR411" i="1"/>
  <c r="CN411" i="1" s="1"/>
  <c r="AR412" i="1"/>
  <c r="CN412" i="1" s="1"/>
  <c r="AR413" i="1"/>
  <c r="CN413" i="1" s="1"/>
  <c r="AR414" i="1"/>
  <c r="CN414" i="1" s="1"/>
  <c r="AR415" i="1"/>
  <c r="CN415" i="1" s="1"/>
  <c r="AR416" i="1"/>
  <c r="CN416" i="1" s="1"/>
  <c r="AR417" i="1"/>
  <c r="CN417" i="1" s="1"/>
  <c r="AR418" i="1"/>
  <c r="CN418" i="1" s="1"/>
  <c r="AR419" i="1"/>
  <c r="CN419" i="1" s="1"/>
  <c r="AR420" i="1"/>
  <c r="CN420" i="1" s="1"/>
  <c r="AR421" i="1"/>
  <c r="CN421" i="1" s="1"/>
  <c r="AR422" i="1"/>
  <c r="CN422" i="1" s="1"/>
  <c r="AR423" i="1"/>
  <c r="CN423" i="1" s="1"/>
  <c r="AR424" i="1"/>
  <c r="CN424" i="1" s="1"/>
  <c r="AR425" i="1"/>
  <c r="CN425" i="1" s="1"/>
  <c r="AR426" i="1"/>
  <c r="CN426" i="1" s="1"/>
  <c r="AR427" i="1"/>
  <c r="CN427" i="1" s="1"/>
  <c r="AR428" i="1"/>
  <c r="CN428" i="1" s="1"/>
  <c r="AR429" i="1"/>
  <c r="CN429" i="1" s="1"/>
  <c r="AR430" i="1"/>
  <c r="CN430" i="1" s="1"/>
  <c r="AR431" i="1"/>
  <c r="CN431" i="1" s="1"/>
  <c r="AR432" i="1"/>
  <c r="CN432" i="1" s="1"/>
  <c r="AR433" i="1"/>
  <c r="CN433" i="1" s="1"/>
  <c r="AR434" i="1"/>
  <c r="CN434" i="1" s="1"/>
  <c r="AR435" i="1"/>
  <c r="CN435" i="1" s="1"/>
  <c r="AR436" i="1"/>
  <c r="CN436" i="1" s="1"/>
  <c r="AR437" i="1"/>
  <c r="CN437" i="1" s="1"/>
  <c r="AR438" i="1"/>
  <c r="CN438" i="1" s="1"/>
  <c r="AR439" i="1"/>
  <c r="CN439" i="1" s="1"/>
  <c r="AR440" i="1"/>
  <c r="CN440" i="1" s="1"/>
  <c r="AR441" i="1"/>
  <c r="CN441" i="1" s="1"/>
  <c r="AR442" i="1"/>
  <c r="CN442" i="1" s="1"/>
  <c r="AR443" i="1"/>
  <c r="CN443" i="1" s="1"/>
  <c r="AR444" i="1"/>
  <c r="CN444" i="1" s="1"/>
  <c r="AR445" i="1"/>
  <c r="CN445" i="1" s="1"/>
  <c r="AR446" i="1"/>
  <c r="CN446" i="1" s="1"/>
  <c r="AR447" i="1"/>
  <c r="CN447" i="1" s="1"/>
  <c r="AR448" i="1"/>
  <c r="CN448" i="1" s="1"/>
  <c r="AR449" i="1"/>
  <c r="CN449" i="1" s="1"/>
  <c r="AR450" i="1"/>
  <c r="CN450" i="1" s="1"/>
  <c r="AR451" i="1"/>
  <c r="CN451" i="1" s="1"/>
  <c r="AR452" i="1"/>
  <c r="CN452" i="1" s="1"/>
  <c r="AR453" i="1"/>
  <c r="CN453" i="1" s="1"/>
  <c r="AR454" i="1"/>
  <c r="CN454" i="1" s="1"/>
  <c r="AR455" i="1"/>
  <c r="CN455" i="1" s="1"/>
  <c r="AR456" i="1"/>
  <c r="CN456" i="1" s="1"/>
  <c r="AR457" i="1"/>
  <c r="CN457" i="1" s="1"/>
  <c r="AR458" i="1"/>
  <c r="CN458" i="1" s="1"/>
  <c r="AR459" i="1"/>
  <c r="CN459" i="1" s="1"/>
  <c r="AR460" i="1"/>
  <c r="CN460" i="1" s="1"/>
  <c r="AR461" i="1"/>
  <c r="CN461" i="1" s="1"/>
  <c r="AR462" i="1"/>
  <c r="CN462" i="1" s="1"/>
  <c r="AR463" i="1"/>
  <c r="CN463" i="1" s="1"/>
  <c r="AR464" i="1"/>
  <c r="CN464" i="1" s="1"/>
  <c r="AR465" i="1"/>
  <c r="CN465" i="1" s="1"/>
  <c r="AR466" i="1"/>
  <c r="CN466" i="1" s="1"/>
  <c r="AR467" i="1"/>
  <c r="CN467" i="1" s="1"/>
  <c r="AR468" i="1"/>
  <c r="CN468" i="1" s="1"/>
  <c r="AR469" i="1"/>
  <c r="CN469" i="1" s="1"/>
  <c r="AR470" i="1"/>
  <c r="CN470" i="1" s="1"/>
  <c r="AR471" i="1"/>
  <c r="CN471" i="1" s="1"/>
  <c r="AR472" i="1"/>
  <c r="CN472" i="1" s="1"/>
  <c r="AR473" i="1"/>
  <c r="CN473" i="1" s="1"/>
  <c r="AR474" i="1"/>
  <c r="CN474" i="1" s="1"/>
  <c r="AR475" i="1"/>
  <c r="CN475" i="1" s="1"/>
  <c r="AR476" i="1"/>
  <c r="CN476" i="1" s="1"/>
  <c r="AR477" i="1"/>
  <c r="CN477" i="1" s="1"/>
  <c r="AR478" i="1"/>
  <c r="CN478" i="1" s="1"/>
  <c r="AR479" i="1"/>
  <c r="CN479" i="1" s="1"/>
  <c r="AR480" i="1"/>
  <c r="CN480" i="1" s="1"/>
  <c r="AR481" i="1"/>
  <c r="CN481" i="1" s="1"/>
  <c r="AR482" i="1"/>
  <c r="CN482" i="1" s="1"/>
  <c r="AR483" i="1"/>
  <c r="CN483" i="1" s="1"/>
  <c r="AR484" i="1"/>
  <c r="CN484" i="1" s="1"/>
  <c r="AR485" i="1"/>
  <c r="CN485" i="1" s="1"/>
  <c r="AR486" i="1"/>
  <c r="CN486" i="1" s="1"/>
  <c r="AR487" i="1"/>
  <c r="CN487" i="1" s="1"/>
  <c r="AR488" i="1"/>
  <c r="CN488" i="1" s="1"/>
  <c r="AR489" i="1"/>
  <c r="CN489" i="1" s="1"/>
  <c r="AR490" i="1"/>
  <c r="CN490" i="1" s="1"/>
  <c r="AR491" i="1"/>
  <c r="CN491" i="1" s="1"/>
  <c r="AR492" i="1"/>
  <c r="CN492" i="1" s="1"/>
  <c r="AR493" i="1"/>
  <c r="CN493" i="1" s="1"/>
  <c r="AR494" i="1"/>
  <c r="CN494" i="1" s="1"/>
  <c r="AR495" i="1"/>
  <c r="CN495" i="1" s="1"/>
  <c r="AR496" i="1"/>
  <c r="CN496" i="1" s="1"/>
  <c r="AR497" i="1"/>
  <c r="CN497" i="1" s="1"/>
  <c r="AR498" i="1"/>
  <c r="CN498" i="1" s="1"/>
  <c r="AR499" i="1"/>
  <c r="CN499" i="1" s="1"/>
  <c r="AR500" i="1"/>
  <c r="CN500" i="1" s="1"/>
  <c r="AR501" i="1"/>
  <c r="CN501" i="1" s="1"/>
  <c r="AR502" i="1"/>
  <c r="CN502" i="1" s="1"/>
  <c r="AR503" i="1"/>
  <c r="CN503" i="1" s="1"/>
  <c r="AR504" i="1"/>
  <c r="CN504" i="1" s="1"/>
  <c r="AR505" i="1"/>
  <c r="CN505" i="1" s="1"/>
  <c r="AR506" i="1"/>
  <c r="CN506" i="1" s="1"/>
  <c r="AR507" i="1"/>
  <c r="CN507" i="1" s="1"/>
  <c r="AR508" i="1"/>
  <c r="CN508" i="1" s="1"/>
  <c r="AR509" i="1"/>
  <c r="CN509" i="1" s="1"/>
  <c r="AR510" i="1"/>
  <c r="CN510" i="1" s="1"/>
  <c r="AR511" i="1"/>
  <c r="CN511" i="1" s="1"/>
  <c r="AR512" i="1"/>
  <c r="CN512" i="1" s="1"/>
  <c r="AR513" i="1"/>
  <c r="CN513" i="1" s="1"/>
  <c r="AR514" i="1"/>
  <c r="CN514" i="1" s="1"/>
  <c r="AR515" i="1"/>
  <c r="CN515" i="1" s="1"/>
  <c r="AR516" i="1"/>
  <c r="CN516" i="1" s="1"/>
  <c r="AR517" i="1"/>
  <c r="CN517" i="1" s="1"/>
  <c r="AR518" i="1"/>
  <c r="CN518" i="1" s="1"/>
  <c r="AR519" i="1"/>
  <c r="CN519" i="1" s="1"/>
  <c r="AR520" i="1"/>
  <c r="CN520" i="1" s="1"/>
  <c r="AR521" i="1"/>
  <c r="CN521" i="1" s="1"/>
  <c r="AR522" i="1"/>
  <c r="CN522" i="1" s="1"/>
  <c r="AR523" i="1"/>
  <c r="CN523" i="1" s="1"/>
  <c r="AR524" i="1"/>
  <c r="CN524" i="1" s="1"/>
  <c r="AR525" i="1"/>
  <c r="CN525" i="1" s="1"/>
  <c r="AR526" i="1"/>
  <c r="CN526" i="1" s="1"/>
  <c r="AR527" i="1"/>
  <c r="CN527" i="1" s="1"/>
  <c r="AR528" i="1"/>
  <c r="CN528" i="1" s="1"/>
  <c r="AR529" i="1"/>
  <c r="CN529" i="1" s="1"/>
  <c r="AR530" i="1"/>
  <c r="CN530" i="1" s="1"/>
  <c r="AR531" i="1"/>
  <c r="CN531" i="1" s="1"/>
  <c r="AR532" i="1"/>
  <c r="CN532" i="1" s="1"/>
  <c r="AR533" i="1"/>
  <c r="CN533" i="1" s="1"/>
  <c r="AR534" i="1"/>
  <c r="CN534" i="1" s="1"/>
  <c r="AR535" i="1"/>
  <c r="CN535" i="1" s="1"/>
  <c r="AR536" i="1"/>
  <c r="CN536" i="1" s="1"/>
  <c r="AR537" i="1"/>
  <c r="CN537" i="1" s="1"/>
  <c r="AR538" i="1"/>
  <c r="CN538" i="1" s="1"/>
  <c r="AR539" i="1"/>
  <c r="CN539" i="1" s="1"/>
  <c r="AR540" i="1"/>
  <c r="CN540" i="1" s="1"/>
  <c r="AR541" i="1"/>
  <c r="CN541" i="1" s="1"/>
  <c r="AR542" i="1"/>
  <c r="CN542" i="1" s="1"/>
  <c r="AR543" i="1"/>
  <c r="CN543" i="1" s="1"/>
  <c r="AR544" i="1"/>
  <c r="CN544" i="1" s="1"/>
  <c r="AR545" i="1"/>
  <c r="CN545" i="1" s="1"/>
  <c r="AR546" i="1"/>
  <c r="CN546" i="1" s="1"/>
  <c r="AR547" i="1"/>
  <c r="CN547" i="1" s="1"/>
  <c r="AR548" i="1"/>
  <c r="CN548" i="1" s="1"/>
  <c r="AR549" i="1"/>
  <c r="CN549" i="1" s="1"/>
  <c r="AR550" i="1"/>
  <c r="CN550" i="1" s="1"/>
  <c r="AR551" i="1"/>
  <c r="CN551" i="1" s="1"/>
  <c r="AR552" i="1"/>
  <c r="CN552" i="1" s="1"/>
  <c r="AR553" i="1"/>
  <c r="CN553" i="1" s="1"/>
  <c r="AR554" i="1"/>
  <c r="CN554" i="1" s="1"/>
  <c r="AR555" i="1"/>
  <c r="CN555" i="1" s="1"/>
  <c r="AR556" i="1"/>
  <c r="CN556" i="1" s="1"/>
  <c r="AR557" i="1"/>
  <c r="CN557" i="1" s="1"/>
  <c r="AR558" i="1"/>
  <c r="CN558" i="1" s="1"/>
  <c r="AR559" i="1"/>
  <c r="CN559" i="1" s="1"/>
  <c r="AR560" i="1"/>
  <c r="CN560" i="1" s="1"/>
  <c r="AR561" i="1"/>
  <c r="CN561" i="1" s="1"/>
  <c r="AR562" i="1"/>
  <c r="CN562" i="1" s="1"/>
  <c r="AR563" i="1"/>
  <c r="CN563" i="1" s="1"/>
  <c r="AR564" i="1"/>
  <c r="CN564" i="1" s="1"/>
  <c r="AR565" i="1"/>
  <c r="CN565" i="1" s="1"/>
  <c r="AR566" i="1"/>
  <c r="CN566" i="1" s="1"/>
  <c r="AR567" i="1"/>
  <c r="CN567" i="1" s="1"/>
  <c r="AR568" i="1"/>
  <c r="CN568" i="1" s="1"/>
  <c r="AR569" i="1"/>
  <c r="CN569" i="1" s="1"/>
  <c r="AR570" i="1"/>
  <c r="CN570" i="1" s="1"/>
  <c r="AR571" i="1"/>
  <c r="CN571" i="1" s="1"/>
  <c r="AR572" i="1"/>
  <c r="CN572" i="1" s="1"/>
  <c r="AR3" i="1"/>
  <c r="CN3" i="1" s="1"/>
  <c r="AR4" i="1"/>
  <c r="CN4" i="1" s="1"/>
  <c r="AR5" i="1"/>
  <c r="CN5" i="1" s="1"/>
  <c r="AR6" i="1"/>
  <c r="CN6" i="1" s="1"/>
  <c r="AR7" i="1"/>
  <c r="CN7" i="1" s="1"/>
  <c r="AR8" i="1"/>
  <c r="CN8" i="1" s="1"/>
  <c r="AR9" i="1"/>
  <c r="CN9" i="1" s="1"/>
  <c r="AR10" i="1"/>
  <c r="CN10" i="1" s="1"/>
  <c r="AR11" i="1"/>
  <c r="CN11" i="1" s="1"/>
  <c r="AR12" i="1"/>
  <c r="CN12" i="1" s="1"/>
  <c r="AR2" i="1"/>
  <c r="CN2" i="1" s="1"/>
  <c r="AV3" i="1"/>
  <c r="CI3" i="1" s="1"/>
  <c r="AV4" i="1"/>
  <c r="CI4" i="1" s="1"/>
  <c r="AV5" i="1"/>
  <c r="CI5" i="1" s="1"/>
  <c r="AV6" i="1"/>
  <c r="CI6" i="1" s="1"/>
  <c r="AV7" i="1"/>
  <c r="CI7" i="1" s="1"/>
  <c r="AV8" i="1"/>
  <c r="CI8" i="1" s="1"/>
  <c r="AV9" i="1"/>
  <c r="CI9" i="1" s="1"/>
  <c r="AV10" i="1"/>
  <c r="CI10" i="1" s="1"/>
  <c r="AV11" i="1"/>
  <c r="CI11" i="1" s="1"/>
  <c r="AV12" i="1"/>
  <c r="CI12" i="1" s="1"/>
  <c r="AV13" i="1"/>
  <c r="CI13" i="1" s="1"/>
  <c r="AV14" i="1"/>
  <c r="CI14" i="1" s="1"/>
  <c r="AV15" i="1"/>
  <c r="CI15" i="1" s="1"/>
  <c r="AV16" i="1"/>
  <c r="CI16" i="1" s="1"/>
  <c r="AV17" i="1"/>
  <c r="CI17" i="1" s="1"/>
  <c r="AV18" i="1"/>
  <c r="CI18" i="1" s="1"/>
  <c r="AV19" i="1"/>
  <c r="CI19" i="1" s="1"/>
  <c r="AV20" i="1"/>
  <c r="CI20" i="1" s="1"/>
  <c r="AV21" i="1"/>
  <c r="CI21" i="1" s="1"/>
  <c r="AV22" i="1"/>
  <c r="CI22" i="1" s="1"/>
  <c r="AV23" i="1"/>
  <c r="CI23" i="1" s="1"/>
  <c r="AV24" i="1"/>
  <c r="CI24" i="1" s="1"/>
  <c r="AV25" i="1"/>
  <c r="CI25" i="1" s="1"/>
  <c r="AV26" i="1"/>
  <c r="CI26" i="1" s="1"/>
  <c r="AV27" i="1"/>
  <c r="CI27" i="1" s="1"/>
  <c r="AV28" i="1"/>
  <c r="CI28" i="1" s="1"/>
  <c r="AV29" i="1"/>
  <c r="CI29" i="1" s="1"/>
  <c r="AV30" i="1"/>
  <c r="CI30" i="1" s="1"/>
  <c r="AV31" i="1"/>
  <c r="CI31" i="1" s="1"/>
  <c r="AV32" i="1"/>
  <c r="CI32" i="1" s="1"/>
  <c r="AV33" i="1"/>
  <c r="CI33" i="1" s="1"/>
  <c r="AV34" i="1"/>
  <c r="CI34" i="1" s="1"/>
  <c r="AV35" i="1"/>
  <c r="CI35" i="1" s="1"/>
  <c r="AV36" i="1"/>
  <c r="CI36" i="1" s="1"/>
  <c r="AV37" i="1"/>
  <c r="CI37" i="1" s="1"/>
  <c r="AV38" i="1"/>
  <c r="CI38" i="1" s="1"/>
  <c r="AV39" i="1"/>
  <c r="CI39" i="1" s="1"/>
  <c r="AV40" i="1"/>
  <c r="CI40" i="1" s="1"/>
  <c r="AV41" i="1"/>
  <c r="CI41" i="1" s="1"/>
  <c r="AV42" i="1"/>
  <c r="CI42" i="1" s="1"/>
  <c r="AV43" i="1"/>
  <c r="CI43" i="1" s="1"/>
  <c r="AV44" i="1"/>
  <c r="CI44" i="1" s="1"/>
  <c r="AV45" i="1"/>
  <c r="CI45" i="1" s="1"/>
  <c r="AV46" i="1"/>
  <c r="CI46" i="1" s="1"/>
  <c r="AV47" i="1"/>
  <c r="CI47" i="1" s="1"/>
  <c r="AV48" i="1"/>
  <c r="CI48" i="1" s="1"/>
  <c r="AV49" i="1"/>
  <c r="CI49" i="1" s="1"/>
  <c r="AV50" i="1"/>
  <c r="CI50" i="1" s="1"/>
  <c r="AV51" i="1"/>
  <c r="CI51" i="1" s="1"/>
  <c r="AV52" i="1"/>
  <c r="CI52" i="1" s="1"/>
  <c r="AV53" i="1"/>
  <c r="CI53" i="1" s="1"/>
  <c r="AV54" i="1"/>
  <c r="CI54" i="1" s="1"/>
  <c r="AV55" i="1"/>
  <c r="CI55" i="1" s="1"/>
  <c r="AV56" i="1"/>
  <c r="CI56" i="1" s="1"/>
  <c r="AV57" i="1"/>
  <c r="CI57" i="1" s="1"/>
  <c r="AV58" i="1"/>
  <c r="CI58" i="1" s="1"/>
  <c r="AV59" i="1"/>
  <c r="CI59" i="1" s="1"/>
  <c r="AV60" i="1"/>
  <c r="CI60" i="1" s="1"/>
  <c r="AV61" i="1"/>
  <c r="CI61" i="1" s="1"/>
  <c r="AV62" i="1"/>
  <c r="CI62" i="1" s="1"/>
  <c r="AV63" i="1"/>
  <c r="CI63" i="1" s="1"/>
  <c r="AV64" i="1"/>
  <c r="CI64" i="1" s="1"/>
  <c r="AV65" i="1"/>
  <c r="CI65" i="1" s="1"/>
  <c r="AV66" i="1"/>
  <c r="CI66" i="1" s="1"/>
  <c r="AV67" i="1"/>
  <c r="CI67" i="1" s="1"/>
  <c r="AV68" i="1"/>
  <c r="CI68" i="1" s="1"/>
  <c r="AV69" i="1"/>
  <c r="CI69" i="1" s="1"/>
  <c r="AV70" i="1"/>
  <c r="CI70" i="1" s="1"/>
  <c r="AV71" i="1"/>
  <c r="CI71" i="1" s="1"/>
  <c r="AV72" i="1"/>
  <c r="CI72" i="1" s="1"/>
  <c r="AV73" i="1"/>
  <c r="CI73" i="1" s="1"/>
  <c r="AV74" i="1"/>
  <c r="CI74" i="1" s="1"/>
  <c r="AV75" i="1"/>
  <c r="CI75" i="1" s="1"/>
  <c r="AV76" i="1"/>
  <c r="CI76" i="1" s="1"/>
  <c r="AV77" i="1"/>
  <c r="CI77" i="1" s="1"/>
  <c r="AV78" i="1"/>
  <c r="CI78" i="1" s="1"/>
  <c r="AV79" i="1"/>
  <c r="CI79" i="1" s="1"/>
  <c r="AV80" i="1"/>
  <c r="CI80" i="1" s="1"/>
  <c r="AV81" i="1"/>
  <c r="CI81" i="1" s="1"/>
  <c r="AV82" i="1"/>
  <c r="CI82" i="1" s="1"/>
  <c r="AV83" i="1"/>
  <c r="CI83" i="1" s="1"/>
  <c r="AV84" i="1"/>
  <c r="CI84" i="1" s="1"/>
  <c r="AV85" i="1"/>
  <c r="CI85" i="1" s="1"/>
  <c r="AV86" i="1"/>
  <c r="CI86" i="1" s="1"/>
  <c r="AV87" i="1"/>
  <c r="CI87" i="1" s="1"/>
  <c r="AV88" i="1"/>
  <c r="CI88" i="1" s="1"/>
  <c r="AV89" i="1"/>
  <c r="CI89" i="1" s="1"/>
  <c r="AV90" i="1"/>
  <c r="CI90" i="1" s="1"/>
  <c r="AV91" i="1"/>
  <c r="CI91" i="1" s="1"/>
  <c r="AV92" i="1"/>
  <c r="CI92" i="1" s="1"/>
  <c r="AV93" i="1"/>
  <c r="CI93" i="1" s="1"/>
  <c r="AV94" i="1"/>
  <c r="CI94" i="1" s="1"/>
  <c r="AV95" i="1"/>
  <c r="CI95" i="1" s="1"/>
  <c r="AV96" i="1"/>
  <c r="CI96" i="1" s="1"/>
  <c r="AV97" i="1"/>
  <c r="CI97" i="1" s="1"/>
  <c r="AV98" i="1"/>
  <c r="CI98" i="1" s="1"/>
  <c r="AV99" i="1"/>
  <c r="CI99" i="1" s="1"/>
  <c r="AV100" i="1"/>
  <c r="CI100" i="1" s="1"/>
  <c r="AV101" i="1"/>
  <c r="CI101" i="1" s="1"/>
  <c r="AV102" i="1"/>
  <c r="CI102" i="1" s="1"/>
  <c r="AV103" i="1"/>
  <c r="CI103" i="1" s="1"/>
  <c r="AV104" i="1"/>
  <c r="CI104" i="1" s="1"/>
  <c r="AV105" i="1"/>
  <c r="CI105" i="1" s="1"/>
  <c r="AV106" i="1"/>
  <c r="CI106" i="1" s="1"/>
  <c r="AV107" i="1"/>
  <c r="CI107" i="1" s="1"/>
  <c r="AV108" i="1"/>
  <c r="CI108" i="1" s="1"/>
  <c r="AV109" i="1"/>
  <c r="CI109" i="1" s="1"/>
  <c r="AV110" i="1"/>
  <c r="CI110" i="1" s="1"/>
  <c r="AV111" i="1"/>
  <c r="CI111" i="1" s="1"/>
  <c r="AV112" i="1"/>
  <c r="CI112" i="1" s="1"/>
  <c r="AV113" i="1"/>
  <c r="CI113" i="1" s="1"/>
  <c r="AV114" i="1"/>
  <c r="CI114" i="1" s="1"/>
  <c r="AV115" i="1"/>
  <c r="CI115" i="1" s="1"/>
  <c r="AV116" i="1"/>
  <c r="CI116" i="1" s="1"/>
  <c r="AV117" i="1"/>
  <c r="CI117" i="1" s="1"/>
  <c r="AV118" i="1"/>
  <c r="CI118" i="1" s="1"/>
  <c r="AV119" i="1"/>
  <c r="CI119" i="1" s="1"/>
  <c r="AV120" i="1"/>
  <c r="CI120" i="1" s="1"/>
  <c r="AV121" i="1"/>
  <c r="CI121" i="1" s="1"/>
  <c r="AV122" i="1"/>
  <c r="CI122" i="1" s="1"/>
  <c r="AV123" i="1"/>
  <c r="CI123" i="1" s="1"/>
  <c r="AV124" i="1"/>
  <c r="CI124" i="1" s="1"/>
  <c r="AV125" i="1"/>
  <c r="CI125" i="1" s="1"/>
  <c r="AV126" i="1"/>
  <c r="CI126" i="1" s="1"/>
  <c r="AV127" i="1"/>
  <c r="CI127" i="1" s="1"/>
  <c r="AV128" i="1"/>
  <c r="CI128" i="1" s="1"/>
  <c r="AV129" i="1"/>
  <c r="CI129" i="1" s="1"/>
  <c r="AV130" i="1"/>
  <c r="CI130" i="1" s="1"/>
  <c r="AV131" i="1"/>
  <c r="CI131" i="1" s="1"/>
  <c r="AV132" i="1"/>
  <c r="CI132" i="1" s="1"/>
  <c r="AV133" i="1"/>
  <c r="CI133" i="1" s="1"/>
  <c r="AV134" i="1"/>
  <c r="CI134" i="1" s="1"/>
  <c r="AV135" i="1"/>
  <c r="CI135" i="1" s="1"/>
  <c r="AV136" i="1"/>
  <c r="CI136" i="1" s="1"/>
  <c r="AV137" i="1"/>
  <c r="CI137" i="1" s="1"/>
  <c r="AV138" i="1"/>
  <c r="CI138" i="1" s="1"/>
  <c r="AV139" i="1"/>
  <c r="CI139" i="1" s="1"/>
  <c r="AV140" i="1"/>
  <c r="CI140" i="1" s="1"/>
  <c r="AV141" i="1"/>
  <c r="CI141" i="1" s="1"/>
  <c r="AV142" i="1"/>
  <c r="CI142" i="1" s="1"/>
  <c r="AV143" i="1"/>
  <c r="CI143" i="1" s="1"/>
  <c r="AV144" i="1"/>
  <c r="CI144" i="1" s="1"/>
  <c r="AV145" i="1"/>
  <c r="CI145" i="1" s="1"/>
  <c r="AV146" i="1"/>
  <c r="CI146" i="1" s="1"/>
  <c r="AV147" i="1"/>
  <c r="CI147" i="1" s="1"/>
  <c r="AV148" i="1"/>
  <c r="CI148" i="1" s="1"/>
  <c r="AV149" i="1"/>
  <c r="CI149" i="1" s="1"/>
  <c r="AV150" i="1"/>
  <c r="CI150" i="1" s="1"/>
  <c r="AV151" i="1"/>
  <c r="CI151" i="1" s="1"/>
  <c r="AV152" i="1"/>
  <c r="CI152" i="1" s="1"/>
  <c r="AV153" i="1"/>
  <c r="CI153" i="1" s="1"/>
  <c r="AV154" i="1"/>
  <c r="CI154" i="1" s="1"/>
  <c r="AV155" i="1"/>
  <c r="CI155" i="1" s="1"/>
  <c r="AV156" i="1"/>
  <c r="CI156" i="1" s="1"/>
  <c r="AV157" i="1"/>
  <c r="CI157" i="1" s="1"/>
  <c r="AV158" i="1"/>
  <c r="CI158" i="1" s="1"/>
  <c r="AV159" i="1"/>
  <c r="CI159" i="1" s="1"/>
  <c r="AV160" i="1"/>
  <c r="CI160" i="1" s="1"/>
  <c r="AV161" i="1"/>
  <c r="CI161" i="1" s="1"/>
  <c r="AV162" i="1"/>
  <c r="CI162" i="1" s="1"/>
  <c r="AV163" i="1"/>
  <c r="CI163" i="1" s="1"/>
  <c r="AV164" i="1"/>
  <c r="CI164" i="1" s="1"/>
  <c r="AV165" i="1"/>
  <c r="CI165" i="1" s="1"/>
  <c r="AV166" i="1"/>
  <c r="CI166" i="1" s="1"/>
  <c r="AV167" i="1"/>
  <c r="CI167" i="1" s="1"/>
  <c r="AV168" i="1"/>
  <c r="CI168" i="1" s="1"/>
  <c r="AV169" i="1"/>
  <c r="CI169" i="1" s="1"/>
  <c r="AV170" i="1"/>
  <c r="CI170" i="1" s="1"/>
  <c r="AV171" i="1"/>
  <c r="CI171" i="1" s="1"/>
  <c r="AV172" i="1"/>
  <c r="CI172" i="1" s="1"/>
  <c r="AV173" i="1"/>
  <c r="CI173" i="1" s="1"/>
  <c r="AV174" i="1"/>
  <c r="CI174" i="1" s="1"/>
  <c r="AV175" i="1"/>
  <c r="CI175" i="1" s="1"/>
  <c r="AV176" i="1"/>
  <c r="CI176" i="1" s="1"/>
  <c r="AV177" i="1"/>
  <c r="CI177" i="1" s="1"/>
  <c r="AV178" i="1"/>
  <c r="CI178" i="1" s="1"/>
  <c r="AV179" i="1"/>
  <c r="CI179" i="1" s="1"/>
  <c r="AV180" i="1"/>
  <c r="CI180" i="1" s="1"/>
  <c r="AV181" i="1"/>
  <c r="CI181" i="1" s="1"/>
  <c r="AV182" i="1"/>
  <c r="CI182" i="1" s="1"/>
  <c r="AV183" i="1"/>
  <c r="CI183" i="1" s="1"/>
  <c r="AV184" i="1"/>
  <c r="CI184" i="1" s="1"/>
  <c r="AV185" i="1"/>
  <c r="CI185" i="1" s="1"/>
  <c r="AV186" i="1"/>
  <c r="CI186" i="1" s="1"/>
  <c r="AV187" i="1"/>
  <c r="CI187" i="1" s="1"/>
  <c r="AV188" i="1"/>
  <c r="CI188" i="1" s="1"/>
  <c r="AV189" i="1"/>
  <c r="CI189" i="1" s="1"/>
  <c r="AV190" i="1"/>
  <c r="CI190" i="1" s="1"/>
  <c r="AV191" i="1"/>
  <c r="CI191" i="1" s="1"/>
  <c r="AV192" i="1"/>
  <c r="CI192" i="1" s="1"/>
  <c r="AV193" i="1"/>
  <c r="CI193" i="1" s="1"/>
  <c r="AV194" i="1"/>
  <c r="CI194" i="1" s="1"/>
  <c r="AV195" i="1"/>
  <c r="CI195" i="1" s="1"/>
  <c r="AV196" i="1"/>
  <c r="CI196" i="1" s="1"/>
  <c r="AV197" i="1"/>
  <c r="CI197" i="1" s="1"/>
  <c r="AV198" i="1"/>
  <c r="CI198" i="1" s="1"/>
  <c r="AV199" i="1"/>
  <c r="CI199" i="1" s="1"/>
  <c r="AV200" i="1"/>
  <c r="CI200" i="1" s="1"/>
  <c r="AV201" i="1"/>
  <c r="CI201" i="1" s="1"/>
  <c r="AV202" i="1"/>
  <c r="CI202" i="1" s="1"/>
  <c r="AV203" i="1"/>
  <c r="CI203" i="1" s="1"/>
  <c r="AV204" i="1"/>
  <c r="CI204" i="1" s="1"/>
  <c r="AV205" i="1"/>
  <c r="CI205" i="1" s="1"/>
  <c r="AV206" i="1"/>
  <c r="CI206" i="1" s="1"/>
  <c r="AV207" i="1"/>
  <c r="CI207" i="1" s="1"/>
  <c r="AV208" i="1"/>
  <c r="CI208" i="1" s="1"/>
  <c r="AV209" i="1"/>
  <c r="CI209" i="1" s="1"/>
  <c r="AV210" i="1"/>
  <c r="CI210" i="1" s="1"/>
  <c r="AV211" i="1"/>
  <c r="CI211" i="1" s="1"/>
  <c r="AV212" i="1"/>
  <c r="CI212" i="1" s="1"/>
  <c r="AV213" i="1"/>
  <c r="CI213" i="1" s="1"/>
  <c r="AV214" i="1"/>
  <c r="CI214" i="1" s="1"/>
  <c r="AV215" i="1"/>
  <c r="CI215" i="1" s="1"/>
  <c r="AV216" i="1"/>
  <c r="CI216" i="1" s="1"/>
  <c r="AV217" i="1"/>
  <c r="CI217" i="1" s="1"/>
  <c r="AV218" i="1"/>
  <c r="CI218" i="1" s="1"/>
  <c r="AV219" i="1"/>
  <c r="CI219" i="1" s="1"/>
  <c r="AV220" i="1"/>
  <c r="CI220" i="1" s="1"/>
  <c r="AV221" i="1"/>
  <c r="CI221" i="1" s="1"/>
  <c r="AV222" i="1"/>
  <c r="CI222" i="1" s="1"/>
  <c r="AV223" i="1"/>
  <c r="CI223" i="1" s="1"/>
  <c r="AV224" i="1"/>
  <c r="CI224" i="1" s="1"/>
  <c r="AV225" i="1"/>
  <c r="CI225" i="1" s="1"/>
  <c r="AV226" i="1"/>
  <c r="CI226" i="1" s="1"/>
  <c r="AV227" i="1"/>
  <c r="CI227" i="1" s="1"/>
  <c r="AV228" i="1"/>
  <c r="CI228" i="1" s="1"/>
  <c r="AV229" i="1"/>
  <c r="CI229" i="1" s="1"/>
  <c r="AV230" i="1"/>
  <c r="CI230" i="1" s="1"/>
  <c r="AV231" i="1"/>
  <c r="CI231" i="1" s="1"/>
  <c r="AV232" i="1"/>
  <c r="CI232" i="1" s="1"/>
  <c r="AV233" i="1"/>
  <c r="CI233" i="1" s="1"/>
  <c r="AV234" i="1"/>
  <c r="CI234" i="1" s="1"/>
  <c r="AV235" i="1"/>
  <c r="CI235" i="1" s="1"/>
  <c r="AV236" i="1"/>
  <c r="CI236" i="1" s="1"/>
  <c r="AV237" i="1"/>
  <c r="CI237" i="1" s="1"/>
  <c r="AV238" i="1"/>
  <c r="CI238" i="1" s="1"/>
  <c r="AV239" i="1"/>
  <c r="CI239" i="1" s="1"/>
  <c r="AV240" i="1"/>
  <c r="CI240" i="1" s="1"/>
  <c r="AV241" i="1"/>
  <c r="CI241" i="1" s="1"/>
  <c r="AV242" i="1"/>
  <c r="CI242" i="1" s="1"/>
  <c r="AV243" i="1"/>
  <c r="CI243" i="1" s="1"/>
  <c r="AV244" i="1"/>
  <c r="CI244" i="1" s="1"/>
  <c r="AV245" i="1"/>
  <c r="CI245" i="1" s="1"/>
  <c r="AV246" i="1"/>
  <c r="CI246" i="1" s="1"/>
  <c r="AV247" i="1"/>
  <c r="CI247" i="1" s="1"/>
  <c r="AV248" i="1"/>
  <c r="CI248" i="1" s="1"/>
  <c r="AV249" i="1"/>
  <c r="CI249" i="1" s="1"/>
  <c r="AV250" i="1"/>
  <c r="CI250" i="1" s="1"/>
  <c r="AV251" i="1"/>
  <c r="CI251" i="1" s="1"/>
  <c r="AV252" i="1"/>
  <c r="CI252" i="1" s="1"/>
  <c r="AV253" i="1"/>
  <c r="CI253" i="1" s="1"/>
  <c r="AV254" i="1"/>
  <c r="CI254" i="1" s="1"/>
  <c r="AV255" i="1"/>
  <c r="CI255" i="1" s="1"/>
  <c r="AV256" i="1"/>
  <c r="CI256" i="1" s="1"/>
  <c r="AV257" i="1"/>
  <c r="CI257" i="1" s="1"/>
  <c r="AV258" i="1"/>
  <c r="CI258" i="1" s="1"/>
  <c r="AV259" i="1"/>
  <c r="CI259" i="1" s="1"/>
  <c r="AV260" i="1"/>
  <c r="CI260" i="1" s="1"/>
  <c r="AV261" i="1"/>
  <c r="CI261" i="1" s="1"/>
  <c r="AV262" i="1"/>
  <c r="CI262" i="1" s="1"/>
  <c r="AV263" i="1"/>
  <c r="CI263" i="1" s="1"/>
  <c r="AV264" i="1"/>
  <c r="CI264" i="1" s="1"/>
  <c r="AV265" i="1"/>
  <c r="CI265" i="1" s="1"/>
  <c r="AV266" i="1"/>
  <c r="CI266" i="1" s="1"/>
  <c r="AV267" i="1"/>
  <c r="CI267" i="1" s="1"/>
  <c r="AV268" i="1"/>
  <c r="CI268" i="1" s="1"/>
  <c r="AV269" i="1"/>
  <c r="CI269" i="1" s="1"/>
  <c r="AV270" i="1"/>
  <c r="CI270" i="1" s="1"/>
  <c r="AV271" i="1"/>
  <c r="CI271" i="1" s="1"/>
  <c r="AV272" i="1"/>
  <c r="CI272" i="1" s="1"/>
  <c r="AV273" i="1"/>
  <c r="CI273" i="1" s="1"/>
  <c r="AV274" i="1"/>
  <c r="CI274" i="1" s="1"/>
  <c r="AV275" i="1"/>
  <c r="CI275" i="1" s="1"/>
  <c r="AV276" i="1"/>
  <c r="CI276" i="1" s="1"/>
  <c r="AV277" i="1"/>
  <c r="CI277" i="1" s="1"/>
  <c r="AV278" i="1"/>
  <c r="CI278" i="1" s="1"/>
  <c r="AV279" i="1"/>
  <c r="CI279" i="1" s="1"/>
  <c r="AV280" i="1"/>
  <c r="CI280" i="1" s="1"/>
  <c r="AV281" i="1"/>
  <c r="CI281" i="1" s="1"/>
  <c r="AV282" i="1"/>
  <c r="CI282" i="1" s="1"/>
  <c r="AV283" i="1"/>
  <c r="CI283" i="1" s="1"/>
  <c r="AV284" i="1"/>
  <c r="CI284" i="1" s="1"/>
  <c r="AV285" i="1"/>
  <c r="CI285" i="1" s="1"/>
  <c r="AV286" i="1"/>
  <c r="CI286" i="1" s="1"/>
  <c r="AV287" i="1"/>
  <c r="CI287" i="1" s="1"/>
  <c r="AV288" i="1"/>
  <c r="CI288" i="1" s="1"/>
  <c r="AV289" i="1"/>
  <c r="CI289" i="1" s="1"/>
  <c r="AV290" i="1"/>
  <c r="CI290" i="1" s="1"/>
  <c r="AV291" i="1"/>
  <c r="CI291" i="1" s="1"/>
  <c r="AV292" i="1"/>
  <c r="CI292" i="1" s="1"/>
  <c r="AV293" i="1"/>
  <c r="CI293" i="1" s="1"/>
  <c r="AV294" i="1"/>
  <c r="CI294" i="1" s="1"/>
  <c r="AV295" i="1"/>
  <c r="CI295" i="1" s="1"/>
  <c r="AV296" i="1"/>
  <c r="CI296" i="1" s="1"/>
  <c r="AV297" i="1"/>
  <c r="CI297" i="1" s="1"/>
  <c r="AV298" i="1"/>
  <c r="AV299" i="1"/>
  <c r="CI299" i="1" s="1"/>
  <c r="AV300" i="1"/>
  <c r="CI300" i="1" s="1"/>
  <c r="AV301" i="1"/>
  <c r="CI301" i="1" s="1"/>
  <c r="AV302" i="1"/>
  <c r="CI302" i="1" s="1"/>
  <c r="AV303" i="1"/>
  <c r="CI303" i="1" s="1"/>
  <c r="AV304" i="1"/>
  <c r="CI304" i="1" s="1"/>
  <c r="AV305" i="1"/>
  <c r="CI305" i="1" s="1"/>
  <c r="AV306" i="1"/>
  <c r="CI306" i="1" s="1"/>
  <c r="AV307" i="1"/>
  <c r="CI307" i="1" s="1"/>
  <c r="AV308" i="1"/>
  <c r="CI308" i="1" s="1"/>
  <c r="AV309" i="1"/>
  <c r="CI309" i="1" s="1"/>
  <c r="AV310" i="1"/>
  <c r="CI310" i="1" s="1"/>
  <c r="AV311" i="1"/>
  <c r="CI311" i="1" s="1"/>
  <c r="AV312" i="1"/>
  <c r="CI312" i="1" s="1"/>
  <c r="AV313" i="1"/>
  <c r="CI313" i="1" s="1"/>
  <c r="AV314" i="1"/>
  <c r="CI314" i="1" s="1"/>
  <c r="AV315" i="1"/>
  <c r="CI315" i="1" s="1"/>
  <c r="AV316" i="1"/>
  <c r="CI316" i="1" s="1"/>
  <c r="AV317" i="1"/>
  <c r="CI317" i="1" s="1"/>
  <c r="AV318" i="1"/>
  <c r="CI318" i="1" s="1"/>
  <c r="AV319" i="1"/>
  <c r="CI319" i="1" s="1"/>
  <c r="AV320" i="1"/>
  <c r="CI320" i="1" s="1"/>
  <c r="AV321" i="1"/>
  <c r="CI321" i="1" s="1"/>
  <c r="AV322" i="1"/>
  <c r="CI322" i="1" s="1"/>
  <c r="AV323" i="1"/>
  <c r="CI323" i="1" s="1"/>
  <c r="AV324" i="1"/>
  <c r="CI324" i="1" s="1"/>
  <c r="AV325" i="1"/>
  <c r="CI325" i="1" s="1"/>
  <c r="AV326" i="1"/>
  <c r="CI326" i="1" s="1"/>
  <c r="AV327" i="1"/>
  <c r="CI327" i="1" s="1"/>
  <c r="AV328" i="1"/>
  <c r="CI328" i="1" s="1"/>
  <c r="AV329" i="1"/>
  <c r="CI329" i="1" s="1"/>
  <c r="AV330" i="1"/>
  <c r="CI330" i="1" s="1"/>
  <c r="AV331" i="1"/>
  <c r="CI331" i="1" s="1"/>
  <c r="AV332" i="1"/>
  <c r="CI332" i="1" s="1"/>
  <c r="AV333" i="1"/>
  <c r="CI333" i="1" s="1"/>
  <c r="AV334" i="1"/>
  <c r="CI334" i="1" s="1"/>
  <c r="AV335" i="1"/>
  <c r="CI335" i="1" s="1"/>
  <c r="AV336" i="1"/>
  <c r="CI336" i="1" s="1"/>
  <c r="AV337" i="1"/>
  <c r="CI337" i="1" s="1"/>
  <c r="AV338" i="1"/>
  <c r="CI338" i="1" s="1"/>
  <c r="AV339" i="1"/>
  <c r="CI339" i="1" s="1"/>
  <c r="AV340" i="1"/>
  <c r="CI340" i="1" s="1"/>
  <c r="AV341" i="1"/>
  <c r="CI341" i="1" s="1"/>
  <c r="AV342" i="1"/>
  <c r="CI342" i="1" s="1"/>
  <c r="AV343" i="1"/>
  <c r="CI343" i="1" s="1"/>
  <c r="AV344" i="1"/>
  <c r="CI344" i="1" s="1"/>
  <c r="AV345" i="1"/>
  <c r="CI345" i="1" s="1"/>
  <c r="AV346" i="1"/>
  <c r="CI346" i="1" s="1"/>
  <c r="AV347" i="1"/>
  <c r="CI347" i="1" s="1"/>
  <c r="AV348" i="1"/>
  <c r="CI348" i="1" s="1"/>
  <c r="AV349" i="1"/>
  <c r="CI349" i="1" s="1"/>
  <c r="AV350" i="1"/>
  <c r="CI350" i="1" s="1"/>
  <c r="AV351" i="1"/>
  <c r="CI351" i="1" s="1"/>
  <c r="AV352" i="1"/>
  <c r="CI352" i="1" s="1"/>
  <c r="AV353" i="1"/>
  <c r="CI353" i="1" s="1"/>
  <c r="AV354" i="1"/>
  <c r="CI354" i="1" s="1"/>
  <c r="AV355" i="1"/>
  <c r="CI355" i="1" s="1"/>
  <c r="AV356" i="1"/>
  <c r="CI356" i="1" s="1"/>
  <c r="AV357" i="1"/>
  <c r="CI357" i="1" s="1"/>
  <c r="AV358" i="1"/>
  <c r="CI358" i="1" s="1"/>
  <c r="AV359" i="1"/>
  <c r="CI359" i="1" s="1"/>
  <c r="AV360" i="1"/>
  <c r="CI360" i="1" s="1"/>
  <c r="AV361" i="1"/>
  <c r="CI361" i="1" s="1"/>
  <c r="AV362" i="1"/>
  <c r="CI362" i="1" s="1"/>
  <c r="AV363" i="1"/>
  <c r="CI363" i="1" s="1"/>
  <c r="AV364" i="1"/>
  <c r="CI364" i="1" s="1"/>
  <c r="AV365" i="1"/>
  <c r="CI365" i="1" s="1"/>
  <c r="AV366" i="1"/>
  <c r="CI366" i="1" s="1"/>
  <c r="AV367" i="1"/>
  <c r="CI367" i="1" s="1"/>
  <c r="AV368" i="1"/>
  <c r="CI368" i="1" s="1"/>
  <c r="AV369" i="1"/>
  <c r="CI369" i="1" s="1"/>
  <c r="AV370" i="1"/>
  <c r="CI370" i="1" s="1"/>
  <c r="AV371" i="1"/>
  <c r="CI371" i="1" s="1"/>
  <c r="AV372" i="1"/>
  <c r="CI372" i="1" s="1"/>
  <c r="AV373" i="1"/>
  <c r="CI373" i="1" s="1"/>
  <c r="AV374" i="1"/>
  <c r="CI374" i="1" s="1"/>
  <c r="AV375" i="1"/>
  <c r="CI375" i="1" s="1"/>
  <c r="AV376" i="1"/>
  <c r="CI376" i="1" s="1"/>
  <c r="AV377" i="1"/>
  <c r="CI377" i="1" s="1"/>
  <c r="AV378" i="1"/>
  <c r="CI378" i="1" s="1"/>
  <c r="AV379" i="1"/>
  <c r="CI379" i="1" s="1"/>
  <c r="AV380" i="1"/>
  <c r="CI380" i="1" s="1"/>
  <c r="AV381" i="1"/>
  <c r="CI381" i="1" s="1"/>
  <c r="AV382" i="1"/>
  <c r="CI382" i="1" s="1"/>
  <c r="AV383" i="1"/>
  <c r="CI383" i="1" s="1"/>
  <c r="AV384" i="1"/>
  <c r="CI384" i="1" s="1"/>
  <c r="AV385" i="1"/>
  <c r="CI385" i="1" s="1"/>
  <c r="AV386" i="1"/>
  <c r="CI386" i="1" s="1"/>
  <c r="AV387" i="1"/>
  <c r="CI387" i="1" s="1"/>
  <c r="AV388" i="1"/>
  <c r="CI388" i="1" s="1"/>
  <c r="AV389" i="1"/>
  <c r="CI389" i="1" s="1"/>
  <c r="AV390" i="1"/>
  <c r="CI390" i="1" s="1"/>
  <c r="AV391" i="1"/>
  <c r="CI391" i="1" s="1"/>
  <c r="AV392" i="1"/>
  <c r="CI392" i="1" s="1"/>
  <c r="AV393" i="1"/>
  <c r="CI393" i="1" s="1"/>
  <c r="AV394" i="1"/>
  <c r="CI394" i="1" s="1"/>
  <c r="AV395" i="1"/>
  <c r="CI395" i="1" s="1"/>
  <c r="AV396" i="1"/>
  <c r="CI396" i="1" s="1"/>
  <c r="AV397" i="1"/>
  <c r="CI397" i="1" s="1"/>
  <c r="AV398" i="1"/>
  <c r="CI398" i="1" s="1"/>
  <c r="AV399" i="1"/>
  <c r="CI399" i="1" s="1"/>
  <c r="AV400" i="1"/>
  <c r="CI400" i="1" s="1"/>
  <c r="AV401" i="1"/>
  <c r="CI401" i="1" s="1"/>
  <c r="AV402" i="1"/>
  <c r="CI402" i="1" s="1"/>
  <c r="AV403" i="1"/>
  <c r="CI403" i="1" s="1"/>
  <c r="AV404" i="1"/>
  <c r="CI404" i="1" s="1"/>
  <c r="AV405" i="1"/>
  <c r="CI405" i="1" s="1"/>
  <c r="AV406" i="1"/>
  <c r="CI406" i="1" s="1"/>
  <c r="AV407" i="1"/>
  <c r="CI407" i="1" s="1"/>
  <c r="AV408" i="1"/>
  <c r="CI408" i="1" s="1"/>
  <c r="AV409" i="1"/>
  <c r="CI409" i="1" s="1"/>
  <c r="AV410" i="1"/>
  <c r="CI410" i="1" s="1"/>
  <c r="AV411" i="1"/>
  <c r="CI411" i="1" s="1"/>
  <c r="AV412" i="1"/>
  <c r="CI412" i="1" s="1"/>
  <c r="AV413" i="1"/>
  <c r="CI413" i="1" s="1"/>
  <c r="AV414" i="1"/>
  <c r="CI414" i="1" s="1"/>
  <c r="AV415" i="1"/>
  <c r="CI415" i="1" s="1"/>
  <c r="AV416" i="1"/>
  <c r="CI416" i="1" s="1"/>
  <c r="AV417" i="1"/>
  <c r="CI417" i="1" s="1"/>
  <c r="AV418" i="1"/>
  <c r="CI418" i="1" s="1"/>
  <c r="AV419" i="1"/>
  <c r="CI419" i="1" s="1"/>
  <c r="AV420" i="1"/>
  <c r="CI420" i="1" s="1"/>
  <c r="AV421" i="1"/>
  <c r="CI421" i="1" s="1"/>
  <c r="AV422" i="1"/>
  <c r="CI422" i="1" s="1"/>
  <c r="AV423" i="1"/>
  <c r="CI423" i="1" s="1"/>
  <c r="AV424" i="1"/>
  <c r="CI424" i="1" s="1"/>
  <c r="AV425" i="1"/>
  <c r="CI425" i="1" s="1"/>
  <c r="AV426" i="1"/>
  <c r="CI426" i="1" s="1"/>
  <c r="AV427" i="1"/>
  <c r="CI427" i="1" s="1"/>
  <c r="AV428" i="1"/>
  <c r="CI428" i="1" s="1"/>
  <c r="AV429" i="1"/>
  <c r="CI429" i="1" s="1"/>
  <c r="AV430" i="1"/>
  <c r="CI430" i="1" s="1"/>
  <c r="AV431" i="1"/>
  <c r="CI431" i="1" s="1"/>
  <c r="AV432" i="1"/>
  <c r="CI432" i="1" s="1"/>
  <c r="AV433" i="1"/>
  <c r="CI433" i="1" s="1"/>
  <c r="AV434" i="1"/>
  <c r="CI434" i="1" s="1"/>
  <c r="AV435" i="1"/>
  <c r="CI435" i="1" s="1"/>
  <c r="AV436" i="1"/>
  <c r="CI436" i="1" s="1"/>
  <c r="AV437" i="1"/>
  <c r="CI437" i="1" s="1"/>
  <c r="AV438" i="1"/>
  <c r="CI438" i="1" s="1"/>
  <c r="AV439" i="1"/>
  <c r="CI439" i="1" s="1"/>
  <c r="AV440" i="1"/>
  <c r="CI440" i="1" s="1"/>
  <c r="AV441" i="1"/>
  <c r="CI441" i="1" s="1"/>
  <c r="AV442" i="1"/>
  <c r="CI442" i="1" s="1"/>
  <c r="AV443" i="1"/>
  <c r="CI443" i="1" s="1"/>
  <c r="AV444" i="1"/>
  <c r="CI444" i="1" s="1"/>
  <c r="AV445" i="1"/>
  <c r="CI445" i="1" s="1"/>
  <c r="AV446" i="1"/>
  <c r="CI446" i="1" s="1"/>
  <c r="AV447" i="1"/>
  <c r="CI447" i="1" s="1"/>
  <c r="AV448" i="1"/>
  <c r="CI448" i="1" s="1"/>
  <c r="AV449" i="1"/>
  <c r="CI449" i="1" s="1"/>
  <c r="AV450" i="1"/>
  <c r="CI450" i="1" s="1"/>
  <c r="AV451" i="1"/>
  <c r="CI451" i="1" s="1"/>
  <c r="AV452" i="1"/>
  <c r="CI452" i="1" s="1"/>
  <c r="AV453" i="1"/>
  <c r="CI453" i="1" s="1"/>
  <c r="AV454" i="1"/>
  <c r="CI454" i="1" s="1"/>
  <c r="AV455" i="1"/>
  <c r="CI455" i="1" s="1"/>
  <c r="AV456" i="1"/>
  <c r="CI456" i="1" s="1"/>
  <c r="AV457" i="1"/>
  <c r="CI457" i="1" s="1"/>
  <c r="AV458" i="1"/>
  <c r="CI458" i="1" s="1"/>
  <c r="AV459" i="1"/>
  <c r="CI459" i="1" s="1"/>
  <c r="AV460" i="1"/>
  <c r="CI460" i="1" s="1"/>
  <c r="AV461" i="1"/>
  <c r="CI461" i="1" s="1"/>
  <c r="AV462" i="1"/>
  <c r="CI462" i="1" s="1"/>
  <c r="AV463" i="1"/>
  <c r="CI463" i="1" s="1"/>
  <c r="AV464" i="1"/>
  <c r="CI464" i="1" s="1"/>
  <c r="AV465" i="1"/>
  <c r="CI465" i="1" s="1"/>
  <c r="AV466" i="1"/>
  <c r="CI466" i="1" s="1"/>
  <c r="AV467" i="1"/>
  <c r="CI467" i="1" s="1"/>
  <c r="AV468" i="1"/>
  <c r="CI468" i="1" s="1"/>
  <c r="AV469" i="1"/>
  <c r="CI469" i="1" s="1"/>
  <c r="AV470" i="1"/>
  <c r="CI470" i="1" s="1"/>
  <c r="AV471" i="1"/>
  <c r="CI471" i="1" s="1"/>
  <c r="AV472" i="1"/>
  <c r="CI472" i="1" s="1"/>
  <c r="AV473" i="1"/>
  <c r="CI473" i="1" s="1"/>
  <c r="AV474" i="1"/>
  <c r="CI474" i="1" s="1"/>
  <c r="AV475" i="1"/>
  <c r="CI475" i="1" s="1"/>
  <c r="AV476" i="1"/>
  <c r="CI476" i="1" s="1"/>
  <c r="AV477" i="1"/>
  <c r="CI477" i="1" s="1"/>
  <c r="AV478" i="1"/>
  <c r="CI478" i="1" s="1"/>
  <c r="AV479" i="1"/>
  <c r="CI479" i="1" s="1"/>
  <c r="AV480" i="1"/>
  <c r="CI480" i="1" s="1"/>
  <c r="AV481" i="1"/>
  <c r="CI481" i="1" s="1"/>
  <c r="AV482" i="1"/>
  <c r="CI482" i="1" s="1"/>
  <c r="AV483" i="1"/>
  <c r="CI483" i="1" s="1"/>
  <c r="AV484" i="1"/>
  <c r="CI484" i="1" s="1"/>
  <c r="AV485" i="1"/>
  <c r="CI485" i="1" s="1"/>
  <c r="AV486" i="1"/>
  <c r="CI486" i="1" s="1"/>
  <c r="AV487" i="1"/>
  <c r="CI487" i="1" s="1"/>
  <c r="AV488" i="1"/>
  <c r="CI488" i="1" s="1"/>
  <c r="AV489" i="1"/>
  <c r="CI489" i="1" s="1"/>
  <c r="AV490" i="1"/>
  <c r="CI490" i="1" s="1"/>
  <c r="AV491" i="1"/>
  <c r="CI491" i="1" s="1"/>
  <c r="AV492" i="1"/>
  <c r="CI492" i="1" s="1"/>
  <c r="AV493" i="1"/>
  <c r="CI493" i="1" s="1"/>
  <c r="AV494" i="1"/>
  <c r="CI494" i="1" s="1"/>
  <c r="AV495" i="1"/>
  <c r="CI495" i="1" s="1"/>
  <c r="AV496" i="1"/>
  <c r="CI496" i="1" s="1"/>
  <c r="AV497" i="1"/>
  <c r="CI497" i="1" s="1"/>
  <c r="AV498" i="1"/>
  <c r="CI498" i="1" s="1"/>
  <c r="AV499" i="1"/>
  <c r="CI499" i="1" s="1"/>
  <c r="AV500" i="1"/>
  <c r="CI500" i="1" s="1"/>
  <c r="AV501" i="1"/>
  <c r="CI501" i="1" s="1"/>
  <c r="AV502" i="1"/>
  <c r="CI502" i="1" s="1"/>
  <c r="AV503" i="1"/>
  <c r="CI503" i="1" s="1"/>
  <c r="AV504" i="1"/>
  <c r="CI504" i="1" s="1"/>
  <c r="AV505" i="1"/>
  <c r="CI505" i="1" s="1"/>
  <c r="AV506" i="1"/>
  <c r="CI506" i="1" s="1"/>
  <c r="AV507" i="1"/>
  <c r="CI507" i="1" s="1"/>
  <c r="AV508" i="1"/>
  <c r="CI508" i="1" s="1"/>
  <c r="AV509" i="1"/>
  <c r="CI509" i="1" s="1"/>
  <c r="AV510" i="1"/>
  <c r="CI510" i="1" s="1"/>
  <c r="AV511" i="1"/>
  <c r="CI511" i="1" s="1"/>
  <c r="AV512" i="1"/>
  <c r="CI512" i="1" s="1"/>
  <c r="AV513" i="1"/>
  <c r="CI513" i="1" s="1"/>
  <c r="AV514" i="1"/>
  <c r="CI514" i="1" s="1"/>
  <c r="AV515" i="1"/>
  <c r="CI515" i="1" s="1"/>
  <c r="AV516" i="1"/>
  <c r="CI516" i="1" s="1"/>
  <c r="AV517" i="1"/>
  <c r="CI517" i="1" s="1"/>
  <c r="AV518" i="1"/>
  <c r="CI518" i="1" s="1"/>
  <c r="AV519" i="1"/>
  <c r="CI519" i="1" s="1"/>
  <c r="AV520" i="1"/>
  <c r="CI520" i="1" s="1"/>
  <c r="AV521" i="1"/>
  <c r="CI521" i="1" s="1"/>
  <c r="AV522" i="1"/>
  <c r="CI522" i="1" s="1"/>
  <c r="AV523" i="1"/>
  <c r="CI523" i="1" s="1"/>
  <c r="AV524" i="1"/>
  <c r="CI524" i="1" s="1"/>
  <c r="AV525" i="1"/>
  <c r="CI525" i="1" s="1"/>
  <c r="AV526" i="1"/>
  <c r="CI526" i="1" s="1"/>
  <c r="AV527" i="1"/>
  <c r="CI527" i="1" s="1"/>
  <c r="AV528" i="1"/>
  <c r="CI528" i="1" s="1"/>
  <c r="AV529" i="1"/>
  <c r="CI529" i="1" s="1"/>
  <c r="AV530" i="1"/>
  <c r="CI530" i="1" s="1"/>
  <c r="AV531" i="1"/>
  <c r="CI531" i="1" s="1"/>
  <c r="AV532" i="1"/>
  <c r="CI532" i="1" s="1"/>
  <c r="AV533" i="1"/>
  <c r="CI533" i="1" s="1"/>
  <c r="AV534" i="1"/>
  <c r="CI534" i="1" s="1"/>
  <c r="AV535" i="1"/>
  <c r="CI535" i="1" s="1"/>
  <c r="AV536" i="1"/>
  <c r="CI536" i="1" s="1"/>
  <c r="AV537" i="1"/>
  <c r="CI537" i="1" s="1"/>
  <c r="AV538" i="1"/>
  <c r="CI538" i="1" s="1"/>
  <c r="AV539" i="1"/>
  <c r="CI539" i="1" s="1"/>
  <c r="AV540" i="1"/>
  <c r="CI540" i="1" s="1"/>
  <c r="AV541" i="1"/>
  <c r="CI541" i="1" s="1"/>
  <c r="AV542" i="1"/>
  <c r="CI542" i="1" s="1"/>
  <c r="AV543" i="1"/>
  <c r="CI543" i="1" s="1"/>
  <c r="AV544" i="1"/>
  <c r="CI544" i="1" s="1"/>
  <c r="AV545" i="1"/>
  <c r="CI545" i="1" s="1"/>
  <c r="AV546" i="1"/>
  <c r="CI546" i="1" s="1"/>
  <c r="AV547" i="1"/>
  <c r="CI547" i="1" s="1"/>
  <c r="AV548" i="1"/>
  <c r="CI548" i="1" s="1"/>
  <c r="AV549" i="1"/>
  <c r="CI549" i="1" s="1"/>
  <c r="AV550" i="1"/>
  <c r="CI550" i="1" s="1"/>
  <c r="AV551" i="1"/>
  <c r="CI551" i="1" s="1"/>
  <c r="AV552" i="1"/>
  <c r="CI552" i="1" s="1"/>
  <c r="AV553" i="1"/>
  <c r="CI553" i="1" s="1"/>
  <c r="AV554" i="1"/>
  <c r="CI554" i="1" s="1"/>
  <c r="AV555" i="1"/>
  <c r="CI555" i="1" s="1"/>
  <c r="AV556" i="1"/>
  <c r="CI556" i="1" s="1"/>
  <c r="AV557" i="1"/>
  <c r="CI557" i="1" s="1"/>
  <c r="AV558" i="1"/>
  <c r="CI558" i="1" s="1"/>
  <c r="AV559" i="1"/>
  <c r="CI559" i="1" s="1"/>
  <c r="AV560" i="1"/>
  <c r="CI560" i="1" s="1"/>
  <c r="AV561" i="1"/>
  <c r="CI561" i="1" s="1"/>
  <c r="AV562" i="1"/>
  <c r="CI562" i="1" s="1"/>
  <c r="AV563" i="1"/>
  <c r="CI563" i="1" s="1"/>
  <c r="AV564" i="1"/>
  <c r="CI564" i="1" s="1"/>
  <c r="AV565" i="1"/>
  <c r="CI565" i="1" s="1"/>
  <c r="AV566" i="1"/>
  <c r="CI566" i="1" s="1"/>
  <c r="AV567" i="1"/>
  <c r="CI567" i="1" s="1"/>
  <c r="AV568" i="1"/>
  <c r="CI568" i="1" s="1"/>
  <c r="AV569" i="1"/>
  <c r="CI569" i="1" s="1"/>
  <c r="AV570" i="1"/>
  <c r="CI570" i="1" s="1"/>
  <c r="AV571" i="1"/>
  <c r="CI571" i="1" s="1"/>
  <c r="AV572" i="1"/>
  <c r="CI572" i="1" s="1"/>
  <c r="AV2" i="1"/>
  <c r="CI2" i="1" s="1"/>
  <c r="CD3" i="1"/>
  <c r="CD4" i="1"/>
  <c r="CD6" i="1"/>
  <c r="CD7" i="1"/>
  <c r="CD8" i="1"/>
  <c r="CD9" i="1"/>
  <c r="CD10" i="1"/>
  <c r="CD11" i="1"/>
  <c r="CD12" i="1"/>
  <c r="CD13" i="1"/>
  <c r="CD14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1" i="1"/>
  <c r="CD32" i="1"/>
  <c r="CD33" i="1"/>
  <c r="CD34" i="1"/>
  <c r="CD35" i="1"/>
  <c r="CD36" i="1"/>
  <c r="CD37" i="1"/>
  <c r="CD38" i="1"/>
  <c r="CD39" i="1"/>
  <c r="CD40" i="1"/>
  <c r="CD41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8" i="1"/>
  <c r="CD89" i="1"/>
  <c r="CD90" i="1"/>
  <c r="CD91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10" i="1"/>
  <c r="CD112" i="1"/>
  <c r="CD113" i="1"/>
  <c r="CD114" i="1"/>
  <c r="CD115" i="1"/>
  <c r="CD116" i="1"/>
  <c r="CD117" i="1"/>
  <c r="CD119" i="1"/>
  <c r="CD120" i="1"/>
  <c r="CD121" i="1"/>
  <c r="CD122" i="1"/>
  <c r="CD123" i="1"/>
  <c r="CD124" i="1"/>
  <c r="CD125" i="1"/>
  <c r="CD128" i="1"/>
  <c r="CD129" i="1"/>
  <c r="CD130" i="1"/>
  <c r="CD131" i="1"/>
  <c r="CD133" i="1"/>
  <c r="CD134" i="1"/>
  <c r="CD135" i="1"/>
  <c r="CD136" i="1"/>
  <c r="CD137" i="1"/>
  <c r="CD138" i="1"/>
  <c r="CD139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219" i="1"/>
  <c r="CD220" i="1"/>
  <c r="CD221" i="1"/>
  <c r="CD222" i="1"/>
  <c r="CD223" i="1"/>
  <c r="CD224" i="1"/>
  <c r="CD226" i="1"/>
  <c r="CD227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8" i="1"/>
  <c r="CD249" i="1"/>
  <c r="CD250" i="1"/>
  <c r="CD251" i="1"/>
  <c r="CD252" i="1"/>
  <c r="CD253" i="1"/>
  <c r="CD255" i="1"/>
  <c r="CD256" i="1"/>
  <c r="CD257" i="1"/>
  <c r="CD258" i="1"/>
  <c r="CD259" i="1"/>
  <c r="CD260" i="1"/>
  <c r="CD261" i="1"/>
  <c r="CD262" i="1"/>
  <c r="CD264" i="1"/>
  <c r="CD265" i="1"/>
  <c r="CD266" i="1"/>
  <c r="CD268" i="1"/>
  <c r="CD269" i="1"/>
  <c r="CD270" i="1"/>
  <c r="CD271" i="1"/>
  <c r="CD272" i="1"/>
  <c r="CD273" i="1"/>
  <c r="CD274" i="1"/>
  <c r="CD275" i="1"/>
  <c r="CD276" i="1"/>
  <c r="CD277" i="1"/>
  <c r="CD278" i="1"/>
  <c r="CD279" i="1"/>
  <c r="CD280" i="1"/>
  <c r="CD281" i="1"/>
  <c r="CD282" i="1"/>
  <c r="CD283" i="1"/>
  <c r="CD284" i="1"/>
  <c r="CD285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5" i="1"/>
  <c r="CD316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9" i="1"/>
  <c r="CD350" i="1"/>
  <c r="CD351" i="1"/>
  <c r="CD352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4" i="1"/>
  <c r="CD385" i="1"/>
  <c r="CD386" i="1"/>
  <c r="CD387" i="1"/>
  <c r="CD388" i="1"/>
  <c r="CD389" i="1"/>
  <c r="CD390" i="1"/>
  <c r="CD391" i="1"/>
  <c r="CD392" i="1"/>
  <c r="CD393" i="1"/>
  <c r="CD395" i="1"/>
  <c r="CD396" i="1"/>
  <c r="CD397" i="1"/>
  <c r="CD398" i="1"/>
  <c r="CD399" i="1"/>
  <c r="CD400" i="1"/>
  <c r="CD401" i="1"/>
  <c r="CD402" i="1"/>
  <c r="CD403" i="1"/>
  <c r="CD405" i="1"/>
  <c r="CD407" i="1"/>
  <c r="CD408" i="1"/>
  <c r="CD410" i="1"/>
  <c r="CD411" i="1"/>
  <c r="CD412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3" i="1"/>
  <c r="CD444" i="1"/>
  <c r="CD445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2" i="1"/>
  <c r="CD473" i="1"/>
  <c r="CD474" i="1"/>
  <c r="CD475" i="1"/>
  <c r="CD476" i="1"/>
  <c r="CD477" i="1"/>
  <c r="CD478" i="1"/>
  <c r="CD479" i="1"/>
  <c r="CD480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3" i="1"/>
  <c r="CD494" i="1"/>
  <c r="CD495" i="1"/>
  <c r="CD497" i="1"/>
  <c r="CD498" i="1"/>
  <c r="CD499" i="1"/>
  <c r="CD500" i="1"/>
  <c r="CD501" i="1"/>
  <c r="CD502" i="1"/>
  <c r="CD503" i="1"/>
  <c r="CD504" i="1"/>
  <c r="CD505" i="1"/>
  <c r="CD506" i="1"/>
  <c r="CD507" i="1"/>
  <c r="CD508" i="1"/>
  <c r="CD509" i="1"/>
  <c r="CD510" i="1"/>
  <c r="CD511" i="1"/>
  <c r="CD512" i="1"/>
  <c r="CD513" i="1"/>
  <c r="CD514" i="1"/>
  <c r="CD515" i="1"/>
  <c r="CD516" i="1"/>
  <c r="CD517" i="1"/>
  <c r="CD518" i="1"/>
  <c r="CD519" i="1"/>
  <c r="CD520" i="1"/>
  <c r="CD521" i="1"/>
  <c r="CD522" i="1"/>
  <c r="CD523" i="1"/>
  <c r="CD524" i="1"/>
  <c r="CD525" i="1"/>
  <c r="CD526" i="1"/>
  <c r="CD527" i="1"/>
  <c r="CD528" i="1"/>
  <c r="CD529" i="1"/>
  <c r="CD530" i="1"/>
  <c r="CD531" i="1"/>
  <c r="CD532" i="1"/>
  <c r="CD533" i="1"/>
  <c r="CD534" i="1"/>
  <c r="CD535" i="1"/>
  <c r="CD536" i="1"/>
  <c r="CD539" i="1"/>
  <c r="CD540" i="1"/>
  <c r="CD541" i="1"/>
  <c r="CD542" i="1"/>
  <c r="CD543" i="1"/>
  <c r="CD544" i="1"/>
  <c r="CD545" i="1"/>
  <c r="CD546" i="1"/>
  <c r="CD547" i="1"/>
  <c r="CD548" i="1"/>
  <c r="CD549" i="1"/>
  <c r="CD550" i="1"/>
  <c r="CD551" i="1"/>
  <c r="CD552" i="1"/>
  <c r="CD553" i="1"/>
  <c r="CD554" i="1"/>
  <c r="CD555" i="1"/>
  <c r="CD556" i="1"/>
  <c r="CD557" i="1"/>
  <c r="CD558" i="1"/>
  <c r="CD559" i="1"/>
  <c r="CD560" i="1"/>
  <c r="CD561" i="1"/>
  <c r="CD562" i="1"/>
  <c r="CD563" i="1"/>
  <c r="CD564" i="1"/>
  <c r="CD565" i="1"/>
  <c r="CD566" i="1"/>
  <c r="CD567" i="1"/>
  <c r="CD568" i="1"/>
  <c r="CD569" i="1"/>
  <c r="CD570" i="1"/>
  <c r="CD571" i="1"/>
  <c r="CD572" i="1"/>
  <c r="CD2" i="1"/>
  <c r="CC3" i="1"/>
  <c r="CE3" i="1" s="1"/>
  <c r="CC4" i="1"/>
  <c r="CE4" i="1" s="1"/>
  <c r="CC5" i="1"/>
  <c r="CC6" i="1"/>
  <c r="CE6" i="1" s="1"/>
  <c r="CC7" i="1"/>
  <c r="CE7" i="1" s="1"/>
  <c r="CC8" i="1"/>
  <c r="CE8" i="1" s="1"/>
  <c r="CC9" i="1"/>
  <c r="CE9" i="1" s="1"/>
  <c r="CC10" i="1"/>
  <c r="CE10" i="1" s="1"/>
  <c r="CC11" i="1"/>
  <c r="CE11" i="1" s="1"/>
  <c r="CC12" i="1"/>
  <c r="CE12" i="1" s="1"/>
  <c r="CC13" i="1"/>
  <c r="CE13" i="1" s="1"/>
  <c r="CC14" i="1"/>
  <c r="CE14" i="1" s="1"/>
  <c r="CC15" i="1"/>
  <c r="CC16" i="1"/>
  <c r="CE16" i="1" s="1"/>
  <c r="CC17" i="1"/>
  <c r="CE17" i="1" s="1"/>
  <c r="CC18" i="1"/>
  <c r="CE18" i="1" s="1"/>
  <c r="CC19" i="1"/>
  <c r="CE19" i="1" s="1"/>
  <c r="CC20" i="1"/>
  <c r="CE20" i="1" s="1"/>
  <c r="CC21" i="1"/>
  <c r="CE21" i="1" s="1"/>
  <c r="CC22" i="1"/>
  <c r="CE22" i="1" s="1"/>
  <c r="CC23" i="1"/>
  <c r="CE23" i="1" s="1"/>
  <c r="CC24" i="1"/>
  <c r="CE24" i="1" s="1"/>
  <c r="CC25" i="1"/>
  <c r="CE25" i="1" s="1"/>
  <c r="CC26" i="1"/>
  <c r="CE26" i="1" s="1"/>
  <c r="CC27" i="1"/>
  <c r="CE27" i="1" s="1"/>
  <c r="CC28" i="1"/>
  <c r="CE28" i="1" s="1"/>
  <c r="CC29" i="1"/>
  <c r="CE29" i="1" s="1"/>
  <c r="CC30" i="1"/>
  <c r="CC31" i="1"/>
  <c r="CE31" i="1" s="1"/>
  <c r="CC32" i="1"/>
  <c r="CE32" i="1" s="1"/>
  <c r="CC33" i="1"/>
  <c r="CE33" i="1" s="1"/>
  <c r="CC34" i="1"/>
  <c r="CE34" i="1" s="1"/>
  <c r="CC35" i="1"/>
  <c r="CE35" i="1" s="1"/>
  <c r="CC36" i="1"/>
  <c r="CE36" i="1" s="1"/>
  <c r="CC37" i="1"/>
  <c r="CE37" i="1" s="1"/>
  <c r="CC38" i="1"/>
  <c r="CE38" i="1" s="1"/>
  <c r="CC39" i="1"/>
  <c r="CE39" i="1" s="1"/>
  <c r="CC40" i="1"/>
  <c r="CE40" i="1" s="1"/>
  <c r="CC41" i="1"/>
  <c r="CE41" i="1" s="1"/>
  <c r="CC42" i="1"/>
  <c r="CC43" i="1"/>
  <c r="CE43" i="1" s="1"/>
  <c r="CC44" i="1"/>
  <c r="CE44" i="1" s="1"/>
  <c r="CC45" i="1"/>
  <c r="CE45" i="1" s="1"/>
  <c r="CC46" i="1"/>
  <c r="CE46" i="1" s="1"/>
  <c r="CC47" i="1"/>
  <c r="CE47" i="1" s="1"/>
  <c r="CC48" i="1"/>
  <c r="CE48" i="1" s="1"/>
  <c r="CC49" i="1"/>
  <c r="CE49" i="1" s="1"/>
  <c r="CC50" i="1"/>
  <c r="CE50" i="1" s="1"/>
  <c r="CC51" i="1"/>
  <c r="CE51" i="1" s="1"/>
  <c r="CC52" i="1"/>
  <c r="CE52" i="1" s="1"/>
  <c r="CC53" i="1"/>
  <c r="CE53" i="1" s="1"/>
  <c r="CC54" i="1"/>
  <c r="CE54" i="1" s="1"/>
  <c r="CC55" i="1"/>
  <c r="CE55" i="1" s="1"/>
  <c r="CC56" i="1"/>
  <c r="CE56" i="1" s="1"/>
  <c r="CC57" i="1"/>
  <c r="CE57" i="1" s="1"/>
  <c r="CC58" i="1"/>
  <c r="CE58" i="1" s="1"/>
  <c r="CC59" i="1"/>
  <c r="CE59" i="1" s="1"/>
  <c r="CC60" i="1"/>
  <c r="CE60" i="1" s="1"/>
  <c r="CC61" i="1"/>
  <c r="CE61" i="1" s="1"/>
  <c r="CC62" i="1"/>
  <c r="CE62" i="1" s="1"/>
  <c r="CC63" i="1"/>
  <c r="CE63" i="1" s="1"/>
  <c r="CC64" i="1"/>
  <c r="CE64" i="1" s="1"/>
  <c r="CC65" i="1"/>
  <c r="CC66" i="1"/>
  <c r="CE66" i="1" s="1"/>
  <c r="CC67" i="1"/>
  <c r="CE67" i="1" s="1"/>
  <c r="CC68" i="1"/>
  <c r="CE68" i="1" s="1"/>
  <c r="CC69" i="1"/>
  <c r="CE69" i="1" s="1"/>
  <c r="CC70" i="1"/>
  <c r="CE70" i="1" s="1"/>
  <c r="CC71" i="1"/>
  <c r="CE71" i="1" s="1"/>
  <c r="CC72" i="1"/>
  <c r="CE72" i="1" s="1"/>
  <c r="CC73" i="1"/>
  <c r="CE73" i="1" s="1"/>
  <c r="CC74" i="1"/>
  <c r="CE74" i="1" s="1"/>
  <c r="CC75" i="1"/>
  <c r="CE75" i="1" s="1"/>
  <c r="CC76" i="1"/>
  <c r="CE76" i="1" s="1"/>
  <c r="CC77" i="1"/>
  <c r="CE77" i="1" s="1"/>
  <c r="CC78" i="1"/>
  <c r="CE78" i="1" s="1"/>
  <c r="CC79" i="1"/>
  <c r="CE79" i="1" s="1"/>
  <c r="CC80" i="1"/>
  <c r="CE80" i="1" s="1"/>
  <c r="CC81" i="1"/>
  <c r="CE81" i="1" s="1"/>
  <c r="CC82" i="1"/>
  <c r="CE82" i="1" s="1"/>
  <c r="CC83" i="1"/>
  <c r="CE83" i="1" s="1"/>
  <c r="CC84" i="1"/>
  <c r="CE84" i="1" s="1"/>
  <c r="CC85" i="1"/>
  <c r="CE85" i="1" s="1"/>
  <c r="CC86" i="1"/>
  <c r="CE86" i="1" s="1"/>
  <c r="CC87" i="1"/>
  <c r="CC88" i="1"/>
  <c r="CE88" i="1" s="1"/>
  <c r="CC89" i="1"/>
  <c r="CE89" i="1" s="1"/>
  <c r="CC90" i="1"/>
  <c r="CE90" i="1" s="1"/>
  <c r="CC91" i="1"/>
  <c r="CE91" i="1" s="1"/>
  <c r="CC92" i="1"/>
  <c r="CC93" i="1"/>
  <c r="CE93" i="1" s="1"/>
  <c r="CC94" i="1"/>
  <c r="CE94" i="1" s="1"/>
  <c r="CC95" i="1"/>
  <c r="CE95" i="1" s="1"/>
  <c r="CC96" i="1"/>
  <c r="CE96" i="1" s="1"/>
  <c r="CC97" i="1"/>
  <c r="CE97" i="1" s="1"/>
  <c r="CC98" i="1"/>
  <c r="CE98" i="1" s="1"/>
  <c r="CC99" i="1"/>
  <c r="CE99" i="1" s="1"/>
  <c r="CC100" i="1"/>
  <c r="CE100" i="1" s="1"/>
  <c r="CC101" i="1"/>
  <c r="CE101" i="1" s="1"/>
  <c r="CC102" i="1"/>
  <c r="CE102" i="1" s="1"/>
  <c r="CC103" i="1"/>
  <c r="CE103" i="1" s="1"/>
  <c r="CC104" i="1"/>
  <c r="CE104" i="1" s="1"/>
  <c r="CC105" i="1"/>
  <c r="CE105" i="1" s="1"/>
  <c r="CC106" i="1"/>
  <c r="CE106" i="1" s="1"/>
  <c r="CC107" i="1"/>
  <c r="CE107" i="1" s="1"/>
  <c r="CC108" i="1"/>
  <c r="CE108" i="1" s="1"/>
  <c r="CC109" i="1"/>
  <c r="CC110" i="1"/>
  <c r="CE110" i="1" s="1"/>
  <c r="CC111" i="1"/>
  <c r="CC112" i="1"/>
  <c r="CE112" i="1" s="1"/>
  <c r="CC113" i="1"/>
  <c r="CE113" i="1" s="1"/>
  <c r="CC114" i="1"/>
  <c r="CE114" i="1" s="1"/>
  <c r="CC115" i="1"/>
  <c r="CE115" i="1" s="1"/>
  <c r="CC116" i="1"/>
  <c r="CE116" i="1" s="1"/>
  <c r="CC117" i="1"/>
  <c r="CE117" i="1" s="1"/>
  <c r="CC118" i="1"/>
  <c r="CC119" i="1"/>
  <c r="CE119" i="1" s="1"/>
  <c r="CC120" i="1"/>
  <c r="CE120" i="1" s="1"/>
  <c r="CC121" i="1"/>
  <c r="CE121" i="1" s="1"/>
  <c r="CC122" i="1"/>
  <c r="CE122" i="1" s="1"/>
  <c r="CC123" i="1"/>
  <c r="CE123" i="1" s="1"/>
  <c r="CC124" i="1"/>
  <c r="CE124" i="1" s="1"/>
  <c r="CC125" i="1"/>
  <c r="CE125" i="1" s="1"/>
  <c r="CC126" i="1"/>
  <c r="CC127" i="1"/>
  <c r="CC128" i="1"/>
  <c r="CE128" i="1" s="1"/>
  <c r="CC129" i="1"/>
  <c r="CE129" i="1" s="1"/>
  <c r="CC130" i="1"/>
  <c r="CE130" i="1" s="1"/>
  <c r="CC131" i="1"/>
  <c r="CE131" i="1" s="1"/>
  <c r="CC132" i="1"/>
  <c r="CC133" i="1"/>
  <c r="CE133" i="1" s="1"/>
  <c r="CC134" i="1"/>
  <c r="CE134" i="1" s="1"/>
  <c r="CC135" i="1"/>
  <c r="CE135" i="1" s="1"/>
  <c r="CC136" i="1"/>
  <c r="CE136" i="1" s="1"/>
  <c r="CC137" i="1"/>
  <c r="CE137" i="1" s="1"/>
  <c r="CC138" i="1"/>
  <c r="CE138" i="1" s="1"/>
  <c r="CC139" i="1"/>
  <c r="CE139" i="1" s="1"/>
  <c r="CC140" i="1"/>
  <c r="CC141" i="1"/>
  <c r="CE141" i="1" s="1"/>
  <c r="CC142" i="1"/>
  <c r="CE142" i="1" s="1"/>
  <c r="CC143" i="1"/>
  <c r="CE143" i="1" s="1"/>
  <c r="CC144" i="1"/>
  <c r="CE144" i="1" s="1"/>
  <c r="CC145" i="1"/>
  <c r="CE145" i="1" s="1"/>
  <c r="CC146" i="1"/>
  <c r="CE146" i="1" s="1"/>
  <c r="CC147" i="1"/>
  <c r="CE147" i="1" s="1"/>
  <c r="CC148" i="1"/>
  <c r="CE148" i="1" s="1"/>
  <c r="CC149" i="1"/>
  <c r="CE149" i="1" s="1"/>
  <c r="CC150" i="1"/>
  <c r="CE150" i="1" s="1"/>
  <c r="CC151" i="1"/>
  <c r="CE151" i="1" s="1"/>
  <c r="CC152" i="1"/>
  <c r="CE152" i="1" s="1"/>
  <c r="CC153" i="1"/>
  <c r="CE153" i="1" s="1"/>
  <c r="CC154" i="1"/>
  <c r="CE154" i="1" s="1"/>
  <c r="CC155" i="1"/>
  <c r="CE155" i="1" s="1"/>
  <c r="CC156" i="1"/>
  <c r="CE156" i="1" s="1"/>
  <c r="CC157" i="1"/>
  <c r="CE157" i="1" s="1"/>
  <c r="CC158" i="1"/>
  <c r="CE158" i="1" s="1"/>
  <c r="CC159" i="1"/>
  <c r="CE159" i="1" s="1"/>
  <c r="CC160" i="1"/>
  <c r="CE160" i="1" s="1"/>
  <c r="CC161" i="1"/>
  <c r="CE161" i="1" s="1"/>
  <c r="CC162" i="1"/>
  <c r="CE162" i="1" s="1"/>
  <c r="CC163" i="1"/>
  <c r="CE163" i="1" s="1"/>
  <c r="CC164" i="1"/>
  <c r="CC165" i="1"/>
  <c r="CE165" i="1" s="1"/>
  <c r="CC166" i="1"/>
  <c r="CE166" i="1" s="1"/>
  <c r="CC167" i="1"/>
  <c r="CE167" i="1" s="1"/>
  <c r="CC168" i="1"/>
  <c r="CE168" i="1" s="1"/>
  <c r="CC169" i="1"/>
  <c r="CE169" i="1" s="1"/>
  <c r="CC170" i="1"/>
  <c r="CE170" i="1" s="1"/>
  <c r="CC171" i="1"/>
  <c r="CE171" i="1" s="1"/>
  <c r="CC172" i="1"/>
  <c r="CE172" i="1" s="1"/>
  <c r="CC173" i="1"/>
  <c r="CE173" i="1" s="1"/>
  <c r="CC174" i="1"/>
  <c r="CE174" i="1" s="1"/>
  <c r="CC175" i="1"/>
  <c r="CE175" i="1" s="1"/>
  <c r="CC176" i="1"/>
  <c r="CE176" i="1" s="1"/>
  <c r="CC177" i="1"/>
  <c r="CE177" i="1" s="1"/>
  <c r="CC178" i="1"/>
  <c r="CE178" i="1" s="1"/>
  <c r="CC179" i="1"/>
  <c r="CC180" i="1"/>
  <c r="CC181" i="1"/>
  <c r="CE181" i="1" s="1"/>
  <c r="CC182" i="1"/>
  <c r="CE182" i="1" s="1"/>
  <c r="CC183" i="1"/>
  <c r="CE183" i="1" s="1"/>
  <c r="CC184" i="1"/>
  <c r="CE184" i="1" s="1"/>
  <c r="CC185" i="1"/>
  <c r="CE185" i="1" s="1"/>
  <c r="CC186" i="1"/>
  <c r="CE186" i="1" s="1"/>
  <c r="CC187" i="1"/>
  <c r="CE187" i="1" s="1"/>
  <c r="CC188" i="1"/>
  <c r="CE188" i="1" s="1"/>
  <c r="CC189" i="1"/>
  <c r="CE189" i="1" s="1"/>
  <c r="CC190" i="1"/>
  <c r="CE190" i="1" s="1"/>
  <c r="CC191" i="1"/>
  <c r="CE191" i="1" s="1"/>
  <c r="CC192" i="1"/>
  <c r="CE192" i="1" s="1"/>
  <c r="CC193" i="1"/>
  <c r="CE193" i="1" s="1"/>
  <c r="CC194" i="1"/>
  <c r="CE194" i="1" s="1"/>
  <c r="CC195" i="1"/>
  <c r="CE195" i="1" s="1"/>
  <c r="CC196" i="1"/>
  <c r="CE196" i="1" s="1"/>
  <c r="CC197" i="1"/>
  <c r="CE197" i="1" s="1"/>
  <c r="CC198" i="1"/>
  <c r="CE198" i="1" s="1"/>
  <c r="CC199" i="1"/>
  <c r="CE199" i="1" s="1"/>
  <c r="CC200" i="1"/>
  <c r="CE200" i="1" s="1"/>
  <c r="CC201" i="1"/>
  <c r="CE201" i="1" s="1"/>
  <c r="CC202" i="1"/>
  <c r="CE202" i="1" s="1"/>
  <c r="CC203" i="1"/>
  <c r="CE203" i="1" s="1"/>
  <c r="CC204" i="1"/>
  <c r="CE204" i="1" s="1"/>
  <c r="CC205" i="1"/>
  <c r="CE205" i="1" s="1"/>
  <c r="CC206" i="1"/>
  <c r="CE206" i="1" s="1"/>
  <c r="CC207" i="1"/>
  <c r="CE207" i="1" s="1"/>
  <c r="CC208" i="1"/>
  <c r="CE208" i="1" s="1"/>
  <c r="CC209" i="1"/>
  <c r="CE209" i="1" s="1"/>
  <c r="CC210" i="1"/>
  <c r="CE210" i="1" s="1"/>
  <c r="CC211" i="1"/>
  <c r="CE211" i="1" s="1"/>
  <c r="CC212" i="1"/>
  <c r="CE212" i="1" s="1"/>
  <c r="CC213" i="1"/>
  <c r="CE213" i="1" s="1"/>
  <c r="CC214" i="1"/>
  <c r="CE214" i="1" s="1"/>
  <c r="CC215" i="1"/>
  <c r="CE215" i="1" s="1"/>
  <c r="CC216" i="1"/>
  <c r="CE216" i="1" s="1"/>
  <c r="CC217" i="1"/>
  <c r="CE217" i="1" s="1"/>
  <c r="CC218" i="1"/>
  <c r="CE218" i="1" s="1"/>
  <c r="CC219" i="1"/>
  <c r="CE219" i="1" s="1"/>
  <c r="CC220" i="1"/>
  <c r="CE220" i="1" s="1"/>
  <c r="CC221" i="1"/>
  <c r="CE221" i="1" s="1"/>
  <c r="CC222" i="1"/>
  <c r="CE222" i="1" s="1"/>
  <c r="CC223" i="1"/>
  <c r="CE223" i="1" s="1"/>
  <c r="CC224" i="1"/>
  <c r="CE224" i="1" s="1"/>
  <c r="CC225" i="1"/>
  <c r="CC226" i="1"/>
  <c r="CE226" i="1" s="1"/>
  <c r="CC227" i="1"/>
  <c r="CE227" i="1" s="1"/>
  <c r="CC228" i="1"/>
  <c r="CE228" i="1" s="1"/>
  <c r="CC229" i="1"/>
  <c r="CE229" i="1" s="1"/>
  <c r="CC230" i="1"/>
  <c r="CE230" i="1" s="1"/>
  <c r="CC231" i="1"/>
  <c r="CE231" i="1" s="1"/>
  <c r="CC232" i="1"/>
  <c r="CE232" i="1" s="1"/>
  <c r="CC233" i="1"/>
  <c r="CE233" i="1" s="1"/>
  <c r="CC234" i="1"/>
  <c r="CE234" i="1" s="1"/>
  <c r="CC235" i="1"/>
  <c r="CE235" i="1" s="1"/>
  <c r="CC236" i="1"/>
  <c r="CE236" i="1" s="1"/>
  <c r="CC237" i="1"/>
  <c r="CE237" i="1" s="1"/>
  <c r="CC238" i="1"/>
  <c r="CE238" i="1" s="1"/>
  <c r="CC239" i="1"/>
  <c r="CE239" i="1" s="1"/>
  <c r="CC240" i="1"/>
  <c r="CE240" i="1" s="1"/>
  <c r="CC241" i="1"/>
  <c r="CE241" i="1" s="1"/>
  <c r="CC242" i="1"/>
  <c r="CE242" i="1" s="1"/>
  <c r="CC243" i="1"/>
  <c r="CE243" i="1" s="1"/>
  <c r="CC244" i="1"/>
  <c r="CE244" i="1" s="1"/>
  <c r="CC245" i="1"/>
  <c r="CE245" i="1" s="1"/>
  <c r="CC246" i="1"/>
  <c r="CE246" i="1" s="1"/>
  <c r="CC247" i="1"/>
  <c r="CC248" i="1"/>
  <c r="CE248" i="1" s="1"/>
  <c r="CC249" i="1"/>
  <c r="CE249" i="1" s="1"/>
  <c r="CC250" i="1"/>
  <c r="CE250" i="1" s="1"/>
  <c r="CC251" i="1"/>
  <c r="CE251" i="1" s="1"/>
  <c r="CC252" i="1"/>
  <c r="CE252" i="1" s="1"/>
  <c r="CC253" i="1"/>
  <c r="CE253" i="1" s="1"/>
  <c r="CC254" i="1"/>
  <c r="CC255" i="1"/>
  <c r="CE255" i="1" s="1"/>
  <c r="CC256" i="1"/>
  <c r="CE256" i="1" s="1"/>
  <c r="CC257" i="1"/>
  <c r="CE257" i="1" s="1"/>
  <c r="CC258" i="1"/>
  <c r="CE258" i="1" s="1"/>
  <c r="CC259" i="1"/>
  <c r="CE259" i="1" s="1"/>
  <c r="CC260" i="1"/>
  <c r="CE260" i="1" s="1"/>
  <c r="CC261" i="1"/>
  <c r="CE261" i="1" s="1"/>
  <c r="CC262" i="1"/>
  <c r="CE262" i="1" s="1"/>
  <c r="CC263" i="1"/>
  <c r="CC264" i="1"/>
  <c r="CE264" i="1" s="1"/>
  <c r="CC265" i="1"/>
  <c r="CE265" i="1" s="1"/>
  <c r="CC266" i="1"/>
  <c r="CE266" i="1" s="1"/>
  <c r="CC267" i="1"/>
  <c r="CC268" i="1"/>
  <c r="CE268" i="1" s="1"/>
  <c r="CC269" i="1"/>
  <c r="CE269" i="1" s="1"/>
  <c r="CC270" i="1"/>
  <c r="CE270" i="1" s="1"/>
  <c r="CC271" i="1"/>
  <c r="CE271" i="1" s="1"/>
  <c r="CC272" i="1"/>
  <c r="CE272" i="1" s="1"/>
  <c r="CC273" i="1"/>
  <c r="CE273" i="1" s="1"/>
  <c r="CC274" i="1"/>
  <c r="CE274" i="1" s="1"/>
  <c r="CC275" i="1"/>
  <c r="CE275" i="1" s="1"/>
  <c r="CC276" i="1"/>
  <c r="CE276" i="1" s="1"/>
  <c r="CC277" i="1"/>
  <c r="CE277" i="1" s="1"/>
  <c r="CC278" i="1"/>
  <c r="CE278" i="1" s="1"/>
  <c r="CC279" i="1"/>
  <c r="CE279" i="1" s="1"/>
  <c r="CC280" i="1"/>
  <c r="CE280" i="1" s="1"/>
  <c r="CC281" i="1"/>
  <c r="CE281" i="1" s="1"/>
  <c r="CC282" i="1"/>
  <c r="CE282" i="1" s="1"/>
  <c r="CC283" i="1"/>
  <c r="CE283" i="1" s="1"/>
  <c r="CC284" i="1"/>
  <c r="CE284" i="1" s="1"/>
  <c r="CC285" i="1"/>
  <c r="CE285" i="1" s="1"/>
  <c r="CC286" i="1"/>
  <c r="CC287" i="1"/>
  <c r="CE287" i="1" s="1"/>
  <c r="CC288" i="1"/>
  <c r="CE288" i="1" s="1"/>
  <c r="CC289" i="1"/>
  <c r="CE289" i="1" s="1"/>
  <c r="CC290" i="1"/>
  <c r="CE290" i="1" s="1"/>
  <c r="CC291" i="1"/>
  <c r="CE291" i="1" s="1"/>
  <c r="CC292" i="1"/>
  <c r="CE292" i="1" s="1"/>
  <c r="CC293" i="1"/>
  <c r="CE293" i="1" s="1"/>
  <c r="CC294" i="1"/>
  <c r="CE294" i="1" s="1"/>
  <c r="CC295" i="1"/>
  <c r="CE295" i="1" s="1"/>
  <c r="CC296" i="1"/>
  <c r="CE296" i="1" s="1"/>
  <c r="CC297" i="1"/>
  <c r="CE297" i="1" s="1"/>
  <c r="CC298" i="1"/>
  <c r="CE298" i="1" s="1"/>
  <c r="CC299" i="1"/>
  <c r="CE299" i="1" s="1"/>
  <c r="CC300" i="1"/>
  <c r="CE300" i="1" s="1"/>
  <c r="CC301" i="1"/>
  <c r="CE301" i="1" s="1"/>
  <c r="CC302" i="1"/>
  <c r="CE302" i="1" s="1"/>
  <c r="CC303" i="1"/>
  <c r="CE303" i="1" s="1"/>
  <c r="CC304" i="1"/>
  <c r="CE304" i="1" s="1"/>
  <c r="CC305" i="1"/>
  <c r="CE305" i="1" s="1"/>
  <c r="CC306" i="1"/>
  <c r="CE306" i="1" s="1"/>
  <c r="CC307" i="1"/>
  <c r="CE307" i="1" s="1"/>
  <c r="CC308" i="1"/>
  <c r="CE308" i="1" s="1"/>
  <c r="CC309" i="1"/>
  <c r="CE309" i="1" s="1"/>
  <c r="CC310" i="1"/>
  <c r="CE310" i="1" s="1"/>
  <c r="CC311" i="1"/>
  <c r="CE311" i="1" s="1"/>
  <c r="CC312" i="1"/>
  <c r="CE312" i="1" s="1"/>
  <c r="CC313" i="1"/>
  <c r="CE313" i="1" s="1"/>
  <c r="CC314" i="1"/>
  <c r="CC315" i="1"/>
  <c r="CE315" i="1" s="1"/>
  <c r="CC316" i="1"/>
  <c r="CE316" i="1" s="1"/>
  <c r="CC317" i="1"/>
  <c r="CC318" i="1"/>
  <c r="CE318" i="1" s="1"/>
  <c r="CC319" i="1"/>
  <c r="CE319" i="1" s="1"/>
  <c r="CC320" i="1"/>
  <c r="CE320" i="1" s="1"/>
  <c r="CC321" i="1"/>
  <c r="CE321" i="1" s="1"/>
  <c r="CC322" i="1"/>
  <c r="CE322" i="1" s="1"/>
  <c r="CC323" i="1"/>
  <c r="CE323" i="1" s="1"/>
  <c r="CC324" i="1"/>
  <c r="CE324" i="1" s="1"/>
  <c r="CC325" i="1"/>
  <c r="CE325" i="1" s="1"/>
  <c r="CC326" i="1"/>
  <c r="CE326" i="1" s="1"/>
  <c r="CC327" i="1"/>
  <c r="CE327" i="1" s="1"/>
  <c r="CC328" i="1"/>
  <c r="CE328" i="1" s="1"/>
  <c r="CC329" i="1"/>
  <c r="CE329" i="1" s="1"/>
  <c r="CC330" i="1"/>
  <c r="CE330" i="1" s="1"/>
  <c r="CC331" i="1"/>
  <c r="CE331" i="1" s="1"/>
  <c r="CC332" i="1"/>
  <c r="CE332" i="1" s="1"/>
  <c r="CC333" i="1"/>
  <c r="CE333" i="1" s="1"/>
  <c r="CC334" i="1"/>
  <c r="CE334" i="1" s="1"/>
  <c r="CC335" i="1"/>
  <c r="CE335" i="1" s="1"/>
  <c r="CC336" i="1"/>
  <c r="CE336" i="1" s="1"/>
  <c r="CC337" i="1"/>
  <c r="CE337" i="1" s="1"/>
  <c r="CC338" i="1"/>
  <c r="CE338" i="1" s="1"/>
  <c r="CC339" i="1"/>
  <c r="CE339" i="1" s="1"/>
  <c r="CC340" i="1"/>
  <c r="CE340" i="1" s="1"/>
  <c r="CC341" i="1"/>
  <c r="CE341" i="1" s="1"/>
  <c r="CC342" i="1"/>
  <c r="CE342" i="1" s="1"/>
  <c r="CC343" i="1"/>
  <c r="CE343" i="1" s="1"/>
  <c r="CC344" i="1"/>
  <c r="CE344" i="1" s="1"/>
  <c r="CC345" i="1"/>
  <c r="CE345" i="1" s="1"/>
  <c r="CC346" i="1"/>
  <c r="CE346" i="1" s="1"/>
  <c r="CC347" i="1"/>
  <c r="CE347" i="1" s="1"/>
  <c r="CC348" i="1"/>
  <c r="CC349" i="1"/>
  <c r="CE349" i="1" s="1"/>
  <c r="CC350" i="1"/>
  <c r="CE350" i="1" s="1"/>
  <c r="CC351" i="1"/>
  <c r="CE351" i="1" s="1"/>
  <c r="CC352" i="1"/>
  <c r="CE352" i="1" s="1"/>
  <c r="CC353" i="1"/>
  <c r="CC354" i="1"/>
  <c r="CC355" i="1"/>
  <c r="CE355" i="1" s="1"/>
  <c r="CC356" i="1"/>
  <c r="CE356" i="1" s="1"/>
  <c r="CC357" i="1"/>
  <c r="CE357" i="1" s="1"/>
  <c r="CC358" i="1"/>
  <c r="CE358" i="1" s="1"/>
  <c r="CC359" i="1"/>
  <c r="CE359" i="1" s="1"/>
  <c r="CC360" i="1"/>
  <c r="CE360" i="1" s="1"/>
  <c r="CC361" i="1"/>
  <c r="CE361" i="1" s="1"/>
  <c r="CC362" i="1"/>
  <c r="CE362" i="1" s="1"/>
  <c r="CC363" i="1"/>
  <c r="CE363" i="1" s="1"/>
  <c r="CC364" i="1"/>
  <c r="CE364" i="1" s="1"/>
  <c r="CC365" i="1"/>
  <c r="CE365" i="1" s="1"/>
  <c r="CC366" i="1"/>
  <c r="CE366" i="1" s="1"/>
  <c r="CC367" i="1"/>
  <c r="CE367" i="1" s="1"/>
  <c r="CC368" i="1"/>
  <c r="CE368" i="1" s="1"/>
  <c r="CC369" i="1"/>
  <c r="CE369" i="1" s="1"/>
  <c r="CC370" i="1"/>
  <c r="CE370" i="1" s="1"/>
  <c r="CC371" i="1"/>
  <c r="CE371" i="1" s="1"/>
  <c r="CC372" i="1"/>
  <c r="CE372" i="1" s="1"/>
  <c r="CC373" i="1"/>
  <c r="CE373" i="1" s="1"/>
  <c r="CC374" i="1"/>
  <c r="CE374" i="1" s="1"/>
  <c r="CC375" i="1"/>
  <c r="CE375" i="1" s="1"/>
  <c r="CC376" i="1"/>
  <c r="CE376" i="1" s="1"/>
  <c r="CC377" i="1"/>
  <c r="CE377" i="1" s="1"/>
  <c r="CC378" i="1"/>
  <c r="CE378" i="1" s="1"/>
  <c r="CC379" i="1"/>
  <c r="CE379" i="1" s="1"/>
  <c r="CC380" i="1"/>
  <c r="CE380" i="1" s="1"/>
  <c r="CC381" i="1"/>
  <c r="CE381" i="1" s="1"/>
  <c r="CC382" i="1"/>
  <c r="CE382" i="1" s="1"/>
  <c r="CC383" i="1"/>
  <c r="CC384" i="1"/>
  <c r="CE384" i="1" s="1"/>
  <c r="CC385" i="1"/>
  <c r="CE385" i="1" s="1"/>
  <c r="CC386" i="1"/>
  <c r="CE386" i="1" s="1"/>
  <c r="CC387" i="1"/>
  <c r="CE387" i="1" s="1"/>
  <c r="CC388" i="1"/>
  <c r="CE388" i="1" s="1"/>
  <c r="CC389" i="1"/>
  <c r="CE389" i="1" s="1"/>
  <c r="CC390" i="1"/>
  <c r="CE390" i="1" s="1"/>
  <c r="CC391" i="1"/>
  <c r="CE391" i="1" s="1"/>
  <c r="CC392" i="1"/>
  <c r="CE392" i="1" s="1"/>
  <c r="CC393" i="1"/>
  <c r="CE393" i="1" s="1"/>
  <c r="CC394" i="1"/>
  <c r="CC395" i="1"/>
  <c r="CE395" i="1" s="1"/>
  <c r="CC396" i="1"/>
  <c r="CE396" i="1" s="1"/>
  <c r="CC397" i="1"/>
  <c r="CE397" i="1" s="1"/>
  <c r="CC398" i="1"/>
  <c r="CE398" i="1" s="1"/>
  <c r="CC399" i="1"/>
  <c r="CE399" i="1" s="1"/>
  <c r="CC400" i="1"/>
  <c r="CE400" i="1" s="1"/>
  <c r="CC401" i="1"/>
  <c r="CE401" i="1" s="1"/>
  <c r="CC402" i="1"/>
  <c r="CE402" i="1" s="1"/>
  <c r="CC403" i="1"/>
  <c r="CE403" i="1" s="1"/>
  <c r="CC404" i="1"/>
  <c r="CC405" i="1"/>
  <c r="CE405" i="1" s="1"/>
  <c r="CC406" i="1"/>
  <c r="CC407" i="1"/>
  <c r="CE407" i="1" s="1"/>
  <c r="CC408" i="1"/>
  <c r="CE408" i="1" s="1"/>
  <c r="CC409" i="1"/>
  <c r="CC410" i="1"/>
  <c r="CE410" i="1" s="1"/>
  <c r="CC411" i="1"/>
  <c r="CE411" i="1" s="1"/>
  <c r="CC412" i="1"/>
  <c r="CE412" i="1" s="1"/>
  <c r="CC413" i="1"/>
  <c r="CC414" i="1"/>
  <c r="CE414" i="1" s="1"/>
  <c r="CC415" i="1"/>
  <c r="CE415" i="1" s="1"/>
  <c r="CC416" i="1"/>
  <c r="CE416" i="1" s="1"/>
  <c r="CC417" i="1"/>
  <c r="CE417" i="1" s="1"/>
  <c r="CC418" i="1"/>
  <c r="CE418" i="1" s="1"/>
  <c r="CC419" i="1"/>
  <c r="CE419" i="1" s="1"/>
  <c r="CC420" i="1"/>
  <c r="CE420" i="1" s="1"/>
  <c r="CC421" i="1"/>
  <c r="CE421" i="1" s="1"/>
  <c r="CC422" i="1"/>
  <c r="CE422" i="1" s="1"/>
  <c r="CC423" i="1"/>
  <c r="CE423" i="1" s="1"/>
  <c r="CC424" i="1"/>
  <c r="CE424" i="1" s="1"/>
  <c r="CC425" i="1"/>
  <c r="CE425" i="1" s="1"/>
  <c r="CC426" i="1"/>
  <c r="CE426" i="1" s="1"/>
  <c r="CC427" i="1"/>
  <c r="CE427" i="1" s="1"/>
  <c r="CC428" i="1"/>
  <c r="CE428" i="1" s="1"/>
  <c r="CC429" i="1"/>
  <c r="CE429" i="1" s="1"/>
  <c r="CC430" i="1"/>
  <c r="CE430" i="1" s="1"/>
  <c r="CC431" i="1"/>
  <c r="CE431" i="1" s="1"/>
  <c r="CC432" i="1"/>
  <c r="CE432" i="1" s="1"/>
  <c r="CC433" i="1"/>
  <c r="CE433" i="1" s="1"/>
  <c r="CC434" i="1"/>
  <c r="CE434" i="1" s="1"/>
  <c r="CC435" i="1"/>
  <c r="CE435" i="1" s="1"/>
  <c r="CC436" i="1"/>
  <c r="CE436" i="1" s="1"/>
  <c r="CC437" i="1"/>
  <c r="CE437" i="1" s="1"/>
  <c r="CC438" i="1"/>
  <c r="CE438" i="1" s="1"/>
  <c r="CC439" i="1"/>
  <c r="CE439" i="1" s="1"/>
  <c r="CC440" i="1"/>
  <c r="CE440" i="1" s="1"/>
  <c r="CC441" i="1"/>
  <c r="CC442" i="1"/>
  <c r="CC443" i="1"/>
  <c r="CE443" i="1" s="1"/>
  <c r="CC444" i="1"/>
  <c r="CE444" i="1" s="1"/>
  <c r="CC445" i="1"/>
  <c r="CE445" i="1" s="1"/>
  <c r="CC446" i="1"/>
  <c r="CE446" i="1" s="1"/>
  <c r="CC447" i="1"/>
  <c r="CE447" i="1" s="1"/>
  <c r="CC448" i="1"/>
  <c r="CE448" i="1" s="1"/>
  <c r="CC449" i="1"/>
  <c r="CE449" i="1" s="1"/>
  <c r="CC450" i="1"/>
  <c r="CE450" i="1" s="1"/>
  <c r="CC451" i="1"/>
  <c r="CE451" i="1" s="1"/>
  <c r="CC452" i="1"/>
  <c r="CE452" i="1" s="1"/>
  <c r="CC453" i="1"/>
  <c r="CE453" i="1" s="1"/>
  <c r="CC454" i="1"/>
  <c r="CE454" i="1" s="1"/>
  <c r="CC455" i="1"/>
  <c r="CE455" i="1" s="1"/>
  <c r="CC456" i="1"/>
  <c r="CE456" i="1" s="1"/>
  <c r="CC457" i="1"/>
  <c r="CE457" i="1" s="1"/>
  <c r="CC458" i="1"/>
  <c r="CC459" i="1"/>
  <c r="CE459" i="1" s="1"/>
  <c r="CC460" i="1"/>
  <c r="CE460" i="1" s="1"/>
  <c r="CC461" i="1"/>
  <c r="CE461" i="1" s="1"/>
  <c r="CC462" i="1"/>
  <c r="CE462" i="1" s="1"/>
  <c r="CC463" i="1"/>
  <c r="CE463" i="1" s="1"/>
  <c r="CC464" i="1"/>
  <c r="CE464" i="1" s="1"/>
  <c r="CC465" i="1"/>
  <c r="CE465" i="1" s="1"/>
  <c r="CC466" i="1"/>
  <c r="CE466" i="1" s="1"/>
  <c r="CC467" i="1"/>
  <c r="CE467" i="1" s="1"/>
  <c r="CC468" i="1"/>
  <c r="CE468" i="1" s="1"/>
  <c r="CC469" i="1"/>
  <c r="CE469" i="1" s="1"/>
  <c r="CC470" i="1"/>
  <c r="CE470" i="1" s="1"/>
  <c r="CC471" i="1"/>
  <c r="CE471" i="1" s="1"/>
  <c r="CC472" i="1"/>
  <c r="CE472" i="1" s="1"/>
  <c r="CC473" i="1"/>
  <c r="CE473" i="1" s="1"/>
  <c r="CC474" i="1"/>
  <c r="CE474" i="1" s="1"/>
  <c r="CC475" i="1"/>
  <c r="CE475" i="1" s="1"/>
  <c r="CC476" i="1"/>
  <c r="CE476" i="1" s="1"/>
  <c r="CC477" i="1"/>
  <c r="CE477" i="1" s="1"/>
  <c r="CC478" i="1"/>
  <c r="CE478" i="1" s="1"/>
  <c r="CC479" i="1"/>
  <c r="CE479" i="1" s="1"/>
  <c r="CC480" i="1"/>
  <c r="CE480" i="1" s="1"/>
  <c r="CC481" i="1"/>
  <c r="CE481" i="1" s="1"/>
  <c r="CC482" i="1"/>
  <c r="CE482" i="1" s="1"/>
  <c r="CC483" i="1"/>
  <c r="CE483" i="1" s="1"/>
  <c r="CC484" i="1"/>
  <c r="CE484" i="1" s="1"/>
  <c r="CC485" i="1"/>
  <c r="CE485" i="1" s="1"/>
  <c r="CC486" i="1"/>
  <c r="CE486" i="1" s="1"/>
  <c r="CC487" i="1"/>
  <c r="CE487" i="1" s="1"/>
  <c r="CC488" i="1"/>
  <c r="CE488" i="1" s="1"/>
  <c r="CC489" i="1"/>
  <c r="CE489" i="1" s="1"/>
  <c r="CC490" i="1"/>
  <c r="CE490" i="1" s="1"/>
  <c r="CC491" i="1"/>
  <c r="CE491" i="1" s="1"/>
  <c r="CC492" i="1"/>
  <c r="CE492" i="1" s="1"/>
  <c r="CC493" i="1"/>
  <c r="CE493" i="1" s="1"/>
  <c r="CC494" i="1"/>
  <c r="CE494" i="1" s="1"/>
  <c r="CC495" i="1"/>
  <c r="CE495" i="1" s="1"/>
  <c r="CC496" i="1"/>
  <c r="CC497" i="1"/>
  <c r="CE497" i="1" s="1"/>
  <c r="CC498" i="1"/>
  <c r="CE498" i="1" s="1"/>
  <c r="CC499" i="1"/>
  <c r="CE499" i="1" s="1"/>
  <c r="CC500" i="1"/>
  <c r="CE500" i="1" s="1"/>
  <c r="CC501" i="1"/>
  <c r="CE501" i="1" s="1"/>
  <c r="CC502" i="1"/>
  <c r="CE502" i="1" s="1"/>
  <c r="CC503" i="1"/>
  <c r="CE503" i="1" s="1"/>
  <c r="CC504" i="1"/>
  <c r="CE504" i="1" s="1"/>
  <c r="CC505" i="1"/>
  <c r="CE505" i="1" s="1"/>
  <c r="CC506" i="1"/>
  <c r="CE506" i="1" s="1"/>
  <c r="CC507" i="1"/>
  <c r="CE507" i="1" s="1"/>
  <c r="CC508" i="1"/>
  <c r="CE508" i="1" s="1"/>
  <c r="CC509" i="1"/>
  <c r="CE509" i="1" s="1"/>
  <c r="CC510" i="1"/>
  <c r="CE510" i="1" s="1"/>
  <c r="CC511" i="1"/>
  <c r="CE511" i="1" s="1"/>
  <c r="CC512" i="1"/>
  <c r="CE512" i="1" s="1"/>
  <c r="CC513" i="1"/>
  <c r="CE513" i="1" s="1"/>
  <c r="CC514" i="1"/>
  <c r="CE514" i="1" s="1"/>
  <c r="CC515" i="1"/>
  <c r="CE515" i="1" s="1"/>
  <c r="CC516" i="1"/>
  <c r="CE516" i="1" s="1"/>
  <c r="CC517" i="1"/>
  <c r="CE517" i="1" s="1"/>
  <c r="CC518" i="1"/>
  <c r="CE518" i="1" s="1"/>
  <c r="CC519" i="1"/>
  <c r="CE519" i="1" s="1"/>
  <c r="CC520" i="1"/>
  <c r="CE520" i="1" s="1"/>
  <c r="CC521" i="1"/>
  <c r="CE521" i="1" s="1"/>
  <c r="CC522" i="1"/>
  <c r="CE522" i="1" s="1"/>
  <c r="CC523" i="1"/>
  <c r="CE523" i="1" s="1"/>
  <c r="CC524" i="1"/>
  <c r="CE524" i="1" s="1"/>
  <c r="CC525" i="1"/>
  <c r="CE525" i="1" s="1"/>
  <c r="CC526" i="1"/>
  <c r="CE526" i="1" s="1"/>
  <c r="CC527" i="1"/>
  <c r="CE527" i="1" s="1"/>
  <c r="CC528" i="1"/>
  <c r="CE528" i="1" s="1"/>
  <c r="CC529" i="1"/>
  <c r="CE529" i="1" s="1"/>
  <c r="CC530" i="1"/>
  <c r="CE530" i="1" s="1"/>
  <c r="CC531" i="1"/>
  <c r="CE531" i="1" s="1"/>
  <c r="CC532" i="1"/>
  <c r="CE532" i="1" s="1"/>
  <c r="CC533" i="1"/>
  <c r="CE533" i="1" s="1"/>
  <c r="CC534" i="1"/>
  <c r="CE534" i="1" s="1"/>
  <c r="CC535" i="1"/>
  <c r="CE535" i="1" s="1"/>
  <c r="CC536" i="1"/>
  <c r="CE536" i="1" s="1"/>
  <c r="CC537" i="1"/>
  <c r="CC538" i="1"/>
  <c r="CC539" i="1"/>
  <c r="CE539" i="1" s="1"/>
  <c r="CC540" i="1"/>
  <c r="CE540" i="1" s="1"/>
  <c r="CC541" i="1"/>
  <c r="CE541" i="1" s="1"/>
  <c r="CC542" i="1"/>
  <c r="CE542" i="1" s="1"/>
  <c r="CC543" i="1"/>
  <c r="CE543" i="1" s="1"/>
  <c r="CC544" i="1"/>
  <c r="CE544" i="1" s="1"/>
  <c r="CC545" i="1"/>
  <c r="CE545" i="1" s="1"/>
  <c r="CC546" i="1"/>
  <c r="CE546" i="1" s="1"/>
  <c r="CC547" i="1"/>
  <c r="CE547" i="1" s="1"/>
  <c r="CC548" i="1"/>
  <c r="CE548" i="1" s="1"/>
  <c r="CC549" i="1"/>
  <c r="CE549" i="1" s="1"/>
  <c r="CC550" i="1"/>
  <c r="CE550" i="1" s="1"/>
  <c r="CC551" i="1"/>
  <c r="CE551" i="1" s="1"/>
  <c r="CC552" i="1"/>
  <c r="CE552" i="1" s="1"/>
  <c r="CC553" i="1"/>
  <c r="CE553" i="1" s="1"/>
  <c r="CC554" i="1"/>
  <c r="CE554" i="1" s="1"/>
  <c r="CC555" i="1"/>
  <c r="CE555" i="1" s="1"/>
  <c r="CC556" i="1"/>
  <c r="CE556" i="1" s="1"/>
  <c r="CC557" i="1"/>
  <c r="CE557" i="1" s="1"/>
  <c r="CC558" i="1"/>
  <c r="CE558" i="1" s="1"/>
  <c r="CC559" i="1"/>
  <c r="CE559" i="1" s="1"/>
  <c r="CC560" i="1"/>
  <c r="CE560" i="1" s="1"/>
  <c r="CC561" i="1"/>
  <c r="CE561" i="1" s="1"/>
  <c r="CC562" i="1"/>
  <c r="CE562" i="1" s="1"/>
  <c r="CC563" i="1"/>
  <c r="CE563" i="1" s="1"/>
  <c r="CC564" i="1"/>
  <c r="CE564" i="1" s="1"/>
  <c r="CC565" i="1"/>
  <c r="CE565" i="1" s="1"/>
  <c r="CC566" i="1"/>
  <c r="CE566" i="1" s="1"/>
  <c r="CC567" i="1"/>
  <c r="CE567" i="1" s="1"/>
  <c r="CC568" i="1"/>
  <c r="CE568" i="1" s="1"/>
  <c r="CC569" i="1"/>
  <c r="CE569" i="1" s="1"/>
  <c r="CC570" i="1"/>
  <c r="CE570" i="1" s="1"/>
  <c r="CC571" i="1"/>
  <c r="CE571" i="1" s="1"/>
  <c r="CC572" i="1"/>
  <c r="CE572" i="1" s="1"/>
  <c r="CC2" i="1"/>
  <c r="CE2" i="1" s="1"/>
  <c r="CH2" i="1"/>
  <c r="CO3" i="1"/>
  <c r="CO4" i="1"/>
  <c r="CO5" i="1"/>
  <c r="CO6" i="1"/>
  <c r="CO7" i="1"/>
  <c r="CO8" i="1"/>
  <c r="CO9" i="1"/>
  <c r="CO10" i="1"/>
  <c r="CO12" i="1"/>
  <c r="CO13" i="1"/>
  <c r="CO14" i="1"/>
  <c r="CO15" i="1"/>
  <c r="CO16" i="1"/>
  <c r="CO17" i="1"/>
  <c r="CO19" i="1"/>
  <c r="CO22" i="1"/>
  <c r="CO23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1" i="1"/>
  <c r="CO52" i="1"/>
  <c r="CO53" i="1"/>
  <c r="CO54" i="1"/>
  <c r="CO55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4" i="1"/>
  <c r="CO75" i="1"/>
  <c r="CO76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1" i="1"/>
  <c r="CO112" i="1"/>
  <c r="CO113" i="1"/>
  <c r="CO114" i="1"/>
  <c r="CO116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4" i="1"/>
  <c r="CO156" i="1"/>
  <c r="CO157" i="1"/>
  <c r="CO159" i="1"/>
  <c r="CO160" i="1"/>
  <c r="CO161" i="1"/>
  <c r="CO162" i="1"/>
  <c r="CO165" i="1"/>
  <c r="CO166" i="1"/>
  <c r="CO167" i="1"/>
  <c r="CO168" i="1"/>
  <c r="CO169" i="1"/>
  <c r="CO170" i="1"/>
  <c r="CO171" i="1"/>
  <c r="CO172" i="1"/>
  <c r="CO173" i="1"/>
  <c r="CO175" i="1"/>
  <c r="CO177" i="1"/>
  <c r="CO178" i="1"/>
  <c r="CO179" i="1"/>
  <c r="CO180" i="1"/>
  <c r="CO182" i="1"/>
  <c r="CO183" i="1"/>
  <c r="CO184" i="1"/>
  <c r="CO185" i="1"/>
  <c r="CO186" i="1"/>
  <c r="CO188" i="1"/>
  <c r="CO189" i="1"/>
  <c r="CO190" i="1"/>
  <c r="CO191" i="1"/>
  <c r="CO192" i="1"/>
  <c r="CO193" i="1"/>
  <c r="CO196" i="1"/>
  <c r="CO197" i="1"/>
  <c r="CO198" i="1"/>
  <c r="CO199" i="1"/>
  <c r="CO200" i="1"/>
  <c r="CO201" i="1"/>
  <c r="CO202" i="1"/>
  <c r="CO204" i="1"/>
  <c r="CO205" i="1"/>
  <c r="CO207" i="1"/>
  <c r="CO208" i="1"/>
  <c r="CO209" i="1"/>
  <c r="CO210" i="1"/>
  <c r="CO211" i="1"/>
  <c r="CO212" i="1"/>
  <c r="CO213" i="1"/>
  <c r="CO214" i="1"/>
  <c r="CO215" i="1"/>
  <c r="CO216" i="1"/>
  <c r="CO217" i="1"/>
  <c r="CO218" i="1"/>
  <c r="CO219" i="1"/>
  <c r="CO220" i="1"/>
  <c r="CO221" i="1"/>
  <c r="CO222" i="1"/>
  <c r="CO223" i="1"/>
  <c r="CO224" i="1"/>
  <c r="CO225" i="1"/>
  <c r="CO226" i="1"/>
  <c r="CO227" i="1"/>
  <c r="CO228" i="1"/>
  <c r="CO229" i="1"/>
  <c r="CO231" i="1"/>
  <c r="CO232" i="1"/>
  <c r="CO233" i="1"/>
  <c r="CO234" i="1"/>
  <c r="CO235" i="1"/>
  <c r="CO236" i="1"/>
  <c r="CO237" i="1"/>
  <c r="CO238" i="1"/>
  <c r="CO239" i="1"/>
  <c r="CO240" i="1"/>
  <c r="CO241" i="1"/>
  <c r="CO242" i="1"/>
  <c r="CO243" i="1"/>
  <c r="CO244" i="1"/>
  <c r="CO245" i="1"/>
  <c r="CO246" i="1"/>
  <c r="CO247" i="1"/>
  <c r="CO248" i="1"/>
  <c r="CO249" i="1"/>
  <c r="CO251" i="1"/>
  <c r="CO252" i="1"/>
  <c r="CO253" i="1"/>
  <c r="CO254" i="1"/>
  <c r="CO256" i="1"/>
  <c r="CO257" i="1"/>
  <c r="CO258" i="1"/>
  <c r="CO259" i="1"/>
  <c r="CO261" i="1"/>
  <c r="CO262" i="1"/>
  <c r="CO264" i="1"/>
  <c r="CO265" i="1"/>
  <c r="CO266" i="1"/>
  <c r="CO268" i="1"/>
  <c r="CO269" i="1"/>
  <c r="CO270" i="1"/>
  <c r="CO271" i="1"/>
  <c r="CO272" i="1"/>
  <c r="CO273" i="1"/>
  <c r="CO274" i="1"/>
  <c r="CO276" i="1"/>
  <c r="CO277" i="1"/>
  <c r="CO278" i="1"/>
  <c r="CO279" i="1"/>
  <c r="CO281" i="1"/>
  <c r="CO282" i="1"/>
  <c r="CO283" i="1"/>
  <c r="CO284" i="1"/>
  <c r="CO285" i="1"/>
  <c r="CO286" i="1"/>
  <c r="CO287" i="1"/>
  <c r="CO288" i="1"/>
  <c r="CO289" i="1"/>
  <c r="CO290" i="1"/>
  <c r="CO291" i="1"/>
  <c r="CO292" i="1"/>
  <c r="CO293" i="1"/>
  <c r="CO294" i="1"/>
  <c r="CO296" i="1"/>
  <c r="CO297" i="1"/>
  <c r="CO298" i="1"/>
  <c r="CO299" i="1"/>
  <c r="CO300" i="1"/>
  <c r="CO301" i="1"/>
  <c r="CO302" i="1"/>
  <c r="CO303" i="1"/>
  <c r="CO304" i="1"/>
  <c r="CO306" i="1"/>
  <c r="CO307" i="1"/>
  <c r="CO308" i="1"/>
  <c r="CO309" i="1"/>
  <c r="CO310" i="1"/>
  <c r="CO312" i="1"/>
  <c r="CO313" i="1"/>
  <c r="CO314" i="1"/>
  <c r="CO315" i="1"/>
  <c r="CO316" i="1"/>
  <c r="CO317" i="1"/>
  <c r="CO320" i="1"/>
  <c r="CO321" i="1"/>
  <c r="CO322" i="1"/>
  <c r="CO323" i="1"/>
  <c r="CO324" i="1"/>
  <c r="CO325" i="1"/>
  <c r="CO326" i="1"/>
  <c r="CO328" i="1"/>
  <c r="CO329" i="1"/>
  <c r="CO330" i="1"/>
  <c r="CO331" i="1"/>
  <c r="CO333" i="1"/>
  <c r="CO334" i="1"/>
  <c r="CO335" i="1"/>
  <c r="CO339" i="1"/>
  <c r="CO340" i="1"/>
  <c r="CO341" i="1"/>
  <c r="CO342" i="1"/>
  <c r="CO343" i="1"/>
  <c r="CO344" i="1"/>
  <c r="CO345" i="1"/>
  <c r="CO346" i="1"/>
  <c r="CO347" i="1"/>
  <c r="CO348" i="1"/>
  <c r="CO349" i="1"/>
  <c r="CO350" i="1"/>
  <c r="CO351" i="1"/>
  <c r="CO353" i="1"/>
  <c r="CO354" i="1"/>
  <c r="CO355" i="1"/>
  <c r="CO356" i="1"/>
  <c r="CO357" i="1"/>
  <c r="CO358" i="1"/>
  <c r="CO359" i="1"/>
  <c r="CO361" i="1"/>
  <c r="CO362" i="1"/>
  <c r="CO363" i="1"/>
  <c r="CO364" i="1"/>
  <c r="CO365" i="1"/>
  <c r="CO366" i="1"/>
  <c r="CO367" i="1"/>
  <c r="CO368" i="1"/>
  <c r="CO369" i="1"/>
  <c r="CO370" i="1"/>
  <c r="CO371" i="1"/>
  <c r="CO372" i="1"/>
  <c r="CO373" i="1"/>
  <c r="CO374" i="1"/>
  <c r="CO376" i="1"/>
  <c r="CO377" i="1"/>
  <c r="CO378" i="1"/>
  <c r="CO379" i="1"/>
  <c r="CO380" i="1"/>
  <c r="CO381" i="1"/>
  <c r="CO382" i="1"/>
  <c r="CO383" i="1"/>
  <c r="CO384" i="1"/>
  <c r="CO385" i="1"/>
  <c r="CO386" i="1"/>
  <c r="CO387" i="1"/>
  <c r="CO389" i="1"/>
  <c r="CO390" i="1"/>
  <c r="CO391" i="1"/>
  <c r="CO392" i="1"/>
  <c r="CO393" i="1"/>
  <c r="CO394" i="1"/>
  <c r="CO395" i="1"/>
  <c r="CO396" i="1"/>
  <c r="CO397" i="1"/>
  <c r="CO398" i="1"/>
  <c r="CO399" i="1"/>
  <c r="CO400" i="1"/>
  <c r="CO401" i="1"/>
  <c r="CO402" i="1"/>
  <c r="CO404" i="1"/>
  <c r="CO406" i="1"/>
  <c r="CO407" i="1"/>
  <c r="CO409" i="1"/>
  <c r="CO411" i="1"/>
  <c r="CO413" i="1"/>
  <c r="CO414" i="1"/>
  <c r="CO415" i="1"/>
  <c r="CO416" i="1"/>
  <c r="CO417" i="1"/>
  <c r="CO418" i="1"/>
  <c r="CO419" i="1"/>
  <c r="CO420" i="1"/>
  <c r="CO421" i="1"/>
  <c r="CO422" i="1"/>
  <c r="CO423" i="1"/>
  <c r="CO424" i="1"/>
  <c r="CO425" i="1"/>
  <c r="CO426" i="1"/>
  <c r="CO427" i="1"/>
  <c r="CO428" i="1"/>
  <c r="CO429" i="1"/>
  <c r="CO431" i="1"/>
  <c r="CO433" i="1"/>
  <c r="CO434" i="1"/>
  <c r="CO435" i="1"/>
  <c r="CO437" i="1"/>
  <c r="CO439" i="1"/>
  <c r="CO440" i="1"/>
  <c r="CO442" i="1"/>
  <c r="CO443" i="1"/>
  <c r="CO444" i="1"/>
  <c r="CO445" i="1"/>
  <c r="CO446" i="1"/>
  <c r="CO447" i="1"/>
  <c r="CO448" i="1"/>
  <c r="CO449" i="1"/>
  <c r="CO450" i="1"/>
  <c r="CO451" i="1"/>
  <c r="CO452" i="1"/>
  <c r="CO453" i="1"/>
  <c r="CO454" i="1"/>
  <c r="CO455" i="1"/>
  <c r="CO456" i="1"/>
  <c r="CO457" i="1"/>
  <c r="CO458" i="1"/>
  <c r="CO459" i="1"/>
  <c r="CO460" i="1"/>
  <c r="CO461" i="1"/>
  <c r="CO463" i="1"/>
  <c r="CO464" i="1"/>
  <c r="CO465" i="1"/>
  <c r="CO466" i="1"/>
  <c r="CO467" i="1"/>
  <c r="CO468" i="1"/>
  <c r="CO469" i="1"/>
  <c r="CO470" i="1"/>
  <c r="CO471" i="1"/>
  <c r="CO472" i="1"/>
  <c r="CO473" i="1"/>
  <c r="CO474" i="1"/>
  <c r="CO475" i="1"/>
  <c r="CO476" i="1"/>
  <c r="CO477" i="1"/>
  <c r="CO478" i="1"/>
  <c r="CO479" i="1"/>
  <c r="CO480" i="1"/>
  <c r="CO481" i="1"/>
  <c r="CO482" i="1"/>
  <c r="CO483" i="1"/>
  <c r="CO484" i="1"/>
  <c r="CO485" i="1"/>
  <c r="CO486" i="1"/>
  <c r="CO487" i="1"/>
  <c r="CO488" i="1"/>
  <c r="CO489" i="1"/>
  <c r="CO491" i="1"/>
  <c r="CO492" i="1"/>
  <c r="CO493" i="1"/>
  <c r="CO494" i="1"/>
  <c r="CO495" i="1"/>
  <c r="CO496" i="1"/>
  <c r="CO497" i="1"/>
  <c r="CO498" i="1"/>
  <c r="CO500" i="1"/>
  <c r="CO502" i="1"/>
  <c r="CO503" i="1"/>
  <c r="CO504" i="1"/>
  <c r="CO505" i="1"/>
  <c r="CO506" i="1"/>
  <c r="CO507" i="1"/>
  <c r="CO508" i="1"/>
  <c r="CO509" i="1"/>
  <c r="CO510" i="1"/>
  <c r="CO511" i="1"/>
  <c r="CO512" i="1"/>
  <c r="CO514" i="1"/>
  <c r="CO515" i="1"/>
  <c r="CO516" i="1"/>
  <c r="CO517" i="1"/>
  <c r="CO518" i="1"/>
  <c r="CO520" i="1"/>
  <c r="CO521" i="1"/>
  <c r="CO522" i="1"/>
  <c r="CO523" i="1"/>
  <c r="CO524" i="1"/>
  <c r="CO525" i="1"/>
  <c r="CO526" i="1"/>
  <c r="CO527" i="1"/>
  <c r="CO528" i="1"/>
  <c r="CO529" i="1"/>
  <c r="CO530" i="1"/>
  <c r="CO531" i="1"/>
  <c r="CO532" i="1"/>
  <c r="CO533" i="1"/>
  <c r="CO535" i="1"/>
  <c r="CO536" i="1"/>
  <c r="CO537" i="1"/>
  <c r="CO538" i="1"/>
  <c r="CO539" i="1"/>
  <c r="CO540" i="1"/>
  <c r="CO541" i="1"/>
  <c r="CO542" i="1"/>
  <c r="CO543" i="1"/>
  <c r="CO544" i="1"/>
  <c r="CO545" i="1"/>
  <c r="CO546" i="1"/>
  <c r="CO547" i="1"/>
  <c r="CO548" i="1"/>
  <c r="CO549" i="1"/>
  <c r="CO550" i="1"/>
  <c r="CO551" i="1"/>
  <c r="CO552" i="1"/>
  <c r="CO553" i="1"/>
  <c r="CO554" i="1"/>
  <c r="CO556" i="1"/>
  <c r="CO557" i="1"/>
  <c r="CO558" i="1"/>
  <c r="CO559" i="1"/>
  <c r="CO560" i="1"/>
  <c r="CO562" i="1"/>
  <c r="CO563" i="1"/>
  <c r="CO564" i="1"/>
  <c r="CO565" i="1"/>
  <c r="CO566" i="1"/>
  <c r="CO567" i="1"/>
  <c r="CO568" i="1"/>
  <c r="CO570" i="1"/>
  <c r="CO571" i="1"/>
  <c r="CO572" i="1"/>
  <c r="CO2" i="1"/>
  <c r="CJ11" i="1"/>
  <c r="CJ3" i="1"/>
  <c r="CJ4" i="1"/>
  <c r="CJ5" i="1"/>
  <c r="CJ6" i="1"/>
  <c r="CJ7" i="1"/>
  <c r="CJ8" i="1"/>
  <c r="CJ9" i="1"/>
  <c r="CJ10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176" i="1"/>
  <c r="CJ177" i="1"/>
  <c r="CJ178" i="1"/>
  <c r="CJ179" i="1"/>
  <c r="CJ180" i="1"/>
  <c r="CJ181" i="1"/>
  <c r="CJ182" i="1"/>
  <c r="CJ183" i="1"/>
  <c r="CJ184" i="1"/>
  <c r="CJ185" i="1"/>
  <c r="CJ186" i="1"/>
  <c r="CJ187" i="1"/>
  <c r="CJ188" i="1"/>
  <c r="CJ189" i="1"/>
  <c r="CJ190" i="1"/>
  <c r="CJ191" i="1"/>
  <c r="CJ192" i="1"/>
  <c r="CJ193" i="1"/>
  <c r="CJ194" i="1"/>
  <c r="CJ195" i="1"/>
  <c r="CJ196" i="1"/>
  <c r="CJ197" i="1"/>
  <c r="CJ198" i="1"/>
  <c r="CJ199" i="1"/>
  <c r="CJ200" i="1"/>
  <c r="CJ201" i="1"/>
  <c r="CJ202" i="1"/>
  <c r="CJ203" i="1"/>
  <c r="CJ204" i="1"/>
  <c r="CJ205" i="1"/>
  <c r="CJ206" i="1"/>
  <c r="CJ207" i="1"/>
  <c r="CJ208" i="1"/>
  <c r="CJ209" i="1"/>
  <c r="CJ210" i="1"/>
  <c r="CJ211" i="1"/>
  <c r="CJ212" i="1"/>
  <c r="CJ213" i="1"/>
  <c r="CJ214" i="1"/>
  <c r="CJ215" i="1"/>
  <c r="CJ216" i="1"/>
  <c r="CJ217" i="1"/>
  <c r="CJ218" i="1"/>
  <c r="CJ219" i="1"/>
  <c r="CJ220" i="1"/>
  <c r="CJ221" i="1"/>
  <c r="CJ222" i="1"/>
  <c r="CJ223" i="1"/>
  <c r="CJ224" i="1"/>
  <c r="CJ225" i="1"/>
  <c r="CJ226" i="1"/>
  <c r="CJ227" i="1"/>
  <c r="CJ228" i="1"/>
  <c r="CJ229" i="1"/>
  <c r="CJ230" i="1"/>
  <c r="CJ231" i="1"/>
  <c r="CJ232" i="1"/>
  <c r="CJ233" i="1"/>
  <c r="CJ234" i="1"/>
  <c r="CJ235" i="1"/>
  <c r="CJ236" i="1"/>
  <c r="CJ237" i="1"/>
  <c r="CJ238" i="1"/>
  <c r="CJ239" i="1"/>
  <c r="CJ240" i="1"/>
  <c r="CJ241" i="1"/>
  <c r="CJ242" i="1"/>
  <c r="CJ243" i="1"/>
  <c r="CJ244" i="1"/>
  <c r="CJ245" i="1"/>
  <c r="CJ246" i="1"/>
  <c r="CJ247" i="1"/>
  <c r="CJ248" i="1"/>
  <c r="CJ249" i="1"/>
  <c r="CJ250" i="1"/>
  <c r="CJ251" i="1"/>
  <c r="CJ252" i="1"/>
  <c r="CJ253" i="1"/>
  <c r="CJ254" i="1"/>
  <c r="CJ255" i="1"/>
  <c r="CJ256" i="1"/>
  <c r="CJ257" i="1"/>
  <c r="CJ258" i="1"/>
  <c r="CJ259" i="1"/>
  <c r="CJ260" i="1"/>
  <c r="CJ261" i="1"/>
  <c r="CJ262" i="1"/>
  <c r="CJ263" i="1"/>
  <c r="CJ264" i="1"/>
  <c r="CJ265" i="1"/>
  <c r="CJ266" i="1"/>
  <c r="CJ267" i="1"/>
  <c r="CJ268" i="1"/>
  <c r="CJ269" i="1"/>
  <c r="CJ270" i="1"/>
  <c r="CJ271" i="1"/>
  <c r="CJ272" i="1"/>
  <c r="CJ273" i="1"/>
  <c r="CJ274" i="1"/>
  <c r="CJ275" i="1"/>
  <c r="CJ276" i="1"/>
  <c r="CJ277" i="1"/>
  <c r="CJ278" i="1"/>
  <c r="CJ279" i="1"/>
  <c r="CJ280" i="1"/>
  <c r="CJ281" i="1"/>
  <c r="CJ282" i="1"/>
  <c r="CJ283" i="1"/>
  <c r="CJ284" i="1"/>
  <c r="CJ285" i="1"/>
  <c r="CJ286" i="1"/>
  <c r="CJ287" i="1"/>
  <c r="CJ288" i="1"/>
  <c r="CJ289" i="1"/>
  <c r="CJ290" i="1"/>
  <c r="CJ291" i="1"/>
  <c r="CJ292" i="1"/>
  <c r="CJ293" i="1"/>
  <c r="CJ294" i="1"/>
  <c r="CJ295" i="1"/>
  <c r="CJ296" i="1"/>
  <c r="CJ297" i="1"/>
  <c r="CJ298" i="1"/>
  <c r="CJ299" i="1"/>
  <c r="CJ300" i="1"/>
  <c r="CJ301" i="1"/>
  <c r="CJ302" i="1"/>
  <c r="CJ303" i="1"/>
  <c r="CJ304" i="1"/>
  <c r="CJ305" i="1"/>
  <c r="CJ306" i="1"/>
  <c r="CJ307" i="1"/>
  <c r="CJ308" i="1"/>
  <c r="CJ309" i="1"/>
  <c r="CJ310" i="1"/>
  <c r="CJ311" i="1"/>
  <c r="CJ312" i="1"/>
  <c r="CJ313" i="1"/>
  <c r="CJ314" i="1"/>
  <c r="CJ315" i="1"/>
  <c r="CJ316" i="1"/>
  <c r="CJ317" i="1"/>
  <c r="CJ318" i="1"/>
  <c r="CJ319" i="1"/>
  <c r="CJ320" i="1"/>
  <c r="CJ321" i="1"/>
  <c r="CJ322" i="1"/>
  <c r="CJ323" i="1"/>
  <c r="CJ324" i="1"/>
  <c r="CJ325" i="1"/>
  <c r="CJ326" i="1"/>
  <c r="CJ327" i="1"/>
  <c r="CJ328" i="1"/>
  <c r="CJ329" i="1"/>
  <c r="CJ330" i="1"/>
  <c r="CJ331" i="1"/>
  <c r="CJ332" i="1"/>
  <c r="CJ333" i="1"/>
  <c r="CJ334" i="1"/>
  <c r="CJ335" i="1"/>
  <c r="CJ336" i="1"/>
  <c r="CJ337" i="1"/>
  <c r="CJ338" i="1"/>
  <c r="CJ339" i="1"/>
  <c r="CJ340" i="1"/>
  <c r="CJ341" i="1"/>
  <c r="CJ342" i="1"/>
  <c r="CJ343" i="1"/>
  <c r="CJ344" i="1"/>
  <c r="CJ345" i="1"/>
  <c r="CJ346" i="1"/>
  <c r="CJ347" i="1"/>
  <c r="CJ348" i="1"/>
  <c r="CJ349" i="1"/>
  <c r="CJ350" i="1"/>
  <c r="CJ351" i="1"/>
  <c r="CJ352" i="1"/>
  <c r="CJ353" i="1"/>
  <c r="CJ354" i="1"/>
  <c r="CJ355" i="1"/>
  <c r="CJ356" i="1"/>
  <c r="CJ357" i="1"/>
  <c r="CJ358" i="1"/>
  <c r="CJ359" i="1"/>
  <c r="CJ360" i="1"/>
  <c r="CJ361" i="1"/>
  <c r="CJ362" i="1"/>
  <c r="CJ363" i="1"/>
  <c r="CJ364" i="1"/>
  <c r="CJ365" i="1"/>
  <c r="CJ366" i="1"/>
  <c r="CJ367" i="1"/>
  <c r="CJ368" i="1"/>
  <c r="CJ369" i="1"/>
  <c r="CJ370" i="1"/>
  <c r="CJ371" i="1"/>
  <c r="CJ372" i="1"/>
  <c r="CJ373" i="1"/>
  <c r="CJ374" i="1"/>
  <c r="CJ375" i="1"/>
  <c r="CJ376" i="1"/>
  <c r="CJ377" i="1"/>
  <c r="CJ378" i="1"/>
  <c r="CJ379" i="1"/>
  <c r="CJ380" i="1"/>
  <c r="CJ381" i="1"/>
  <c r="CJ382" i="1"/>
  <c r="CJ383" i="1"/>
  <c r="CJ384" i="1"/>
  <c r="CJ385" i="1"/>
  <c r="CJ386" i="1"/>
  <c r="CJ387" i="1"/>
  <c r="CJ388" i="1"/>
  <c r="CJ389" i="1"/>
  <c r="CJ390" i="1"/>
  <c r="CJ391" i="1"/>
  <c r="CJ392" i="1"/>
  <c r="CJ393" i="1"/>
  <c r="CJ394" i="1"/>
  <c r="CJ395" i="1"/>
  <c r="CJ396" i="1"/>
  <c r="CJ397" i="1"/>
  <c r="CJ398" i="1"/>
  <c r="CJ399" i="1"/>
  <c r="CJ400" i="1"/>
  <c r="CJ401" i="1"/>
  <c r="CJ402" i="1"/>
  <c r="CJ403" i="1"/>
  <c r="CJ404" i="1"/>
  <c r="CJ405" i="1"/>
  <c r="CJ406" i="1"/>
  <c r="CJ407" i="1"/>
  <c r="CJ408" i="1"/>
  <c r="CJ409" i="1"/>
  <c r="CJ410" i="1"/>
  <c r="CJ411" i="1"/>
  <c r="CJ412" i="1"/>
  <c r="CJ413" i="1"/>
  <c r="CJ414" i="1"/>
  <c r="CJ415" i="1"/>
  <c r="CJ416" i="1"/>
  <c r="CJ417" i="1"/>
  <c r="CJ418" i="1"/>
  <c r="CJ419" i="1"/>
  <c r="CJ420" i="1"/>
  <c r="CJ421" i="1"/>
  <c r="CJ422" i="1"/>
  <c r="CJ423" i="1"/>
  <c r="CJ424" i="1"/>
  <c r="CJ425" i="1"/>
  <c r="CJ426" i="1"/>
  <c r="CJ427" i="1"/>
  <c r="CJ428" i="1"/>
  <c r="CJ429" i="1"/>
  <c r="CJ430" i="1"/>
  <c r="CJ431" i="1"/>
  <c r="CJ432" i="1"/>
  <c r="CJ433" i="1"/>
  <c r="CJ434" i="1"/>
  <c r="CJ435" i="1"/>
  <c r="CJ436" i="1"/>
  <c r="CJ437" i="1"/>
  <c r="CJ438" i="1"/>
  <c r="CJ439" i="1"/>
  <c r="CJ440" i="1"/>
  <c r="CJ441" i="1"/>
  <c r="CJ442" i="1"/>
  <c r="CJ443" i="1"/>
  <c r="CJ444" i="1"/>
  <c r="CJ445" i="1"/>
  <c r="CJ446" i="1"/>
  <c r="CJ447" i="1"/>
  <c r="CJ448" i="1"/>
  <c r="CJ449" i="1"/>
  <c r="CJ450" i="1"/>
  <c r="CJ451" i="1"/>
  <c r="CJ452" i="1"/>
  <c r="CJ453" i="1"/>
  <c r="CJ454" i="1"/>
  <c r="CJ455" i="1"/>
  <c r="CJ456" i="1"/>
  <c r="CJ457" i="1"/>
  <c r="CJ458" i="1"/>
  <c r="CJ459" i="1"/>
  <c r="CJ460" i="1"/>
  <c r="CJ461" i="1"/>
  <c r="CJ462" i="1"/>
  <c r="CJ463" i="1"/>
  <c r="CJ464" i="1"/>
  <c r="CJ465" i="1"/>
  <c r="CJ466" i="1"/>
  <c r="CJ467" i="1"/>
  <c r="CJ468" i="1"/>
  <c r="CJ469" i="1"/>
  <c r="CJ470" i="1"/>
  <c r="CJ471" i="1"/>
  <c r="CJ472" i="1"/>
  <c r="CJ473" i="1"/>
  <c r="CJ474" i="1"/>
  <c r="CJ475" i="1"/>
  <c r="CJ476" i="1"/>
  <c r="CJ477" i="1"/>
  <c r="CJ478" i="1"/>
  <c r="CJ479" i="1"/>
  <c r="CJ480" i="1"/>
  <c r="CJ481" i="1"/>
  <c r="CJ482" i="1"/>
  <c r="CJ483" i="1"/>
  <c r="CJ484" i="1"/>
  <c r="CJ485" i="1"/>
  <c r="CJ486" i="1"/>
  <c r="CJ487" i="1"/>
  <c r="CJ488" i="1"/>
  <c r="CJ489" i="1"/>
  <c r="CJ490" i="1"/>
  <c r="CJ491" i="1"/>
  <c r="CJ492" i="1"/>
  <c r="CJ493" i="1"/>
  <c r="CJ494" i="1"/>
  <c r="CJ495" i="1"/>
  <c r="CJ496" i="1"/>
  <c r="CJ497" i="1"/>
  <c r="CJ498" i="1"/>
  <c r="CJ499" i="1"/>
  <c r="CJ500" i="1"/>
  <c r="CJ501" i="1"/>
  <c r="CJ502" i="1"/>
  <c r="CJ503" i="1"/>
  <c r="CJ504" i="1"/>
  <c r="CJ505" i="1"/>
  <c r="CJ506" i="1"/>
  <c r="CJ507" i="1"/>
  <c r="CJ508" i="1"/>
  <c r="CJ509" i="1"/>
  <c r="CJ510" i="1"/>
  <c r="CJ511" i="1"/>
  <c r="CJ512" i="1"/>
  <c r="CJ513" i="1"/>
  <c r="CJ514" i="1"/>
  <c r="CJ515" i="1"/>
  <c r="CJ516" i="1"/>
  <c r="CJ517" i="1"/>
  <c r="CJ518" i="1"/>
  <c r="CJ519" i="1"/>
  <c r="CJ520" i="1"/>
  <c r="CJ521" i="1"/>
  <c r="CJ522" i="1"/>
  <c r="CJ523" i="1"/>
  <c r="CJ524" i="1"/>
  <c r="CJ525" i="1"/>
  <c r="CJ526" i="1"/>
  <c r="CJ527" i="1"/>
  <c r="CJ528" i="1"/>
  <c r="CJ529" i="1"/>
  <c r="CJ530" i="1"/>
  <c r="CJ531" i="1"/>
  <c r="CJ532" i="1"/>
  <c r="CJ533" i="1"/>
  <c r="CJ534" i="1"/>
  <c r="CJ535" i="1"/>
  <c r="CJ536" i="1"/>
  <c r="CJ537" i="1"/>
  <c r="CJ538" i="1"/>
  <c r="CJ539" i="1"/>
  <c r="CJ540" i="1"/>
  <c r="CJ541" i="1"/>
  <c r="CJ542" i="1"/>
  <c r="CJ543" i="1"/>
  <c r="CJ544" i="1"/>
  <c r="CJ545" i="1"/>
  <c r="CJ546" i="1"/>
  <c r="CJ547" i="1"/>
  <c r="CJ548" i="1"/>
  <c r="CJ549" i="1"/>
  <c r="CJ550" i="1"/>
  <c r="CJ551" i="1"/>
  <c r="CJ552" i="1"/>
  <c r="CJ553" i="1"/>
  <c r="CJ554" i="1"/>
  <c r="CJ555" i="1"/>
  <c r="CJ556" i="1"/>
  <c r="CJ557" i="1"/>
  <c r="CJ558" i="1"/>
  <c r="CJ559" i="1"/>
  <c r="CJ560" i="1"/>
  <c r="CJ561" i="1"/>
  <c r="CJ562" i="1"/>
  <c r="CJ563" i="1"/>
  <c r="CJ564" i="1"/>
  <c r="CJ565" i="1"/>
  <c r="CJ566" i="1"/>
  <c r="CJ567" i="1"/>
  <c r="CJ568" i="1"/>
  <c r="CJ569" i="1"/>
  <c r="CJ570" i="1"/>
  <c r="CJ571" i="1"/>
  <c r="CJ572" i="1"/>
  <c r="CJ2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7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99" i="1"/>
  <c r="CH300" i="1"/>
  <c r="CH301" i="1"/>
  <c r="CH302" i="1"/>
  <c r="CH303" i="1"/>
  <c r="CH304" i="1"/>
  <c r="CH305" i="1"/>
  <c r="CH306" i="1"/>
  <c r="CH307" i="1"/>
  <c r="CH308" i="1"/>
  <c r="CH309" i="1"/>
  <c r="CH310" i="1"/>
  <c r="CH311" i="1"/>
  <c r="CH312" i="1"/>
  <c r="CH313" i="1"/>
  <c r="CH314" i="1"/>
  <c r="CH315" i="1"/>
  <c r="CH316" i="1"/>
  <c r="CH317" i="1"/>
  <c r="CH318" i="1"/>
  <c r="CH319" i="1"/>
  <c r="CH320" i="1"/>
  <c r="CH321" i="1"/>
  <c r="CH322" i="1"/>
  <c r="CH323" i="1"/>
  <c r="CH324" i="1"/>
  <c r="CH325" i="1"/>
  <c r="CH326" i="1"/>
  <c r="CH327" i="1"/>
  <c r="CH328" i="1"/>
  <c r="CH329" i="1"/>
  <c r="CH330" i="1"/>
  <c r="CH331" i="1"/>
  <c r="CH332" i="1"/>
  <c r="CH333" i="1"/>
  <c r="CH334" i="1"/>
  <c r="CH335" i="1"/>
  <c r="CH336" i="1"/>
  <c r="CH337" i="1"/>
  <c r="CH338" i="1"/>
  <c r="CH339" i="1"/>
  <c r="CH340" i="1"/>
  <c r="CH341" i="1"/>
  <c r="CH342" i="1"/>
  <c r="CH343" i="1"/>
  <c r="CH344" i="1"/>
  <c r="CH345" i="1"/>
  <c r="CH346" i="1"/>
  <c r="CH347" i="1"/>
  <c r="CH348" i="1"/>
  <c r="CH349" i="1"/>
  <c r="CH350" i="1"/>
  <c r="CH351" i="1"/>
  <c r="CH352" i="1"/>
  <c r="CH353" i="1"/>
  <c r="CH354" i="1"/>
  <c r="CH355" i="1"/>
  <c r="CH356" i="1"/>
  <c r="CH357" i="1"/>
  <c r="CH358" i="1"/>
  <c r="CH359" i="1"/>
  <c r="CH360" i="1"/>
  <c r="CH361" i="1"/>
  <c r="CH362" i="1"/>
  <c r="CH363" i="1"/>
  <c r="CH364" i="1"/>
  <c r="CH365" i="1"/>
  <c r="CH366" i="1"/>
  <c r="CH367" i="1"/>
  <c r="CH368" i="1"/>
  <c r="CH369" i="1"/>
  <c r="CH370" i="1"/>
  <c r="CH371" i="1"/>
  <c r="CH372" i="1"/>
  <c r="CH373" i="1"/>
  <c r="CH374" i="1"/>
  <c r="CH375" i="1"/>
  <c r="CH376" i="1"/>
  <c r="CH377" i="1"/>
  <c r="CH378" i="1"/>
  <c r="CH379" i="1"/>
  <c r="CH380" i="1"/>
  <c r="CH381" i="1"/>
  <c r="CH382" i="1"/>
  <c r="CH383" i="1"/>
  <c r="CH384" i="1"/>
  <c r="CH385" i="1"/>
  <c r="CH386" i="1"/>
  <c r="CH387" i="1"/>
  <c r="CH388" i="1"/>
  <c r="CH389" i="1"/>
  <c r="CH390" i="1"/>
  <c r="CH391" i="1"/>
  <c r="CH392" i="1"/>
  <c r="CH393" i="1"/>
  <c r="CH394" i="1"/>
  <c r="CH395" i="1"/>
  <c r="CH396" i="1"/>
  <c r="CH397" i="1"/>
  <c r="CH398" i="1"/>
  <c r="CH399" i="1"/>
  <c r="CH400" i="1"/>
  <c r="CH401" i="1"/>
  <c r="CH402" i="1"/>
  <c r="CH403" i="1"/>
  <c r="CH404" i="1"/>
  <c r="CH405" i="1"/>
  <c r="CH406" i="1"/>
  <c r="CH407" i="1"/>
  <c r="CH408" i="1"/>
  <c r="CH409" i="1"/>
  <c r="CH410" i="1"/>
  <c r="CH411" i="1"/>
  <c r="CH412" i="1"/>
  <c r="CH413" i="1"/>
  <c r="CH414" i="1"/>
  <c r="CH415" i="1"/>
  <c r="CH416" i="1"/>
  <c r="CH417" i="1"/>
  <c r="CH418" i="1"/>
  <c r="CH419" i="1"/>
  <c r="CH420" i="1"/>
  <c r="CH421" i="1"/>
  <c r="CH422" i="1"/>
  <c r="CH423" i="1"/>
  <c r="CH424" i="1"/>
  <c r="CH425" i="1"/>
  <c r="CH426" i="1"/>
  <c r="CH427" i="1"/>
  <c r="CH428" i="1"/>
  <c r="CH429" i="1"/>
  <c r="CH430" i="1"/>
  <c r="CH431" i="1"/>
  <c r="CH432" i="1"/>
  <c r="CH433" i="1"/>
  <c r="CH434" i="1"/>
  <c r="CH435" i="1"/>
  <c r="CH436" i="1"/>
  <c r="CH437" i="1"/>
  <c r="CH438" i="1"/>
  <c r="CH439" i="1"/>
  <c r="CH440" i="1"/>
  <c r="CH441" i="1"/>
  <c r="CH442" i="1"/>
  <c r="CH443" i="1"/>
  <c r="CH444" i="1"/>
  <c r="CH445" i="1"/>
  <c r="CH446" i="1"/>
  <c r="CH447" i="1"/>
  <c r="CH448" i="1"/>
  <c r="CH449" i="1"/>
  <c r="CH450" i="1"/>
  <c r="CH451" i="1"/>
  <c r="CH452" i="1"/>
  <c r="CH453" i="1"/>
  <c r="CH454" i="1"/>
  <c r="CH455" i="1"/>
  <c r="CH456" i="1"/>
  <c r="CH457" i="1"/>
  <c r="CH458" i="1"/>
  <c r="CH459" i="1"/>
  <c r="CH460" i="1"/>
  <c r="CH461" i="1"/>
  <c r="CH462" i="1"/>
  <c r="CH463" i="1"/>
  <c r="CH464" i="1"/>
  <c r="CH465" i="1"/>
  <c r="CH466" i="1"/>
  <c r="CH467" i="1"/>
  <c r="CH468" i="1"/>
  <c r="CH469" i="1"/>
  <c r="CH470" i="1"/>
  <c r="CH471" i="1"/>
  <c r="CH472" i="1"/>
  <c r="CH473" i="1"/>
  <c r="CH474" i="1"/>
  <c r="CH475" i="1"/>
  <c r="CH476" i="1"/>
  <c r="CH477" i="1"/>
  <c r="CH478" i="1"/>
  <c r="CH479" i="1"/>
  <c r="CH480" i="1"/>
  <c r="CH481" i="1"/>
  <c r="CH482" i="1"/>
  <c r="CH483" i="1"/>
  <c r="CH484" i="1"/>
  <c r="CH485" i="1"/>
  <c r="CH486" i="1"/>
  <c r="CH487" i="1"/>
  <c r="CH488" i="1"/>
  <c r="CH489" i="1"/>
  <c r="CH490" i="1"/>
  <c r="CH491" i="1"/>
  <c r="CH492" i="1"/>
  <c r="CH493" i="1"/>
  <c r="CH494" i="1"/>
  <c r="CH495" i="1"/>
  <c r="CH496" i="1"/>
  <c r="CH497" i="1"/>
  <c r="CH498" i="1"/>
  <c r="CH499" i="1"/>
  <c r="CH500" i="1"/>
  <c r="CH501" i="1"/>
  <c r="CH502" i="1"/>
  <c r="CH503" i="1"/>
  <c r="CH504" i="1"/>
  <c r="CH505" i="1"/>
  <c r="CH506" i="1"/>
  <c r="CH507" i="1"/>
  <c r="CH508" i="1"/>
  <c r="CH509" i="1"/>
  <c r="CH510" i="1"/>
  <c r="CH511" i="1"/>
  <c r="CH512" i="1"/>
  <c r="CH513" i="1"/>
  <c r="CH514" i="1"/>
  <c r="CH515" i="1"/>
  <c r="CH516" i="1"/>
  <c r="CH517" i="1"/>
  <c r="CH518" i="1"/>
  <c r="CH519" i="1"/>
  <c r="CH520" i="1"/>
  <c r="CH521" i="1"/>
  <c r="CH522" i="1"/>
  <c r="CH523" i="1"/>
  <c r="CH524" i="1"/>
  <c r="CH525" i="1"/>
  <c r="CH526" i="1"/>
  <c r="CH527" i="1"/>
  <c r="CH528" i="1"/>
  <c r="CH529" i="1"/>
  <c r="CH530" i="1"/>
  <c r="CH531" i="1"/>
  <c r="CH532" i="1"/>
  <c r="CH533" i="1"/>
  <c r="CH534" i="1"/>
  <c r="CH535" i="1"/>
  <c r="CH536" i="1"/>
  <c r="CH537" i="1"/>
  <c r="CH538" i="1"/>
  <c r="CH539" i="1"/>
  <c r="CH540" i="1"/>
  <c r="CH541" i="1"/>
  <c r="CH542" i="1"/>
  <c r="CH543" i="1"/>
  <c r="CH544" i="1"/>
  <c r="CH545" i="1"/>
  <c r="CH546" i="1"/>
  <c r="CH547" i="1"/>
  <c r="CH548" i="1"/>
  <c r="CH549" i="1"/>
  <c r="CH550" i="1"/>
  <c r="CH551" i="1"/>
  <c r="CH552" i="1"/>
  <c r="CH553" i="1"/>
  <c r="CH554" i="1"/>
  <c r="CH555" i="1"/>
  <c r="CH556" i="1"/>
  <c r="CH557" i="1"/>
  <c r="CH558" i="1"/>
  <c r="CH559" i="1"/>
  <c r="CH560" i="1"/>
  <c r="CH561" i="1"/>
  <c r="CH562" i="1"/>
  <c r="CH563" i="1"/>
  <c r="CH564" i="1"/>
  <c r="CH565" i="1"/>
  <c r="CH566" i="1"/>
  <c r="CH567" i="1"/>
  <c r="CH568" i="1"/>
  <c r="CH569" i="1"/>
  <c r="CH570" i="1"/>
  <c r="CH571" i="1"/>
  <c r="CH572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176" i="1"/>
  <c r="CF177" i="1"/>
  <c r="CF178" i="1"/>
  <c r="CF179" i="1"/>
  <c r="CF180" i="1"/>
  <c r="CF181" i="1"/>
  <c r="CF182" i="1"/>
  <c r="CF183" i="1"/>
  <c r="CF184" i="1"/>
  <c r="CF185" i="1"/>
  <c r="CF186" i="1"/>
  <c r="CF187" i="1"/>
  <c r="CF188" i="1"/>
  <c r="CF189" i="1"/>
  <c r="CF190" i="1"/>
  <c r="CF191" i="1"/>
  <c r="CF192" i="1"/>
  <c r="CF193" i="1"/>
  <c r="CF194" i="1"/>
  <c r="CF195" i="1"/>
  <c r="CF196" i="1"/>
  <c r="CF197" i="1"/>
  <c r="CF198" i="1"/>
  <c r="CF199" i="1"/>
  <c r="CF200" i="1"/>
  <c r="CF201" i="1"/>
  <c r="CF202" i="1"/>
  <c r="CF203" i="1"/>
  <c r="CF204" i="1"/>
  <c r="CF205" i="1"/>
  <c r="CF206" i="1"/>
  <c r="CF207" i="1"/>
  <c r="CF208" i="1"/>
  <c r="CF209" i="1"/>
  <c r="CF210" i="1"/>
  <c r="CF211" i="1"/>
  <c r="CF212" i="1"/>
  <c r="CF213" i="1"/>
  <c r="CF214" i="1"/>
  <c r="CF215" i="1"/>
  <c r="CF216" i="1"/>
  <c r="CF217" i="1"/>
  <c r="CF218" i="1"/>
  <c r="CF219" i="1"/>
  <c r="CF220" i="1"/>
  <c r="CF221" i="1"/>
  <c r="CF222" i="1"/>
  <c r="CF223" i="1"/>
  <c r="CF224" i="1"/>
  <c r="CF225" i="1"/>
  <c r="CF226" i="1"/>
  <c r="CF227" i="1"/>
  <c r="CF228" i="1"/>
  <c r="CF229" i="1"/>
  <c r="CF230" i="1"/>
  <c r="CF231" i="1"/>
  <c r="CF232" i="1"/>
  <c r="CF233" i="1"/>
  <c r="CF234" i="1"/>
  <c r="CF235" i="1"/>
  <c r="CF236" i="1"/>
  <c r="CF237" i="1"/>
  <c r="CF238" i="1"/>
  <c r="CF239" i="1"/>
  <c r="CF240" i="1"/>
  <c r="CF241" i="1"/>
  <c r="CF242" i="1"/>
  <c r="CF243" i="1"/>
  <c r="CF244" i="1"/>
  <c r="CF245" i="1"/>
  <c r="CF246" i="1"/>
  <c r="CF247" i="1"/>
  <c r="CF248" i="1"/>
  <c r="CF249" i="1"/>
  <c r="CF250" i="1"/>
  <c r="CF251" i="1"/>
  <c r="CF252" i="1"/>
  <c r="CF253" i="1"/>
  <c r="CF254" i="1"/>
  <c r="CF255" i="1"/>
  <c r="CF256" i="1"/>
  <c r="CF257" i="1"/>
  <c r="CF258" i="1"/>
  <c r="CF259" i="1"/>
  <c r="CF260" i="1"/>
  <c r="CF261" i="1"/>
  <c r="CF262" i="1"/>
  <c r="CF263" i="1"/>
  <c r="CF264" i="1"/>
  <c r="CF265" i="1"/>
  <c r="CF266" i="1"/>
  <c r="CF267" i="1"/>
  <c r="CF268" i="1"/>
  <c r="CF269" i="1"/>
  <c r="CF270" i="1"/>
  <c r="CF271" i="1"/>
  <c r="CF272" i="1"/>
  <c r="CF273" i="1"/>
  <c r="CF274" i="1"/>
  <c r="CF275" i="1"/>
  <c r="CF276" i="1"/>
  <c r="CF277" i="1"/>
  <c r="CF278" i="1"/>
  <c r="CF279" i="1"/>
  <c r="CF280" i="1"/>
  <c r="CF281" i="1"/>
  <c r="CF282" i="1"/>
  <c r="CF283" i="1"/>
  <c r="CF284" i="1"/>
  <c r="CF285" i="1"/>
  <c r="CF286" i="1"/>
  <c r="CF287" i="1"/>
  <c r="CF288" i="1"/>
  <c r="CF289" i="1"/>
  <c r="CF290" i="1"/>
  <c r="CF291" i="1"/>
  <c r="CF292" i="1"/>
  <c r="CF293" i="1"/>
  <c r="CF294" i="1"/>
  <c r="CF296" i="1"/>
  <c r="CF297" i="1"/>
  <c r="CF298" i="1"/>
  <c r="CF299" i="1"/>
  <c r="CF300" i="1"/>
  <c r="CF301" i="1"/>
  <c r="CF302" i="1"/>
  <c r="CF303" i="1"/>
  <c r="CF304" i="1"/>
  <c r="CF305" i="1"/>
  <c r="CF306" i="1"/>
  <c r="CF307" i="1"/>
  <c r="CF308" i="1"/>
  <c r="CF309" i="1"/>
  <c r="CF310" i="1"/>
  <c r="CF311" i="1"/>
  <c r="CF312" i="1"/>
  <c r="CF313" i="1"/>
  <c r="CF314" i="1"/>
  <c r="CF315" i="1"/>
  <c r="CF316" i="1"/>
  <c r="CF317" i="1"/>
  <c r="CF318" i="1"/>
  <c r="CF319" i="1"/>
  <c r="CF320" i="1"/>
  <c r="CF321" i="1"/>
  <c r="CF322" i="1"/>
  <c r="CF323" i="1"/>
  <c r="CF324" i="1"/>
  <c r="CF325" i="1"/>
  <c r="CF326" i="1"/>
  <c r="CF327" i="1"/>
  <c r="CF328" i="1"/>
  <c r="CF329" i="1"/>
  <c r="CF330" i="1"/>
  <c r="CF331" i="1"/>
  <c r="CF332" i="1"/>
  <c r="CF333" i="1"/>
  <c r="CF334" i="1"/>
  <c r="CF335" i="1"/>
  <c r="CF336" i="1"/>
  <c r="CF337" i="1"/>
  <c r="CF338" i="1"/>
  <c r="CF339" i="1"/>
  <c r="CF340" i="1"/>
  <c r="CF341" i="1"/>
  <c r="CF342" i="1"/>
  <c r="CF343" i="1"/>
  <c r="CF344" i="1"/>
  <c r="CF345" i="1"/>
  <c r="CF346" i="1"/>
  <c r="CF347" i="1"/>
  <c r="CF348" i="1"/>
  <c r="CF349" i="1"/>
  <c r="CF350" i="1"/>
  <c r="CF351" i="1"/>
  <c r="CF352" i="1"/>
  <c r="CF353" i="1"/>
  <c r="CF354" i="1"/>
  <c r="CF355" i="1"/>
  <c r="CF356" i="1"/>
  <c r="CF357" i="1"/>
  <c r="CF358" i="1"/>
  <c r="CF359" i="1"/>
  <c r="CF360" i="1"/>
  <c r="CF361" i="1"/>
  <c r="CF362" i="1"/>
  <c r="CF363" i="1"/>
  <c r="CF364" i="1"/>
  <c r="CF365" i="1"/>
  <c r="CF366" i="1"/>
  <c r="CF367" i="1"/>
  <c r="CF368" i="1"/>
  <c r="CF369" i="1"/>
  <c r="CF370" i="1"/>
  <c r="CF371" i="1"/>
  <c r="CF372" i="1"/>
  <c r="CF373" i="1"/>
  <c r="CF374" i="1"/>
  <c r="CF375" i="1"/>
  <c r="CF376" i="1"/>
  <c r="CF377" i="1"/>
  <c r="CF378" i="1"/>
  <c r="CF379" i="1"/>
  <c r="CF380" i="1"/>
  <c r="CF381" i="1"/>
  <c r="CF382" i="1"/>
  <c r="CF383" i="1"/>
  <c r="CF384" i="1"/>
  <c r="CF385" i="1"/>
  <c r="CF386" i="1"/>
  <c r="CF387" i="1"/>
  <c r="CF388" i="1"/>
  <c r="CF389" i="1"/>
  <c r="CF390" i="1"/>
  <c r="CF391" i="1"/>
  <c r="CF392" i="1"/>
  <c r="CF393" i="1"/>
  <c r="CF394" i="1"/>
  <c r="CF395" i="1"/>
  <c r="CF396" i="1"/>
  <c r="CF397" i="1"/>
  <c r="CF398" i="1"/>
  <c r="CF399" i="1"/>
  <c r="CF400" i="1"/>
  <c r="CF401" i="1"/>
  <c r="CF402" i="1"/>
  <c r="CF403" i="1"/>
  <c r="CF404" i="1"/>
  <c r="CF405" i="1"/>
  <c r="CF406" i="1"/>
  <c r="CF407" i="1"/>
  <c r="CF408" i="1"/>
  <c r="CF410" i="1"/>
  <c r="CF411" i="1"/>
  <c r="CF412" i="1"/>
  <c r="CF413" i="1"/>
  <c r="CF414" i="1"/>
  <c r="CF415" i="1"/>
  <c r="CF416" i="1"/>
  <c r="CF417" i="1"/>
  <c r="CF418" i="1"/>
  <c r="CF419" i="1"/>
  <c r="CF420" i="1"/>
  <c r="CF421" i="1"/>
  <c r="CF422" i="1"/>
  <c r="CF423" i="1"/>
  <c r="CF424" i="1"/>
  <c r="CF425" i="1"/>
  <c r="CF426" i="1"/>
  <c r="CF427" i="1"/>
  <c r="CF428" i="1"/>
  <c r="CF429" i="1"/>
  <c r="CF430" i="1"/>
  <c r="CF431" i="1"/>
  <c r="CF432" i="1"/>
  <c r="CF433" i="1"/>
  <c r="CF434" i="1"/>
  <c r="CF435" i="1"/>
  <c r="CF436" i="1"/>
  <c r="CF437" i="1"/>
  <c r="CF438" i="1"/>
  <c r="CF439" i="1"/>
  <c r="CF440" i="1"/>
  <c r="CF441" i="1"/>
  <c r="CF442" i="1"/>
  <c r="CF443" i="1"/>
  <c r="CF444" i="1"/>
  <c r="CF445" i="1"/>
  <c r="CF446" i="1"/>
  <c r="CF447" i="1"/>
  <c r="CF448" i="1"/>
  <c r="CF449" i="1"/>
  <c r="CF450" i="1"/>
  <c r="CF451" i="1"/>
  <c r="CF452" i="1"/>
  <c r="CF453" i="1"/>
  <c r="CF454" i="1"/>
  <c r="CF455" i="1"/>
  <c r="CF456" i="1"/>
  <c r="CF457" i="1"/>
  <c r="CF458" i="1"/>
  <c r="CF459" i="1"/>
  <c r="CF460" i="1"/>
  <c r="CF461" i="1"/>
  <c r="CF462" i="1"/>
  <c r="CF463" i="1"/>
  <c r="CF464" i="1"/>
  <c r="CF465" i="1"/>
  <c r="CF466" i="1"/>
  <c r="CF467" i="1"/>
  <c r="CF468" i="1"/>
  <c r="CF469" i="1"/>
  <c r="CF470" i="1"/>
  <c r="CF471" i="1"/>
  <c r="CF472" i="1"/>
  <c r="CF473" i="1"/>
  <c r="CF474" i="1"/>
  <c r="CF475" i="1"/>
  <c r="CF476" i="1"/>
  <c r="CF477" i="1"/>
  <c r="CF478" i="1"/>
  <c r="CF479" i="1"/>
  <c r="CF480" i="1"/>
  <c r="CF481" i="1"/>
  <c r="CF482" i="1"/>
  <c r="CF483" i="1"/>
  <c r="CF484" i="1"/>
  <c r="CF485" i="1"/>
  <c r="CF486" i="1"/>
  <c r="CF487" i="1"/>
  <c r="CF488" i="1"/>
  <c r="CF489" i="1"/>
  <c r="CF490" i="1"/>
  <c r="CF491" i="1"/>
  <c r="CF492" i="1"/>
  <c r="CF493" i="1"/>
  <c r="CF494" i="1"/>
  <c r="CF495" i="1"/>
  <c r="CF496" i="1"/>
  <c r="CF497" i="1"/>
  <c r="CF498" i="1"/>
  <c r="CF500" i="1"/>
  <c r="CF501" i="1"/>
  <c r="CF502" i="1"/>
  <c r="CF503" i="1"/>
  <c r="CF504" i="1"/>
  <c r="CF505" i="1"/>
  <c r="CF506" i="1"/>
  <c r="CF507" i="1"/>
  <c r="CF508" i="1"/>
  <c r="CF509" i="1"/>
  <c r="CF510" i="1"/>
  <c r="CF511" i="1"/>
  <c r="CF512" i="1"/>
  <c r="CF513" i="1"/>
  <c r="CF514" i="1"/>
  <c r="CF515" i="1"/>
  <c r="CF516" i="1"/>
  <c r="CF517" i="1"/>
  <c r="CF518" i="1"/>
  <c r="CF519" i="1"/>
  <c r="CF520" i="1"/>
  <c r="CF521" i="1"/>
  <c r="CF522" i="1"/>
  <c r="CF523" i="1"/>
  <c r="CF524" i="1"/>
  <c r="CF525" i="1"/>
  <c r="CF526" i="1"/>
  <c r="CF527" i="1"/>
  <c r="CF528" i="1"/>
  <c r="CF529" i="1"/>
  <c r="CF530" i="1"/>
  <c r="CF531" i="1"/>
  <c r="CF532" i="1"/>
  <c r="CF533" i="1"/>
  <c r="CF534" i="1"/>
  <c r="CF535" i="1"/>
  <c r="CF536" i="1"/>
  <c r="CF537" i="1"/>
  <c r="CF538" i="1"/>
  <c r="CF539" i="1"/>
  <c r="CF540" i="1"/>
  <c r="CF541" i="1"/>
  <c r="CF542" i="1"/>
  <c r="CF543" i="1"/>
  <c r="CF544" i="1"/>
  <c r="CF545" i="1"/>
  <c r="CF546" i="1"/>
  <c r="CF547" i="1"/>
  <c r="CF548" i="1"/>
  <c r="CF549" i="1"/>
  <c r="CF550" i="1"/>
  <c r="CF551" i="1"/>
  <c r="CF552" i="1"/>
  <c r="CF553" i="1"/>
  <c r="CF554" i="1"/>
  <c r="CF555" i="1"/>
  <c r="CF556" i="1"/>
  <c r="CF557" i="1"/>
  <c r="CF558" i="1"/>
  <c r="CF559" i="1"/>
  <c r="CF560" i="1"/>
  <c r="CF561" i="1"/>
  <c r="CF562" i="1"/>
  <c r="CF563" i="1"/>
  <c r="CF564" i="1"/>
  <c r="CF565" i="1"/>
  <c r="CF566" i="1"/>
  <c r="CF567" i="1"/>
  <c r="CF568" i="1"/>
  <c r="CF569" i="1"/>
  <c r="CF570" i="1"/>
  <c r="CF571" i="1"/>
  <c r="CF572" i="1"/>
  <c r="CK556" i="1" l="1"/>
  <c r="CR556" i="1" s="1" a="1"/>
  <c r="CR556" i="1" s="1"/>
  <c r="CM556" i="1"/>
  <c r="CT556" i="1" s="1" a="1"/>
  <c r="CT556" i="1" s="1"/>
  <c r="CL556" i="1"/>
  <c r="CS556" i="1" s="1" a="1"/>
  <c r="CS556" i="1" s="1"/>
  <c r="CK508" i="1"/>
  <c r="CR508" i="1" s="1" a="1"/>
  <c r="CR508" i="1" s="1"/>
  <c r="CM508" i="1"/>
  <c r="CT508" i="1" s="1" a="1"/>
  <c r="CT508" i="1" s="1"/>
  <c r="CL508" i="1"/>
  <c r="CS508" i="1" s="1" a="1"/>
  <c r="CS508" i="1" s="1"/>
  <c r="CK444" i="1"/>
  <c r="CR444" i="1" s="1" a="1"/>
  <c r="CR444" i="1" s="1"/>
  <c r="CM444" i="1"/>
  <c r="CT444" i="1" s="1" a="1"/>
  <c r="CT444" i="1" s="1"/>
  <c r="CL444" i="1"/>
  <c r="CS444" i="1" s="1" a="1"/>
  <c r="CS444" i="1" s="1"/>
  <c r="CM388" i="1"/>
  <c r="CT388" i="1" s="1" a="1"/>
  <c r="CT388" i="1" s="1"/>
  <c r="CL388" i="1"/>
  <c r="CS388" i="1" s="1" a="1"/>
  <c r="CS388" i="1" s="1"/>
  <c r="CK340" i="1"/>
  <c r="CR340" i="1" s="1" a="1"/>
  <c r="CR340" i="1" s="1"/>
  <c r="CM340" i="1"/>
  <c r="CT340" i="1" s="1" a="1"/>
  <c r="CT340" i="1" s="1"/>
  <c r="CL340" i="1"/>
  <c r="CS340" i="1" s="1" a="1"/>
  <c r="CS340" i="1" s="1"/>
  <c r="CK292" i="1"/>
  <c r="CR292" i="1" s="1" a="1"/>
  <c r="CR292" i="1" s="1"/>
  <c r="CM292" i="1"/>
  <c r="CT292" i="1" s="1" a="1"/>
  <c r="CT292" i="1" s="1"/>
  <c r="CL292" i="1"/>
  <c r="CS292" i="1" s="1" a="1"/>
  <c r="CS292" i="1" s="1"/>
  <c r="CK244" i="1"/>
  <c r="CR244" i="1" s="1" a="1"/>
  <c r="CR244" i="1" s="1"/>
  <c r="CM244" i="1"/>
  <c r="CT244" i="1" s="1" a="1"/>
  <c r="CT244" i="1" s="1"/>
  <c r="CL244" i="1"/>
  <c r="CS244" i="1" s="1" a="1"/>
  <c r="CS244" i="1" s="1"/>
  <c r="CK196" i="1"/>
  <c r="CR196" i="1" s="1" a="1"/>
  <c r="CR196" i="1" s="1"/>
  <c r="CM196" i="1"/>
  <c r="CT196" i="1" s="1" a="1"/>
  <c r="CT196" i="1" s="1"/>
  <c r="CL196" i="1"/>
  <c r="CS196" i="1" s="1" a="1"/>
  <c r="CS196" i="1" s="1"/>
  <c r="CK148" i="1"/>
  <c r="CR148" i="1" s="1" a="1"/>
  <c r="CR148" i="1" s="1"/>
  <c r="CM148" i="1"/>
  <c r="CT148" i="1" s="1" a="1"/>
  <c r="CT148" i="1" s="1"/>
  <c r="CL148" i="1"/>
  <c r="CS148" i="1" s="1" a="1"/>
  <c r="CS148" i="1" s="1"/>
  <c r="CK100" i="1"/>
  <c r="CM100" i="1"/>
  <c r="CT100" i="1" s="1" a="1"/>
  <c r="CT100" i="1" s="1"/>
  <c r="CL100" i="1"/>
  <c r="CS100" i="1" s="1" a="1"/>
  <c r="CS100" i="1" s="1"/>
  <c r="CK36" i="1"/>
  <c r="CR36" i="1" s="1" a="1"/>
  <c r="CR36" i="1" s="1"/>
  <c r="CM36" i="1"/>
  <c r="CT36" i="1" s="1" a="1"/>
  <c r="CT36" i="1" s="1"/>
  <c r="CL36" i="1"/>
  <c r="CS36" i="1" s="1" a="1"/>
  <c r="CS36" i="1" s="1"/>
  <c r="CQ557" i="1"/>
  <c r="CV557" i="1" s="1" a="1"/>
  <c r="CV557" i="1" s="1"/>
  <c r="CP557" i="1"/>
  <c r="CU557" i="1" s="1" a="1"/>
  <c r="CU557" i="1" s="1"/>
  <c r="CQ486" i="1"/>
  <c r="CV486" i="1" s="1" a="1"/>
  <c r="CV486" i="1" s="1"/>
  <c r="CP486" i="1"/>
  <c r="CU486" i="1" s="1" a="1"/>
  <c r="CU486" i="1" s="1"/>
  <c r="CQ434" i="1"/>
  <c r="CV434" i="1" s="1" a="1"/>
  <c r="CV434" i="1" s="1"/>
  <c r="CP434" i="1"/>
  <c r="CU434" i="1" s="1" a="1"/>
  <c r="CU434" i="1" s="1"/>
  <c r="CQ378" i="1"/>
  <c r="CV378" i="1" s="1" a="1"/>
  <c r="CV378" i="1" s="1"/>
  <c r="CP378" i="1"/>
  <c r="CU378" i="1" s="1" a="1"/>
  <c r="CU378" i="1" s="1"/>
  <c r="CQ322" i="1"/>
  <c r="CV322" i="1" s="1" a="1"/>
  <c r="CV322" i="1" s="1"/>
  <c r="CP322" i="1"/>
  <c r="CU322" i="1" s="1" a="1"/>
  <c r="CU322" i="1" s="1"/>
  <c r="CQ266" i="1"/>
  <c r="CV266" i="1" s="1" a="1"/>
  <c r="CV266" i="1" s="1"/>
  <c r="CP266" i="1"/>
  <c r="CU266" i="1" s="1" a="1"/>
  <c r="CU266" i="1" s="1"/>
  <c r="CQ213" i="1"/>
  <c r="CV213" i="1" s="1" a="1"/>
  <c r="CV213" i="1" s="1"/>
  <c r="CP213" i="1"/>
  <c r="CU213" i="1" s="1" a="1"/>
  <c r="CU213" i="1" s="1"/>
  <c r="CQ136" i="1"/>
  <c r="CV136" i="1" s="1" a="1"/>
  <c r="CV136" i="1" s="1"/>
  <c r="CP136" i="1"/>
  <c r="CU136" i="1" s="1" a="1"/>
  <c r="CU136" i="1" s="1"/>
  <c r="CQ83" i="1"/>
  <c r="CV83" i="1" s="1" a="1"/>
  <c r="CV83" i="1" s="1"/>
  <c r="CP83" i="1"/>
  <c r="CU83" i="1" s="1" a="1"/>
  <c r="CU83" i="1" s="1"/>
  <c r="CQ30" i="1"/>
  <c r="CV30" i="1" s="1" a="1"/>
  <c r="CV30" i="1" s="1"/>
  <c r="CP30" i="1"/>
  <c r="CU30" i="1" s="1" a="1"/>
  <c r="CU30" i="1" s="1"/>
  <c r="CK571" i="1"/>
  <c r="CR571" i="1" s="1" a="1"/>
  <c r="CR571" i="1" s="1"/>
  <c r="CL571" i="1"/>
  <c r="CS571" i="1" s="1" a="1"/>
  <c r="CS571" i="1" s="1"/>
  <c r="CM571" i="1"/>
  <c r="CT571" i="1" s="1" a="1"/>
  <c r="CT571" i="1" s="1"/>
  <c r="CK547" i="1"/>
  <c r="CR547" i="1" s="1" a="1"/>
  <c r="CR547" i="1" s="1"/>
  <c r="CL547" i="1"/>
  <c r="CS547" i="1" s="1" a="1"/>
  <c r="CS547" i="1" s="1"/>
  <c r="CM547" i="1"/>
  <c r="CT547" i="1" s="1" a="1"/>
  <c r="CT547" i="1" s="1"/>
  <c r="CK515" i="1"/>
  <c r="CR515" i="1" s="1" a="1"/>
  <c r="CR515" i="1" s="1"/>
  <c r="CL515" i="1"/>
  <c r="CS515" i="1" s="1" a="1"/>
  <c r="CS515" i="1" s="1"/>
  <c r="CM515" i="1"/>
  <c r="CT515" i="1" s="1" a="1"/>
  <c r="CT515" i="1" s="1"/>
  <c r="CK475" i="1"/>
  <c r="CR475" i="1" s="1" a="1"/>
  <c r="CR475" i="1" s="1"/>
  <c r="CM475" i="1"/>
  <c r="CT475" i="1" s="1" a="1"/>
  <c r="CT475" i="1" s="1"/>
  <c r="CL475" i="1"/>
  <c r="CS475" i="1" s="1" a="1"/>
  <c r="CS475" i="1" s="1"/>
  <c r="CK427" i="1"/>
  <c r="CM427" i="1"/>
  <c r="CT427" i="1" s="1" a="1"/>
  <c r="CT427" i="1" s="1"/>
  <c r="CL427" i="1"/>
  <c r="CS427" i="1" s="1" a="1"/>
  <c r="CS427" i="1" s="1"/>
  <c r="CL403" i="1"/>
  <c r="CS403" i="1" s="1" a="1"/>
  <c r="CS403" i="1" s="1"/>
  <c r="CM403" i="1"/>
  <c r="CT403" i="1" s="1" a="1"/>
  <c r="CT403" i="1" s="1"/>
  <c r="CK371" i="1"/>
  <c r="CR371" i="1" s="1" a="1"/>
  <c r="CR371" i="1" s="1"/>
  <c r="CM371" i="1"/>
  <c r="CT371" i="1" s="1" a="1"/>
  <c r="CT371" i="1" s="1"/>
  <c r="CL371" i="1"/>
  <c r="CS371" i="1" s="1" a="1"/>
  <c r="CS371" i="1" s="1"/>
  <c r="CK331" i="1"/>
  <c r="CR331" i="1" s="1" a="1"/>
  <c r="CR331" i="1" s="1"/>
  <c r="CL331" i="1"/>
  <c r="CS331" i="1" s="1" a="1"/>
  <c r="CS331" i="1" s="1"/>
  <c r="CM331" i="1"/>
  <c r="CT331" i="1" s="1" a="1"/>
  <c r="CT331" i="1" s="1"/>
  <c r="CK307" i="1"/>
  <c r="CR307" i="1" s="1" a="1"/>
  <c r="CR307" i="1" s="1"/>
  <c r="CM307" i="1"/>
  <c r="CT307" i="1" s="1" a="1"/>
  <c r="CT307" i="1" s="1"/>
  <c r="CL307" i="1"/>
  <c r="CS307" i="1" s="1" a="1"/>
  <c r="CS307" i="1" s="1"/>
  <c r="CK283" i="1"/>
  <c r="CR283" i="1" s="1" a="1"/>
  <c r="CR283" i="1" s="1"/>
  <c r="CM283" i="1"/>
  <c r="CT283" i="1" s="1" a="1"/>
  <c r="CT283" i="1" s="1"/>
  <c r="CL283" i="1"/>
  <c r="CS283" i="1" s="1" a="1"/>
  <c r="CS283" i="1" s="1"/>
  <c r="CK251" i="1"/>
  <c r="CR251" i="1" s="1" a="1"/>
  <c r="CR251" i="1" s="1"/>
  <c r="CL251" i="1"/>
  <c r="CS251" i="1" s="1" a="1"/>
  <c r="CS251" i="1" s="1"/>
  <c r="CM251" i="1"/>
  <c r="CT251" i="1" s="1" a="1"/>
  <c r="CT251" i="1" s="1"/>
  <c r="CK219" i="1"/>
  <c r="CR219" i="1" s="1" a="1"/>
  <c r="CR219" i="1" s="1"/>
  <c r="CM219" i="1"/>
  <c r="CT219" i="1" s="1" a="1"/>
  <c r="CT219" i="1" s="1"/>
  <c r="CL219" i="1"/>
  <c r="CS219" i="1" s="1" a="1"/>
  <c r="CS219" i="1" s="1"/>
  <c r="CL187" i="1"/>
  <c r="CS187" i="1" s="1" a="1"/>
  <c r="CS187" i="1" s="1"/>
  <c r="CM187" i="1"/>
  <c r="CT187" i="1" s="1" a="1"/>
  <c r="CT187" i="1" s="1"/>
  <c r="CL163" i="1"/>
  <c r="CS163" i="1" s="1" a="1"/>
  <c r="CS163" i="1" s="1"/>
  <c r="CM163" i="1"/>
  <c r="CT163" i="1" s="1" a="1"/>
  <c r="CT163" i="1" s="1"/>
  <c r="CM131" i="1"/>
  <c r="CT131" i="1" s="1" a="1"/>
  <c r="CT131" i="1" s="1"/>
  <c r="CL131" i="1"/>
  <c r="CS131" i="1" s="1" a="1"/>
  <c r="CS131" i="1" s="1"/>
  <c r="CK91" i="1"/>
  <c r="CR91" i="1" s="1" a="1"/>
  <c r="CR91" i="1" s="1"/>
  <c r="CM91" i="1"/>
  <c r="CT91" i="1" s="1" a="1"/>
  <c r="CT91" i="1" s="1"/>
  <c r="CL91" i="1"/>
  <c r="CS91" i="1" s="1" a="1"/>
  <c r="CS91" i="1" s="1"/>
  <c r="CK51" i="1"/>
  <c r="CR51" i="1" s="1" a="1"/>
  <c r="CR51" i="1" s="1"/>
  <c r="CL51" i="1"/>
  <c r="CS51" i="1" s="1" a="1"/>
  <c r="CS51" i="1" s="1"/>
  <c r="CM51" i="1"/>
  <c r="CT51" i="1" s="1" a="1"/>
  <c r="CT51" i="1" s="1"/>
  <c r="CP565" i="1"/>
  <c r="CU565" i="1" s="1" a="1"/>
  <c r="CU565" i="1" s="1"/>
  <c r="CQ565" i="1"/>
  <c r="CV565" i="1" s="1" a="1"/>
  <c r="CV565" i="1" s="1"/>
  <c r="CQ301" i="1"/>
  <c r="CV301" i="1" s="1" a="1"/>
  <c r="CV301" i="1" s="1"/>
  <c r="CP301" i="1"/>
  <c r="CU301" i="1" s="1" a="1"/>
  <c r="CU301" i="1" s="1"/>
  <c r="CK572" i="1"/>
  <c r="CR572" i="1" s="1" a="1"/>
  <c r="CR572" i="1" s="1"/>
  <c r="CM572" i="1"/>
  <c r="CT572" i="1" s="1" a="1"/>
  <c r="CT572" i="1" s="1"/>
  <c r="CL572" i="1"/>
  <c r="CS572" i="1" s="1" a="1"/>
  <c r="CS572" i="1" s="1"/>
  <c r="CK516" i="1"/>
  <c r="CM516" i="1"/>
  <c r="CT516" i="1" s="1" a="1"/>
  <c r="CT516" i="1" s="1"/>
  <c r="CL516" i="1"/>
  <c r="CS516" i="1" s="1" a="1"/>
  <c r="CS516" i="1" s="1"/>
  <c r="CK476" i="1"/>
  <c r="CR476" i="1" s="1" a="1"/>
  <c r="CR476" i="1" s="1"/>
  <c r="CM476" i="1"/>
  <c r="CT476" i="1" s="1" a="1"/>
  <c r="CT476" i="1" s="1"/>
  <c r="CL476" i="1"/>
  <c r="CS476" i="1" s="1" a="1"/>
  <c r="CS476" i="1" s="1"/>
  <c r="CK428" i="1"/>
  <c r="CR428" i="1" s="1" a="1"/>
  <c r="CR428" i="1" s="1"/>
  <c r="CM428" i="1"/>
  <c r="CT428" i="1" s="1" a="1"/>
  <c r="CT428" i="1" s="1"/>
  <c r="CL428" i="1"/>
  <c r="CS428" i="1" s="1" a="1"/>
  <c r="CS428" i="1" s="1"/>
  <c r="CK380" i="1"/>
  <c r="CR380" i="1" s="1" a="1"/>
  <c r="CR380" i="1" s="1"/>
  <c r="CM380" i="1"/>
  <c r="CT380" i="1" s="1" a="1"/>
  <c r="CT380" i="1" s="1"/>
  <c r="CL380" i="1"/>
  <c r="CS380" i="1" s="1" a="1"/>
  <c r="CS380" i="1" s="1"/>
  <c r="CK324" i="1"/>
  <c r="CR324" i="1" s="1" a="1"/>
  <c r="CR324" i="1" s="1"/>
  <c r="CM324" i="1"/>
  <c r="CT324" i="1" s="1" a="1"/>
  <c r="CT324" i="1" s="1"/>
  <c r="CL324" i="1"/>
  <c r="CS324" i="1" s="1" a="1"/>
  <c r="CS324" i="1" s="1"/>
  <c r="CK276" i="1"/>
  <c r="CR276" i="1" s="1" a="1"/>
  <c r="CR276" i="1" s="1"/>
  <c r="CM276" i="1"/>
  <c r="CT276" i="1" s="1" a="1"/>
  <c r="CT276" i="1" s="1"/>
  <c r="CL276" i="1"/>
  <c r="CS276" i="1" s="1" a="1"/>
  <c r="CS276" i="1" s="1"/>
  <c r="CK228" i="1"/>
  <c r="CR228" i="1" s="1" a="1"/>
  <c r="CR228" i="1" s="1"/>
  <c r="CM228" i="1"/>
  <c r="CT228" i="1" s="1" a="1"/>
  <c r="CT228" i="1" s="1"/>
  <c r="CL228" i="1"/>
  <c r="CS228" i="1" s="1" a="1"/>
  <c r="CS228" i="1" s="1"/>
  <c r="CK180" i="1"/>
  <c r="CR180" i="1" s="1" a="1"/>
  <c r="CR180" i="1" s="1"/>
  <c r="CM180" i="1"/>
  <c r="CT180" i="1" s="1" a="1"/>
  <c r="CT180" i="1" s="1"/>
  <c r="CL180" i="1"/>
  <c r="CS180" i="1" s="1" a="1"/>
  <c r="CS180" i="1" s="1"/>
  <c r="CK132" i="1"/>
  <c r="CR132" i="1" s="1" a="1"/>
  <c r="CR132" i="1" s="1"/>
  <c r="CM132" i="1"/>
  <c r="CT132" i="1" s="1" a="1"/>
  <c r="CT132" i="1" s="1"/>
  <c r="CL132" i="1"/>
  <c r="CS132" i="1" s="1" a="1"/>
  <c r="CS132" i="1" s="1"/>
  <c r="CK84" i="1"/>
  <c r="CR84" i="1" s="1" a="1"/>
  <c r="CR84" i="1" s="1"/>
  <c r="CM84" i="1"/>
  <c r="CT84" i="1" s="1" a="1"/>
  <c r="CT84" i="1" s="1"/>
  <c r="CL84" i="1"/>
  <c r="CS84" i="1" s="1" a="1"/>
  <c r="CS84" i="1" s="1"/>
  <c r="CK44" i="1"/>
  <c r="CM44" i="1"/>
  <c r="CT44" i="1" s="1" a="1"/>
  <c r="CT44" i="1" s="1"/>
  <c r="CL44" i="1"/>
  <c r="CS44" i="1" s="1" a="1"/>
  <c r="CS44" i="1" s="1"/>
  <c r="CK3" i="1"/>
  <c r="CR3" i="1" s="1" a="1"/>
  <c r="CR3" i="1" s="1"/>
  <c r="CM3" i="1"/>
  <c r="CT3" i="1" s="1" a="1"/>
  <c r="CT3" i="1" s="1"/>
  <c r="CL3" i="1"/>
  <c r="CS3" i="1" s="1" a="1"/>
  <c r="CS3" i="1" s="1"/>
  <c r="CQ514" i="1"/>
  <c r="CV514" i="1" s="1" a="1"/>
  <c r="CV514" i="1" s="1"/>
  <c r="CP514" i="1"/>
  <c r="CU514" i="1" s="1" a="1"/>
  <c r="CU514" i="1" s="1"/>
  <c r="CQ470" i="1"/>
  <c r="CV470" i="1" s="1" a="1"/>
  <c r="CV470" i="1" s="1"/>
  <c r="CP470" i="1"/>
  <c r="CU470" i="1" s="1" a="1"/>
  <c r="CU470" i="1" s="1"/>
  <c r="CQ416" i="1"/>
  <c r="CV416" i="1" s="1" a="1"/>
  <c r="CV416" i="1" s="1"/>
  <c r="CP416" i="1"/>
  <c r="CU416" i="1" s="1" a="1"/>
  <c r="CU416" i="1" s="1"/>
  <c r="CQ369" i="1"/>
  <c r="CV369" i="1" s="1" a="1"/>
  <c r="CV369" i="1" s="1"/>
  <c r="CP369" i="1"/>
  <c r="CU369" i="1" s="1" a="1"/>
  <c r="CU369" i="1" s="1"/>
  <c r="CQ312" i="1"/>
  <c r="CV312" i="1" s="1" a="1"/>
  <c r="CV312" i="1" s="1"/>
  <c r="CP312" i="1"/>
  <c r="CU312" i="1" s="1" a="1"/>
  <c r="CU312" i="1" s="1"/>
  <c r="CQ256" i="1"/>
  <c r="CV256" i="1" s="1" a="1"/>
  <c r="CV256" i="1" s="1"/>
  <c r="CP256" i="1"/>
  <c r="CU256" i="1" s="1" a="1"/>
  <c r="CU256" i="1" s="1"/>
  <c r="CQ204" i="1"/>
  <c r="CV204" i="1" s="1" a="1"/>
  <c r="CV204" i="1" s="1"/>
  <c r="CP204" i="1"/>
  <c r="CU204" i="1" s="1" a="1"/>
  <c r="CU204" i="1" s="1"/>
  <c r="CQ152" i="1"/>
  <c r="CV152" i="1" s="1" a="1"/>
  <c r="CV152" i="1" s="1"/>
  <c r="CP152" i="1"/>
  <c r="CU152" i="1" s="1" a="1"/>
  <c r="CU152" i="1" s="1"/>
  <c r="CQ100" i="1"/>
  <c r="CV100" i="1" s="1" a="1"/>
  <c r="CV100" i="1" s="1"/>
  <c r="CP100" i="1"/>
  <c r="CU100" i="1" s="1" a="1"/>
  <c r="CU100" i="1" s="1"/>
  <c r="CQ55" i="1"/>
  <c r="CV55" i="1" s="1" a="1"/>
  <c r="CV55" i="1" s="1"/>
  <c r="CP55" i="1"/>
  <c r="CU55" i="1" s="1" a="1"/>
  <c r="CU55" i="1" s="1"/>
  <c r="CK539" i="1"/>
  <c r="CR539" i="1" s="1" a="1"/>
  <c r="CR539" i="1" s="1"/>
  <c r="CL539" i="1"/>
  <c r="CS539" i="1" s="1" a="1"/>
  <c r="CS539" i="1" s="1"/>
  <c r="CM539" i="1"/>
  <c r="CT539" i="1" s="1" a="1"/>
  <c r="CT539" i="1" s="1"/>
  <c r="CL499" i="1"/>
  <c r="CS499" i="1" s="1" a="1"/>
  <c r="CS499" i="1" s="1"/>
  <c r="CM499" i="1"/>
  <c r="CT499" i="1" s="1" a="1"/>
  <c r="CT499" i="1" s="1"/>
  <c r="CK443" i="1"/>
  <c r="CR443" i="1" s="1" a="1"/>
  <c r="CR443" i="1" s="1"/>
  <c r="CM443" i="1"/>
  <c r="CT443" i="1" s="1" a="1"/>
  <c r="CT443" i="1" s="1"/>
  <c r="CL443" i="1"/>
  <c r="CS443" i="1" s="1" a="1"/>
  <c r="CS443" i="1" s="1"/>
  <c r="CK347" i="1"/>
  <c r="CR347" i="1" s="1" a="1"/>
  <c r="CR347" i="1" s="1"/>
  <c r="CM347" i="1"/>
  <c r="CT347" i="1" s="1" a="1"/>
  <c r="CT347" i="1" s="1"/>
  <c r="CL347" i="1"/>
  <c r="CS347" i="1" s="1" a="1"/>
  <c r="CS347" i="1" s="1"/>
  <c r="CQ485" i="1"/>
  <c r="CV485" i="1" s="1" a="1"/>
  <c r="CV485" i="1" s="1"/>
  <c r="CP485" i="1"/>
  <c r="CU485" i="1" s="1" a="1"/>
  <c r="CU485" i="1" s="1"/>
  <c r="CQ237" i="1"/>
  <c r="CV237" i="1" s="1" a="1"/>
  <c r="CV237" i="1" s="1"/>
  <c r="CP237" i="1"/>
  <c r="CU237" i="1" s="1" a="1"/>
  <c r="CU237" i="1" s="1"/>
  <c r="CQ162" i="1"/>
  <c r="CV162" i="1" s="1" a="1"/>
  <c r="CV162" i="1" s="1"/>
  <c r="CP162" i="1"/>
  <c r="CU162" i="1" s="1" a="1"/>
  <c r="CU162" i="1" s="1"/>
  <c r="CK532" i="1"/>
  <c r="CR532" i="1" s="1" a="1"/>
  <c r="CR532" i="1" s="1"/>
  <c r="CM532" i="1"/>
  <c r="CT532" i="1" s="1" a="1"/>
  <c r="CT532" i="1" s="1"/>
  <c r="CL532" i="1"/>
  <c r="CS532" i="1" s="1" a="1"/>
  <c r="CS532" i="1" s="1"/>
  <c r="CK484" i="1"/>
  <c r="CR484" i="1" s="1" a="1"/>
  <c r="CR484" i="1" s="1"/>
  <c r="CM484" i="1"/>
  <c r="CT484" i="1" s="1" a="1"/>
  <c r="CT484" i="1" s="1"/>
  <c r="CL484" i="1"/>
  <c r="CS484" i="1" s="1" a="1"/>
  <c r="CS484" i="1" s="1"/>
  <c r="CM436" i="1"/>
  <c r="CT436" i="1" s="1" a="1"/>
  <c r="CT436" i="1" s="1"/>
  <c r="CL436" i="1"/>
  <c r="CS436" i="1" s="1" a="1"/>
  <c r="CS436" i="1" s="1"/>
  <c r="CK404" i="1"/>
  <c r="CR404" i="1" s="1" a="1"/>
  <c r="CR404" i="1" s="1"/>
  <c r="CM404" i="1"/>
  <c r="CT404" i="1" s="1" a="1"/>
  <c r="CT404" i="1" s="1"/>
  <c r="CL404" i="1"/>
  <c r="CS404" i="1" s="1" a="1"/>
  <c r="CS404" i="1" s="1"/>
  <c r="CK356" i="1"/>
  <c r="CR356" i="1" s="1" a="1"/>
  <c r="CR356" i="1" s="1"/>
  <c r="CM356" i="1"/>
  <c r="CT356" i="1" s="1" a="1"/>
  <c r="CT356" i="1" s="1"/>
  <c r="CL356" i="1"/>
  <c r="CS356" i="1" s="1" a="1"/>
  <c r="CS356" i="1" s="1"/>
  <c r="CK308" i="1"/>
  <c r="CR308" i="1" s="1" a="1"/>
  <c r="CR308" i="1" s="1"/>
  <c r="CM308" i="1"/>
  <c r="CT308" i="1" s="1" a="1"/>
  <c r="CT308" i="1" s="1"/>
  <c r="CL308" i="1"/>
  <c r="CS308" i="1" s="1" a="1"/>
  <c r="CS308" i="1" s="1"/>
  <c r="CM260" i="1"/>
  <c r="CT260" i="1" s="1" a="1"/>
  <c r="CT260" i="1" s="1"/>
  <c r="CL260" i="1"/>
  <c r="CS260" i="1" s="1" a="1"/>
  <c r="CS260" i="1" s="1"/>
  <c r="CK212" i="1"/>
  <c r="CR212" i="1" s="1" a="1"/>
  <c r="CR212" i="1" s="1"/>
  <c r="CM212" i="1"/>
  <c r="CT212" i="1" s="1" a="1"/>
  <c r="CT212" i="1" s="1"/>
  <c r="CL212" i="1"/>
  <c r="CS212" i="1" s="1" a="1"/>
  <c r="CS212" i="1" s="1"/>
  <c r="CK172" i="1"/>
  <c r="CR172" i="1" s="1" a="1"/>
  <c r="CR172" i="1" s="1"/>
  <c r="CM172" i="1"/>
  <c r="CT172" i="1" s="1" a="1"/>
  <c r="CT172" i="1" s="1"/>
  <c r="CL172" i="1"/>
  <c r="CS172" i="1" s="1" a="1"/>
  <c r="CS172" i="1" s="1"/>
  <c r="CK124" i="1"/>
  <c r="CR124" i="1" s="1" a="1"/>
  <c r="CR124" i="1" s="1"/>
  <c r="CM124" i="1"/>
  <c r="CT124" i="1" s="1" a="1"/>
  <c r="CT124" i="1" s="1"/>
  <c r="CL124" i="1"/>
  <c r="CS124" i="1" s="1" a="1"/>
  <c r="CS124" i="1" s="1"/>
  <c r="CK76" i="1"/>
  <c r="CR76" i="1" s="1" a="1"/>
  <c r="CR76" i="1" s="1"/>
  <c r="CM76" i="1"/>
  <c r="CT76" i="1" s="1" a="1"/>
  <c r="CT76" i="1" s="1"/>
  <c r="CL76" i="1"/>
  <c r="CS76" i="1" s="1" a="1"/>
  <c r="CS76" i="1" s="1"/>
  <c r="CK28" i="1"/>
  <c r="CR28" i="1" s="1" a="1"/>
  <c r="CR28" i="1" s="1"/>
  <c r="CM28" i="1"/>
  <c r="CT28" i="1" s="1" a="1"/>
  <c r="CT28" i="1" s="1"/>
  <c r="CL28" i="1"/>
  <c r="CS28" i="1" s="1" a="1"/>
  <c r="CS28" i="1" s="1"/>
  <c r="CQ548" i="1"/>
  <c r="CV548" i="1" s="1" a="1"/>
  <c r="CV548" i="1" s="1"/>
  <c r="CP548" i="1"/>
  <c r="CU548" i="1" s="1" a="1"/>
  <c r="CU548" i="1" s="1"/>
  <c r="CQ505" i="1"/>
  <c r="CV505" i="1" s="1" a="1"/>
  <c r="CV505" i="1" s="1"/>
  <c r="CP505" i="1"/>
  <c r="CU505" i="1" s="1" a="1"/>
  <c r="CU505" i="1" s="1"/>
  <c r="CQ453" i="1"/>
  <c r="CV453" i="1" s="1" a="1"/>
  <c r="CV453" i="1" s="1"/>
  <c r="CP453" i="1"/>
  <c r="CU453" i="1" s="1" a="1"/>
  <c r="CU453" i="1" s="1"/>
  <c r="CQ404" i="1"/>
  <c r="CV404" i="1" s="1" a="1"/>
  <c r="CV404" i="1" s="1"/>
  <c r="CP404" i="1"/>
  <c r="CU404" i="1" s="1" a="1"/>
  <c r="CU404" i="1" s="1"/>
  <c r="CQ351" i="1"/>
  <c r="CV351" i="1" s="1" a="1"/>
  <c r="CV351" i="1" s="1"/>
  <c r="CP351" i="1"/>
  <c r="CU351" i="1" s="1" a="1"/>
  <c r="CU351" i="1" s="1"/>
  <c r="CP293" i="1"/>
  <c r="CU293" i="1" s="1" a="1"/>
  <c r="CU293" i="1" s="1"/>
  <c r="CQ293" i="1"/>
  <c r="CV293" i="1" s="1" a="1"/>
  <c r="CV293" i="1" s="1"/>
  <c r="CP229" i="1"/>
  <c r="CU229" i="1" s="1" a="1"/>
  <c r="CU229" i="1" s="1"/>
  <c r="CQ229" i="1"/>
  <c r="CV229" i="1" s="1" a="1"/>
  <c r="CV229" i="1" s="1"/>
  <c r="CQ184" i="1"/>
  <c r="CV184" i="1" s="1" a="1"/>
  <c r="CV184" i="1" s="1"/>
  <c r="CP184" i="1"/>
  <c r="CU184" i="1" s="1" a="1"/>
  <c r="CU184" i="1" s="1"/>
  <c r="CQ127" i="1"/>
  <c r="CV127" i="1" s="1" a="1"/>
  <c r="CV127" i="1" s="1"/>
  <c r="CP127" i="1"/>
  <c r="CU127" i="1" s="1" a="1"/>
  <c r="CU127" i="1" s="1"/>
  <c r="CQ64" i="1"/>
  <c r="CV64" i="1" s="1" a="1"/>
  <c r="CV64" i="1" s="1"/>
  <c r="CP64" i="1"/>
  <c r="CU64" i="1" s="1" a="1"/>
  <c r="CU64" i="1" s="1"/>
  <c r="CQ19" i="1"/>
  <c r="CV19" i="1" s="1" a="1"/>
  <c r="CV19" i="1" s="1"/>
  <c r="CP19" i="1"/>
  <c r="CU19" i="1" s="1" a="1"/>
  <c r="CU19" i="1" s="1"/>
  <c r="CK483" i="1"/>
  <c r="CR483" i="1" s="1" a="1"/>
  <c r="CR483" i="1" s="1"/>
  <c r="CL483" i="1"/>
  <c r="CS483" i="1" s="1" a="1"/>
  <c r="CS483" i="1" s="1"/>
  <c r="CM483" i="1"/>
  <c r="CT483" i="1" s="1" a="1"/>
  <c r="CT483" i="1" s="1"/>
  <c r="CK451" i="1"/>
  <c r="CR451" i="1" s="1" a="1"/>
  <c r="CR451" i="1" s="1"/>
  <c r="CL451" i="1"/>
  <c r="CS451" i="1" s="1" a="1"/>
  <c r="CS451" i="1" s="1"/>
  <c r="CM451" i="1"/>
  <c r="CT451" i="1" s="1" a="1"/>
  <c r="CT451" i="1" s="1"/>
  <c r="CK387" i="1"/>
  <c r="CR387" i="1" s="1" a="1"/>
  <c r="CR387" i="1" s="1"/>
  <c r="CM387" i="1"/>
  <c r="CT387" i="1" s="1" a="1"/>
  <c r="CT387" i="1" s="1"/>
  <c r="CL387" i="1"/>
  <c r="CS387" i="1" s="1" a="1"/>
  <c r="CS387" i="1" s="1"/>
  <c r="CK107" i="1"/>
  <c r="CR107" i="1" s="1" a="1"/>
  <c r="CR107" i="1" s="1"/>
  <c r="CL107" i="1"/>
  <c r="CS107" i="1" s="1" a="1"/>
  <c r="CS107" i="1" s="1"/>
  <c r="CM107" i="1"/>
  <c r="CT107" i="1" s="1" a="1"/>
  <c r="CT107" i="1" s="1"/>
  <c r="CK27" i="1"/>
  <c r="CR27" i="1" s="1" a="1"/>
  <c r="CR27" i="1" s="1"/>
  <c r="CM27" i="1"/>
  <c r="CT27" i="1" s="1" a="1"/>
  <c r="CT27" i="1" s="1"/>
  <c r="CL27" i="1"/>
  <c r="CS27" i="1" s="1" a="1"/>
  <c r="CS27" i="1" s="1"/>
  <c r="CQ151" i="1"/>
  <c r="CV151" i="1" s="1" a="1"/>
  <c r="CV151" i="1" s="1"/>
  <c r="CP151" i="1"/>
  <c r="CU151" i="1" s="1" a="1"/>
  <c r="CU151" i="1" s="1"/>
  <c r="CK540" i="1"/>
  <c r="CR540" i="1" s="1" a="1"/>
  <c r="CR540" i="1" s="1"/>
  <c r="CM540" i="1"/>
  <c r="CT540" i="1" s="1" a="1"/>
  <c r="CT540" i="1" s="1"/>
  <c r="CL540" i="1"/>
  <c r="CS540" i="1" s="1" a="1"/>
  <c r="CS540" i="1" s="1"/>
  <c r="CK492" i="1"/>
  <c r="CR492" i="1" s="1" a="1"/>
  <c r="CR492" i="1" s="1"/>
  <c r="CM492" i="1"/>
  <c r="CT492" i="1" s="1" a="1"/>
  <c r="CT492" i="1" s="1"/>
  <c r="CL492" i="1"/>
  <c r="CS492" i="1" s="1" a="1"/>
  <c r="CS492" i="1" s="1"/>
  <c r="CK460" i="1"/>
  <c r="CR460" i="1" s="1" a="1"/>
  <c r="CR460" i="1" s="1"/>
  <c r="CM460" i="1"/>
  <c r="CT460" i="1" s="1" a="1"/>
  <c r="CT460" i="1" s="1"/>
  <c r="CL460" i="1"/>
  <c r="CS460" i="1" s="1" a="1"/>
  <c r="CS460" i="1" s="1"/>
  <c r="CM412" i="1"/>
  <c r="CT412" i="1" s="1" a="1"/>
  <c r="CT412" i="1" s="1"/>
  <c r="CL412" i="1"/>
  <c r="CS412" i="1" s="1" a="1"/>
  <c r="CS412" i="1" s="1"/>
  <c r="CK364" i="1"/>
  <c r="CR364" i="1" s="1" a="1"/>
  <c r="CR364" i="1" s="1"/>
  <c r="CM364" i="1"/>
  <c r="CT364" i="1" s="1" a="1"/>
  <c r="CT364" i="1" s="1"/>
  <c r="CL364" i="1"/>
  <c r="CS364" i="1" s="1" a="1"/>
  <c r="CS364" i="1" s="1"/>
  <c r="CK316" i="1"/>
  <c r="CR316" i="1" s="1" a="1"/>
  <c r="CR316" i="1" s="1"/>
  <c r="CM316" i="1"/>
  <c r="CT316" i="1" s="1" a="1"/>
  <c r="CT316" i="1" s="1"/>
  <c r="CL316" i="1"/>
  <c r="CS316" i="1" s="1" a="1"/>
  <c r="CS316" i="1" s="1"/>
  <c r="CK268" i="1"/>
  <c r="CR268" i="1" s="1" a="1"/>
  <c r="CR268" i="1" s="1"/>
  <c r="CM268" i="1"/>
  <c r="CT268" i="1" s="1" a="1"/>
  <c r="CT268" i="1" s="1"/>
  <c r="CL268" i="1"/>
  <c r="CS268" i="1" s="1" a="1"/>
  <c r="CS268" i="1" s="1"/>
  <c r="CK220" i="1"/>
  <c r="CM220" i="1"/>
  <c r="CT220" i="1" s="1" a="1"/>
  <c r="CT220" i="1" s="1"/>
  <c r="CL220" i="1"/>
  <c r="CS220" i="1" s="1" a="1"/>
  <c r="CS220" i="1" s="1"/>
  <c r="CM164" i="1"/>
  <c r="CT164" i="1" s="1" a="1"/>
  <c r="CT164" i="1" s="1"/>
  <c r="CL164" i="1"/>
  <c r="CS164" i="1" s="1" a="1"/>
  <c r="CS164" i="1" s="1"/>
  <c r="CK116" i="1"/>
  <c r="CR116" i="1" s="1" a="1"/>
  <c r="CR116" i="1" s="1"/>
  <c r="CM116" i="1"/>
  <c r="CT116" i="1" s="1" a="1"/>
  <c r="CT116" i="1" s="1"/>
  <c r="CL116" i="1"/>
  <c r="CS116" i="1" s="1" a="1"/>
  <c r="CS116" i="1" s="1"/>
  <c r="CK68" i="1"/>
  <c r="CR68" i="1" s="1" a="1"/>
  <c r="CR68" i="1" s="1"/>
  <c r="CM68" i="1"/>
  <c r="CT68" i="1" s="1" a="1"/>
  <c r="CT68" i="1" s="1"/>
  <c r="CL68" i="1"/>
  <c r="CS68" i="1" s="1" a="1"/>
  <c r="CS68" i="1" s="1"/>
  <c r="CM20" i="1"/>
  <c r="CT20" i="1" s="1" a="1"/>
  <c r="CT20" i="1" s="1"/>
  <c r="CL20" i="1"/>
  <c r="CS20" i="1" s="1" a="1"/>
  <c r="CS20" i="1" s="1"/>
  <c r="CP540" i="1"/>
  <c r="CU540" i="1" s="1" a="1"/>
  <c r="CU540" i="1" s="1"/>
  <c r="CQ540" i="1"/>
  <c r="CV540" i="1" s="1" a="1"/>
  <c r="CV540" i="1" s="1"/>
  <c r="CP495" i="1"/>
  <c r="CU495" i="1" s="1" a="1"/>
  <c r="CU495" i="1" s="1"/>
  <c r="CQ495" i="1"/>
  <c r="CV495" i="1" s="1" a="1"/>
  <c r="CV495" i="1" s="1"/>
  <c r="CQ445" i="1"/>
  <c r="CV445" i="1" s="1" a="1"/>
  <c r="CV445" i="1" s="1"/>
  <c r="CP445" i="1"/>
  <c r="CU445" i="1" s="1" a="1"/>
  <c r="CU445" i="1" s="1"/>
  <c r="CQ395" i="1"/>
  <c r="CV395" i="1" s="1" a="1"/>
  <c r="CV395" i="1" s="1"/>
  <c r="CP395" i="1"/>
  <c r="CU395" i="1" s="1" a="1"/>
  <c r="CU395" i="1" s="1"/>
  <c r="CP343" i="1"/>
  <c r="CU343" i="1" s="1" a="1"/>
  <c r="CU343" i="1" s="1"/>
  <c r="CQ343" i="1"/>
  <c r="CV343" i="1" s="1" a="1"/>
  <c r="CV343" i="1" s="1"/>
  <c r="CQ285" i="1"/>
  <c r="CV285" i="1" s="1" a="1"/>
  <c r="CV285" i="1" s="1"/>
  <c r="CP285" i="1"/>
  <c r="CU285" i="1" s="1" a="1"/>
  <c r="CU285" i="1" s="1"/>
  <c r="CQ238" i="1"/>
  <c r="CV238" i="1" s="1" a="1"/>
  <c r="CV238" i="1" s="1"/>
  <c r="CP238" i="1"/>
  <c r="CU238" i="1" s="1" a="1"/>
  <c r="CU238" i="1" s="1"/>
  <c r="CQ173" i="1"/>
  <c r="CV173" i="1" s="1" a="1"/>
  <c r="CV173" i="1" s="1"/>
  <c r="CP173" i="1"/>
  <c r="CU173" i="1" s="1" a="1"/>
  <c r="CU173" i="1" s="1"/>
  <c r="CQ119" i="1"/>
  <c r="CV119" i="1" s="1" a="1"/>
  <c r="CV119" i="1" s="1"/>
  <c r="CP119" i="1"/>
  <c r="CU119" i="1" s="1" a="1"/>
  <c r="CU119" i="1" s="1"/>
  <c r="CQ72" i="1"/>
  <c r="CV72" i="1" s="1" a="1"/>
  <c r="CV72" i="1" s="1"/>
  <c r="CP72" i="1"/>
  <c r="CU72" i="1" s="1" a="1"/>
  <c r="CU72" i="1" s="1"/>
  <c r="CP9" i="1"/>
  <c r="CU9" i="1" s="1" a="1"/>
  <c r="CU9" i="1" s="1"/>
  <c r="CQ9" i="1"/>
  <c r="CV9" i="1" s="1" a="1"/>
  <c r="CV9" i="1" s="1"/>
  <c r="CR427" i="1" a="1"/>
  <c r="CR427" i="1" s="1"/>
  <c r="CL555" i="1"/>
  <c r="CS555" i="1" s="1" a="1"/>
  <c r="CS555" i="1" s="1"/>
  <c r="CM555" i="1"/>
  <c r="CT555" i="1" s="1" a="1"/>
  <c r="CT555" i="1" s="1"/>
  <c r="CK523" i="1"/>
  <c r="CR523" i="1" s="1" a="1"/>
  <c r="CR523" i="1" s="1"/>
  <c r="CL523" i="1"/>
  <c r="CS523" i="1" s="1" a="1"/>
  <c r="CS523" i="1" s="1"/>
  <c r="CM523" i="1"/>
  <c r="CT523" i="1" s="1" a="1"/>
  <c r="CT523" i="1" s="1"/>
  <c r="CK491" i="1"/>
  <c r="CR491" i="1" s="1" a="1"/>
  <c r="CR491" i="1" s="1"/>
  <c r="CM491" i="1"/>
  <c r="CT491" i="1" s="1" a="1"/>
  <c r="CT491" i="1" s="1"/>
  <c r="CL491" i="1"/>
  <c r="CS491" i="1" s="1" a="1"/>
  <c r="CS491" i="1" s="1"/>
  <c r="CK459" i="1"/>
  <c r="CR459" i="1" s="1" a="1"/>
  <c r="CR459" i="1" s="1"/>
  <c r="CM459" i="1"/>
  <c r="CT459" i="1" s="1" a="1"/>
  <c r="CT459" i="1" s="1"/>
  <c r="CL459" i="1"/>
  <c r="CS459" i="1" s="1" a="1"/>
  <c r="CS459" i="1" s="1"/>
  <c r="CK419" i="1"/>
  <c r="CR419" i="1" s="1" a="1"/>
  <c r="CR419" i="1" s="1"/>
  <c r="CL419" i="1"/>
  <c r="CS419" i="1" s="1" a="1"/>
  <c r="CS419" i="1" s="1"/>
  <c r="CM419" i="1"/>
  <c r="CT419" i="1" s="1" a="1"/>
  <c r="CT419" i="1" s="1"/>
  <c r="CK395" i="1"/>
  <c r="CR395" i="1" s="1" a="1"/>
  <c r="CR395" i="1" s="1"/>
  <c r="CL395" i="1"/>
  <c r="CS395" i="1" s="1" a="1"/>
  <c r="CS395" i="1" s="1"/>
  <c r="CM395" i="1"/>
  <c r="CT395" i="1" s="1" a="1"/>
  <c r="CT395" i="1" s="1"/>
  <c r="CK363" i="1"/>
  <c r="CR363" i="1" s="1" a="1"/>
  <c r="CR363" i="1" s="1"/>
  <c r="CL363" i="1"/>
  <c r="CS363" i="1" s="1" a="1"/>
  <c r="CS363" i="1" s="1"/>
  <c r="CM363" i="1"/>
  <c r="CT363" i="1" s="1" a="1"/>
  <c r="CT363" i="1" s="1"/>
  <c r="CK339" i="1"/>
  <c r="CR339" i="1" s="1" a="1"/>
  <c r="CR339" i="1" s="1"/>
  <c r="CL339" i="1"/>
  <c r="CS339" i="1" s="1" a="1"/>
  <c r="CS339" i="1" s="1"/>
  <c r="CM339" i="1"/>
  <c r="CT339" i="1" s="1" a="1"/>
  <c r="CT339" i="1" s="1"/>
  <c r="CK315" i="1"/>
  <c r="CR315" i="1" s="1" a="1"/>
  <c r="CR315" i="1" s="1"/>
  <c r="CL315" i="1"/>
  <c r="CS315" i="1" s="1" a="1"/>
  <c r="CS315" i="1" s="1"/>
  <c r="CM315" i="1"/>
  <c r="CT315" i="1" s="1" a="1"/>
  <c r="CT315" i="1" s="1"/>
  <c r="CK291" i="1"/>
  <c r="CR291" i="1" s="1" a="1"/>
  <c r="CR291" i="1" s="1"/>
  <c r="CL291" i="1"/>
  <c r="CS291" i="1" s="1" a="1"/>
  <c r="CS291" i="1" s="1"/>
  <c r="CM291" i="1"/>
  <c r="CT291" i="1" s="1" a="1"/>
  <c r="CT291" i="1" s="1"/>
  <c r="CL267" i="1"/>
  <c r="CS267" i="1" s="1" a="1"/>
  <c r="CS267" i="1" s="1"/>
  <c r="CM267" i="1"/>
  <c r="CT267" i="1" s="1" a="1"/>
  <c r="CT267" i="1" s="1"/>
  <c r="CK235" i="1"/>
  <c r="CR235" i="1" s="1" a="1"/>
  <c r="CR235" i="1" s="1"/>
  <c r="CL235" i="1"/>
  <c r="CS235" i="1" s="1" a="1"/>
  <c r="CS235" i="1" s="1"/>
  <c r="CM235" i="1"/>
  <c r="CT235" i="1" s="1" a="1"/>
  <c r="CT235" i="1" s="1"/>
  <c r="CL203" i="1"/>
  <c r="CS203" i="1" s="1" a="1"/>
  <c r="CS203" i="1" s="1"/>
  <c r="CM203" i="1"/>
  <c r="CT203" i="1" s="1" a="1"/>
  <c r="CT203" i="1" s="1"/>
  <c r="CK171" i="1"/>
  <c r="CR171" i="1" s="1" a="1"/>
  <c r="CR171" i="1" s="1"/>
  <c r="CL171" i="1"/>
  <c r="CS171" i="1" s="1" a="1"/>
  <c r="CS171" i="1" s="1"/>
  <c r="CM171" i="1"/>
  <c r="CT171" i="1" s="1" a="1"/>
  <c r="CT171" i="1" s="1"/>
  <c r="CK147" i="1"/>
  <c r="CR147" i="1" s="1" a="1"/>
  <c r="CR147" i="1" s="1"/>
  <c r="CL147" i="1"/>
  <c r="CS147" i="1" s="1" a="1"/>
  <c r="CS147" i="1" s="1"/>
  <c r="CM147" i="1"/>
  <c r="CT147" i="1" s="1" a="1"/>
  <c r="CT147" i="1" s="1"/>
  <c r="CM115" i="1"/>
  <c r="CT115" i="1" s="1" a="1"/>
  <c r="CT115" i="1" s="1"/>
  <c r="CL115" i="1"/>
  <c r="CS115" i="1" s="1" a="1"/>
  <c r="CS115" i="1" s="1"/>
  <c r="CK75" i="1"/>
  <c r="CR75" i="1" s="1" a="1"/>
  <c r="CR75" i="1" s="1"/>
  <c r="CL75" i="1"/>
  <c r="CS75" i="1" s="1" a="1"/>
  <c r="CS75" i="1" s="1"/>
  <c r="CM75" i="1"/>
  <c r="CT75" i="1" s="1" a="1"/>
  <c r="CT75" i="1" s="1"/>
  <c r="CK43" i="1"/>
  <c r="CR43" i="1" s="1" a="1"/>
  <c r="CR43" i="1" s="1"/>
  <c r="CL43" i="1"/>
  <c r="CS43" i="1" s="1" a="1"/>
  <c r="CS43" i="1" s="1"/>
  <c r="CM43" i="1"/>
  <c r="CT43" i="1" s="1" a="1"/>
  <c r="CT43" i="1" s="1"/>
  <c r="CK10" i="1"/>
  <c r="CR10" i="1" s="1" a="1"/>
  <c r="CR10" i="1" s="1"/>
  <c r="CL10" i="1"/>
  <c r="CS10" i="1" s="1" a="1"/>
  <c r="CS10" i="1" s="1"/>
  <c r="CM10" i="1"/>
  <c r="CT10" i="1" s="1" a="1"/>
  <c r="CT10" i="1" s="1"/>
  <c r="CQ556" i="1"/>
  <c r="CV556" i="1" s="1" a="1"/>
  <c r="CV556" i="1" s="1"/>
  <c r="CP556" i="1"/>
  <c r="CU556" i="1" s="1" a="1"/>
  <c r="CU556" i="1" s="1"/>
  <c r="CQ530" i="1"/>
  <c r="CV530" i="1" s="1" a="1"/>
  <c r="CV530" i="1" s="1"/>
  <c r="CP530" i="1"/>
  <c r="CU530" i="1" s="1" a="1"/>
  <c r="CU530" i="1" s="1"/>
  <c r="CQ512" i="1"/>
  <c r="CV512" i="1" s="1" a="1"/>
  <c r="CV512" i="1" s="1"/>
  <c r="CP512" i="1"/>
  <c r="CU512" i="1" s="1" a="1"/>
  <c r="CU512" i="1" s="1"/>
  <c r="CQ494" i="1"/>
  <c r="CV494" i="1" s="1" a="1"/>
  <c r="CV494" i="1" s="1"/>
  <c r="CP494" i="1"/>
  <c r="CU494" i="1" s="1" a="1"/>
  <c r="CU494" i="1" s="1"/>
  <c r="CQ460" i="1"/>
  <c r="CV460" i="1" s="1" a="1"/>
  <c r="CV460" i="1" s="1"/>
  <c r="CP460" i="1"/>
  <c r="CU460" i="1" s="1" a="1"/>
  <c r="CU460" i="1" s="1"/>
  <c r="CQ444" i="1"/>
  <c r="CV444" i="1" s="1" a="1"/>
  <c r="CV444" i="1" s="1"/>
  <c r="CP444" i="1"/>
  <c r="CU444" i="1" s="1" a="1"/>
  <c r="CU444" i="1" s="1"/>
  <c r="CQ423" i="1"/>
  <c r="CV423" i="1" s="1" a="1"/>
  <c r="CV423" i="1" s="1"/>
  <c r="CP423" i="1"/>
  <c r="CU423" i="1" s="1" a="1"/>
  <c r="CU423" i="1" s="1"/>
  <c r="CQ402" i="1"/>
  <c r="CV402" i="1" s="1" a="1"/>
  <c r="CV402" i="1" s="1"/>
  <c r="CP402" i="1"/>
  <c r="CU402" i="1" s="1" a="1"/>
  <c r="CU402" i="1" s="1"/>
  <c r="CQ377" i="1"/>
  <c r="CV377" i="1" s="1" a="1"/>
  <c r="CV377" i="1" s="1"/>
  <c r="CP377" i="1"/>
  <c r="CU377" i="1" s="1" a="1"/>
  <c r="CU377" i="1" s="1"/>
  <c r="CP359" i="1"/>
  <c r="CU359" i="1" s="1" a="1"/>
  <c r="CU359" i="1" s="1"/>
  <c r="CQ359" i="1"/>
  <c r="CV359" i="1" s="1" a="1"/>
  <c r="CV359" i="1" s="1"/>
  <c r="CQ350" i="1"/>
  <c r="CV350" i="1" s="1" a="1"/>
  <c r="CV350" i="1" s="1"/>
  <c r="CP350" i="1"/>
  <c r="CU350" i="1" s="1" a="1"/>
  <c r="CU350" i="1" s="1"/>
  <c r="CQ330" i="1"/>
  <c r="CV330" i="1" s="1" a="1"/>
  <c r="CV330" i="1" s="1"/>
  <c r="CP330" i="1"/>
  <c r="CU330" i="1" s="1" a="1"/>
  <c r="CU330" i="1" s="1"/>
  <c r="CQ292" i="1"/>
  <c r="CV292" i="1" s="1" a="1"/>
  <c r="CV292" i="1" s="1"/>
  <c r="CP292" i="1"/>
  <c r="CU292" i="1" s="1" a="1"/>
  <c r="CU292" i="1" s="1"/>
  <c r="CQ265" i="1"/>
  <c r="CV265" i="1" s="1" a="1"/>
  <c r="CV265" i="1" s="1"/>
  <c r="CP265" i="1"/>
  <c r="CU265" i="1" s="1" a="1"/>
  <c r="CU265" i="1" s="1"/>
  <c r="CQ202" i="1"/>
  <c r="CV202" i="1" s="1" a="1"/>
  <c r="CV202" i="1" s="1"/>
  <c r="CP202" i="1"/>
  <c r="CU202" i="1" s="1" a="1"/>
  <c r="CU202" i="1" s="1"/>
  <c r="CK564" i="1"/>
  <c r="CR564" i="1" s="1" a="1"/>
  <c r="CR564" i="1" s="1"/>
  <c r="CM564" i="1"/>
  <c r="CT564" i="1" s="1" a="1"/>
  <c r="CT564" i="1" s="1"/>
  <c r="CL564" i="1"/>
  <c r="CS564" i="1" s="1" a="1"/>
  <c r="CS564" i="1" s="1"/>
  <c r="CK524" i="1"/>
  <c r="CR524" i="1" s="1" a="1"/>
  <c r="CR524" i="1" s="1"/>
  <c r="CM524" i="1"/>
  <c r="CT524" i="1" s="1" a="1"/>
  <c r="CT524" i="1" s="1"/>
  <c r="CL524" i="1"/>
  <c r="CS524" i="1" s="1" a="1"/>
  <c r="CS524" i="1" s="1"/>
  <c r="CK468" i="1"/>
  <c r="CR468" i="1" s="1" a="1"/>
  <c r="CR468" i="1" s="1"/>
  <c r="CM468" i="1"/>
  <c r="CT468" i="1" s="1" a="1"/>
  <c r="CT468" i="1" s="1"/>
  <c r="CL468" i="1"/>
  <c r="CS468" i="1" s="1" a="1"/>
  <c r="CS468" i="1" s="1"/>
  <c r="CK420" i="1"/>
  <c r="CR420" i="1" s="1" a="1"/>
  <c r="CR420" i="1" s="1"/>
  <c r="CM420" i="1"/>
  <c r="CT420" i="1" s="1" a="1"/>
  <c r="CT420" i="1" s="1"/>
  <c r="CL420" i="1"/>
  <c r="CS420" i="1" s="1" a="1"/>
  <c r="CS420" i="1" s="1"/>
  <c r="CK372" i="1"/>
  <c r="CR372" i="1" s="1" a="1"/>
  <c r="CR372" i="1" s="1"/>
  <c r="CM372" i="1"/>
  <c r="CT372" i="1" s="1" a="1"/>
  <c r="CT372" i="1" s="1"/>
  <c r="CL372" i="1"/>
  <c r="CS372" i="1" s="1" a="1"/>
  <c r="CS372" i="1" s="1"/>
  <c r="CM332" i="1"/>
  <c r="CT332" i="1" s="1" a="1"/>
  <c r="CT332" i="1" s="1"/>
  <c r="CL332" i="1"/>
  <c r="CS332" i="1" s="1" a="1"/>
  <c r="CS332" i="1" s="1"/>
  <c r="CK284" i="1"/>
  <c r="CR284" i="1" s="1" a="1"/>
  <c r="CR284" i="1" s="1"/>
  <c r="CM284" i="1"/>
  <c r="CT284" i="1" s="1" a="1"/>
  <c r="CT284" i="1" s="1"/>
  <c r="CL284" i="1"/>
  <c r="CS284" i="1" s="1" a="1"/>
  <c r="CS284" i="1" s="1"/>
  <c r="CK236" i="1"/>
  <c r="CR236" i="1" s="1" a="1"/>
  <c r="CR236" i="1" s="1"/>
  <c r="CM236" i="1"/>
  <c r="CT236" i="1" s="1" a="1"/>
  <c r="CT236" i="1" s="1"/>
  <c r="CL236" i="1"/>
  <c r="CS236" i="1" s="1" a="1"/>
  <c r="CS236" i="1" s="1"/>
  <c r="CK188" i="1"/>
  <c r="CR188" i="1" s="1" a="1"/>
  <c r="CR188" i="1" s="1"/>
  <c r="CM188" i="1"/>
  <c r="CT188" i="1" s="1" a="1"/>
  <c r="CT188" i="1" s="1"/>
  <c r="CL188" i="1"/>
  <c r="CS188" i="1" s="1" a="1"/>
  <c r="CS188" i="1" s="1"/>
  <c r="CK140" i="1"/>
  <c r="CR140" i="1" s="1" a="1"/>
  <c r="CR140" i="1" s="1"/>
  <c r="CM140" i="1"/>
  <c r="CT140" i="1" s="1" a="1"/>
  <c r="CT140" i="1" s="1"/>
  <c r="CL140" i="1"/>
  <c r="CS140" i="1" s="1" a="1"/>
  <c r="CS140" i="1" s="1"/>
  <c r="CK92" i="1"/>
  <c r="CR92" i="1" s="1" a="1"/>
  <c r="CR92" i="1" s="1"/>
  <c r="CM92" i="1"/>
  <c r="CT92" i="1" s="1" a="1"/>
  <c r="CT92" i="1" s="1"/>
  <c r="CL92" i="1"/>
  <c r="CS92" i="1" s="1" a="1"/>
  <c r="CS92" i="1" s="1"/>
  <c r="CK52" i="1"/>
  <c r="CR52" i="1" s="1" a="1"/>
  <c r="CR52" i="1" s="1"/>
  <c r="CM52" i="1"/>
  <c r="CT52" i="1" s="1" a="1"/>
  <c r="CT52" i="1" s="1"/>
  <c r="CL52" i="1"/>
  <c r="CS52" i="1" s="1" a="1"/>
  <c r="CS52" i="1" s="1"/>
  <c r="CQ566" i="1"/>
  <c r="CV566" i="1" s="1" a="1"/>
  <c r="CV566" i="1" s="1"/>
  <c r="CP566" i="1"/>
  <c r="CU566" i="1" s="1" a="1"/>
  <c r="CU566" i="1" s="1"/>
  <c r="CQ523" i="1"/>
  <c r="CV523" i="1" s="1" a="1"/>
  <c r="CV523" i="1" s="1"/>
  <c r="CP523" i="1"/>
  <c r="CU523" i="1" s="1" a="1"/>
  <c r="CU523" i="1" s="1"/>
  <c r="CQ478" i="1"/>
  <c r="CV478" i="1" s="1" a="1"/>
  <c r="CV478" i="1" s="1"/>
  <c r="CP478" i="1"/>
  <c r="CU478" i="1" s="1" a="1"/>
  <c r="CU478" i="1" s="1"/>
  <c r="CQ424" i="1"/>
  <c r="CV424" i="1" s="1" a="1"/>
  <c r="CV424" i="1" s="1"/>
  <c r="CP424" i="1"/>
  <c r="CU424" i="1" s="1" a="1"/>
  <c r="CU424" i="1" s="1"/>
  <c r="CQ361" i="1"/>
  <c r="CV361" i="1" s="1" a="1"/>
  <c r="CV361" i="1" s="1"/>
  <c r="CP361" i="1"/>
  <c r="CU361" i="1" s="1" a="1"/>
  <c r="CU361" i="1" s="1"/>
  <c r="CQ302" i="1"/>
  <c r="CV302" i="1" s="1" a="1"/>
  <c r="CV302" i="1" s="1"/>
  <c r="CP302" i="1"/>
  <c r="CU302" i="1" s="1" a="1"/>
  <c r="CU302" i="1" s="1"/>
  <c r="CQ246" i="1"/>
  <c r="CV246" i="1" s="1" a="1"/>
  <c r="CV246" i="1" s="1"/>
  <c r="CP246" i="1"/>
  <c r="CU246" i="1" s="1" a="1"/>
  <c r="CU246" i="1" s="1"/>
  <c r="CQ193" i="1"/>
  <c r="CV193" i="1" s="1" a="1"/>
  <c r="CV193" i="1" s="1"/>
  <c r="CP193" i="1"/>
  <c r="CU193" i="1" s="1" a="1"/>
  <c r="CU193" i="1" s="1"/>
  <c r="CQ144" i="1"/>
  <c r="CV144" i="1" s="1" a="1"/>
  <c r="CV144" i="1" s="1"/>
  <c r="CP144" i="1"/>
  <c r="CU144" i="1" s="1" a="1"/>
  <c r="CU144" i="1" s="1"/>
  <c r="CQ91" i="1"/>
  <c r="CV91" i="1" s="1" a="1"/>
  <c r="CV91" i="1" s="1"/>
  <c r="CP91" i="1"/>
  <c r="CU91" i="1" s="1" a="1"/>
  <c r="CU91" i="1" s="1"/>
  <c r="CQ38" i="1"/>
  <c r="CV38" i="1" s="1" a="1"/>
  <c r="CV38" i="1" s="1"/>
  <c r="CP38" i="1"/>
  <c r="CU38" i="1" s="1" a="1"/>
  <c r="CU38" i="1" s="1"/>
  <c r="CK259" i="1"/>
  <c r="CR259" i="1" s="1" a="1"/>
  <c r="CR259" i="1" s="1"/>
  <c r="CM259" i="1"/>
  <c r="CT259" i="1" s="1" a="1"/>
  <c r="CT259" i="1" s="1"/>
  <c r="CL259" i="1"/>
  <c r="CS259" i="1" s="1" a="1"/>
  <c r="CS259" i="1" s="1"/>
  <c r="CK227" i="1"/>
  <c r="CR227" i="1" s="1" a="1"/>
  <c r="CR227" i="1" s="1"/>
  <c r="CL227" i="1"/>
  <c r="CS227" i="1" s="1" a="1"/>
  <c r="CS227" i="1" s="1"/>
  <c r="CM227" i="1"/>
  <c r="CT227" i="1" s="1" a="1"/>
  <c r="CT227" i="1" s="1"/>
  <c r="CM195" i="1"/>
  <c r="CT195" i="1" s="1" a="1"/>
  <c r="CT195" i="1" s="1"/>
  <c r="CL195" i="1"/>
  <c r="CS195" i="1" s="1" a="1"/>
  <c r="CS195" i="1" s="1"/>
  <c r="CK139" i="1"/>
  <c r="CR139" i="1" s="1" a="1"/>
  <c r="CR139" i="1" s="1"/>
  <c r="CL139" i="1"/>
  <c r="CS139" i="1" s="1" a="1"/>
  <c r="CS139" i="1" s="1"/>
  <c r="CM139" i="1"/>
  <c r="CT139" i="1" s="1" a="1"/>
  <c r="CT139" i="1" s="1"/>
  <c r="CK99" i="1"/>
  <c r="CR99" i="1" s="1" a="1"/>
  <c r="CR99" i="1" s="1"/>
  <c r="CM99" i="1"/>
  <c r="CT99" i="1" s="1" a="1"/>
  <c r="CT99" i="1" s="1"/>
  <c r="CL99" i="1"/>
  <c r="CS99" i="1" s="1" a="1"/>
  <c r="CS99" i="1" s="1"/>
  <c r="CK67" i="1"/>
  <c r="CR67" i="1" s="1" a="1"/>
  <c r="CR67" i="1" s="1"/>
  <c r="CM67" i="1"/>
  <c r="CT67" i="1" s="1" a="1"/>
  <c r="CT67" i="1" s="1"/>
  <c r="CL67" i="1"/>
  <c r="CS67" i="1" s="1" a="1"/>
  <c r="CS67" i="1" s="1"/>
  <c r="CK35" i="1"/>
  <c r="CR35" i="1" s="1" a="1"/>
  <c r="CR35" i="1" s="1"/>
  <c r="CM35" i="1"/>
  <c r="CT35" i="1" s="1" a="1"/>
  <c r="CT35" i="1" s="1"/>
  <c r="CL35" i="1"/>
  <c r="CS35" i="1" s="1" a="1"/>
  <c r="CS35" i="1" s="1"/>
  <c r="CM11" i="1"/>
  <c r="CT11" i="1" s="1" a="1"/>
  <c r="CT11" i="1" s="1"/>
  <c r="CL11" i="1"/>
  <c r="CS11" i="1" s="1" a="1"/>
  <c r="CS11" i="1" s="1"/>
  <c r="CQ539" i="1"/>
  <c r="CV539" i="1" s="1" a="1"/>
  <c r="CV539" i="1" s="1"/>
  <c r="CP539" i="1"/>
  <c r="CU539" i="1" s="1" a="1"/>
  <c r="CU539" i="1" s="1"/>
  <c r="CQ522" i="1"/>
  <c r="CV522" i="1" s="1" a="1"/>
  <c r="CV522" i="1" s="1"/>
  <c r="CP522" i="1"/>
  <c r="CU522" i="1" s="1" a="1"/>
  <c r="CU522" i="1" s="1"/>
  <c r="CQ504" i="1"/>
  <c r="CV504" i="1" s="1" a="1"/>
  <c r="CV504" i="1" s="1"/>
  <c r="CP504" i="1"/>
  <c r="CU504" i="1" s="1" a="1"/>
  <c r="CU504" i="1" s="1"/>
  <c r="CQ469" i="1"/>
  <c r="CV469" i="1" s="1" a="1"/>
  <c r="CV469" i="1" s="1"/>
  <c r="CP469" i="1"/>
  <c r="CU469" i="1" s="1" a="1"/>
  <c r="CU469" i="1" s="1"/>
  <c r="CQ452" i="1"/>
  <c r="CV452" i="1" s="1" a="1"/>
  <c r="CV452" i="1" s="1"/>
  <c r="CP452" i="1"/>
  <c r="CU452" i="1" s="1" a="1"/>
  <c r="CU452" i="1" s="1"/>
  <c r="CQ433" i="1"/>
  <c r="CV433" i="1" s="1" a="1"/>
  <c r="CV433" i="1" s="1"/>
  <c r="CP433" i="1"/>
  <c r="CU433" i="1" s="1" a="1"/>
  <c r="CU433" i="1" s="1"/>
  <c r="CP415" i="1"/>
  <c r="CU415" i="1" s="1" a="1"/>
  <c r="CU415" i="1" s="1"/>
  <c r="CQ415" i="1"/>
  <c r="CV415" i="1" s="1" a="1"/>
  <c r="CV415" i="1" s="1"/>
  <c r="CQ394" i="1"/>
  <c r="CV394" i="1" s="1" a="1"/>
  <c r="CV394" i="1" s="1"/>
  <c r="CP394" i="1"/>
  <c r="CU394" i="1" s="1" a="1"/>
  <c r="CU394" i="1" s="1"/>
  <c r="CQ385" i="1"/>
  <c r="CV385" i="1" s="1" a="1"/>
  <c r="CV385" i="1" s="1"/>
  <c r="CP385" i="1"/>
  <c r="CU385" i="1" s="1" a="1"/>
  <c r="CU385" i="1" s="1"/>
  <c r="CQ368" i="1"/>
  <c r="CV368" i="1" s="1" a="1"/>
  <c r="CV368" i="1" s="1"/>
  <c r="CP368" i="1"/>
  <c r="CU368" i="1" s="1" a="1"/>
  <c r="CU368" i="1" s="1"/>
  <c r="CP342" i="1"/>
  <c r="CU342" i="1" s="1" a="1"/>
  <c r="CU342" i="1" s="1"/>
  <c r="CQ342" i="1"/>
  <c r="CV342" i="1" s="1" a="1"/>
  <c r="CV342" i="1" s="1"/>
  <c r="CQ321" i="1"/>
  <c r="CV321" i="1" s="1" a="1"/>
  <c r="CV321" i="1" s="1"/>
  <c r="CP321" i="1"/>
  <c r="CU321" i="1" s="1" a="1"/>
  <c r="CU321" i="1" s="1"/>
  <c r="CQ284" i="1"/>
  <c r="CV284" i="1" s="1" a="1"/>
  <c r="CV284" i="1" s="1"/>
  <c r="CP284" i="1"/>
  <c r="CU284" i="1" s="1" a="1"/>
  <c r="CU284" i="1" s="1"/>
  <c r="CQ254" i="1"/>
  <c r="CV254" i="1" s="1" a="1"/>
  <c r="CV254" i="1" s="1"/>
  <c r="CP254" i="1"/>
  <c r="CU254" i="1" s="1" a="1"/>
  <c r="CU254" i="1" s="1"/>
  <c r="CQ220" i="1"/>
  <c r="CV220" i="1" s="1" a="1"/>
  <c r="CV220" i="1" s="1"/>
  <c r="CP220" i="1"/>
  <c r="CU220" i="1" s="1" a="1"/>
  <c r="CU220" i="1" s="1"/>
  <c r="CQ135" i="1"/>
  <c r="CV135" i="1" s="1" a="1"/>
  <c r="CV135" i="1" s="1"/>
  <c r="CP135" i="1"/>
  <c r="CU135" i="1" s="1" a="1"/>
  <c r="CU135" i="1" s="1"/>
  <c r="CK548" i="1"/>
  <c r="CR548" i="1" s="1" a="1"/>
  <c r="CR548" i="1" s="1"/>
  <c r="CM548" i="1"/>
  <c r="CT548" i="1" s="1" a="1"/>
  <c r="CT548" i="1" s="1"/>
  <c r="CL548" i="1"/>
  <c r="CS548" i="1" s="1" a="1"/>
  <c r="CS548" i="1" s="1"/>
  <c r="CK500" i="1"/>
  <c r="CR500" i="1" s="1" a="1"/>
  <c r="CR500" i="1" s="1"/>
  <c r="CM500" i="1"/>
  <c r="CT500" i="1" s="1" a="1"/>
  <c r="CT500" i="1" s="1"/>
  <c r="CL500" i="1"/>
  <c r="CS500" i="1" s="1" a="1"/>
  <c r="CS500" i="1" s="1"/>
  <c r="CK452" i="1"/>
  <c r="CR452" i="1" s="1" a="1"/>
  <c r="CR452" i="1" s="1"/>
  <c r="CM452" i="1"/>
  <c r="CT452" i="1" s="1" a="1"/>
  <c r="CT452" i="1" s="1"/>
  <c r="CL452" i="1"/>
  <c r="CS452" i="1" s="1" a="1"/>
  <c r="CS452" i="1" s="1"/>
  <c r="CK396" i="1"/>
  <c r="CR396" i="1" s="1" a="1"/>
  <c r="CR396" i="1" s="1"/>
  <c r="CM396" i="1"/>
  <c r="CT396" i="1" s="1" a="1"/>
  <c r="CT396" i="1" s="1"/>
  <c r="CL396" i="1"/>
  <c r="CS396" i="1" s="1" a="1"/>
  <c r="CS396" i="1" s="1"/>
  <c r="CK348" i="1"/>
  <c r="CR348" i="1" s="1" a="1"/>
  <c r="CR348" i="1" s="1"/>
  <c r="CM348" i="1"/>
  <c r="CT348" i="1" s="1" a="1"/>
  <c r="CT348" i="1" s="1"/>
  <c r="CL348" i="1"/>
  <c r="CS348" i="1" s="1" a="1"/>
  <c r="CS348" i="1" s="1"/>
  <c r="CK300" i="1"/>
  <c r="CR300" i="1" s="1" a="1"/>
  <c r="CR300" i="1" s="1"/>
  <c r="CM300" i="1"/>
  <c r="CT300" i="1" s="1" a="1"/>
  <c r="CT300" i="1" s="1"/>
  <c r="CL300" i="1"/>
  <c r="CS300" i="1" s="1" a="1"/>
  <c r="CS300" i="1" s="1"/>
  <c r="CK252" i="1"/>
  <c r="CR252" i="1" s="1" a="1"/>
  <c r="CR252" i="1" s="1"/>
  <c r="CM252" i="1"/>
  <c r="CT252" i="1" s="1" a="1"/>
  <c r="CT252" i="1" s="1"/>
  <c r="CL252" i="1"/>
  <c r="CS252" i="1" s="1" a="1"/>
  <c r="CS252" i="1" s="1"/>
  <c r="CK204" i="1"/>
  <c r="CR204" i="1" s="1" a="1"/>
  <c r="CR204" i="1" s="1"/>
  <c r="CM204" i="1"/>
  <c r="CT204" i="1" s="1" a="1"/>
  <c r="CT204" i="1" s="1"/>
  <c r="CL204" i="1"/>
  <c r="CS204" i="1" s="1" a="1"/>
  <c r="CS204" i="1" s="1"/>
  <c r="CK156" i="1"/>
  <c r="CR156" i="1" s="1" a="1"/>
  <c r="CR156" i="1" s="1"/>
  <c r="CM156" i="1"/>
  <c r="CT156" i="1" s="1" a="1"/>
  <c r="CT156" i="1" s="1"/>
  <c r="CL156" i="1"/>
  <c r="CS156" i="1" s="1" a="1"/>
  <c r="CS156" i="1" s="1"/>
  <c r="CK108" i="1"/>
  <c r="CR108" i="1" s="1" a="1"/>
  <c r="CR108" i="1" s="1"/>
  <c r="CM108" i="1"/>
  <c r="CT108" i="1" s="1" a="1"/>
  <c r="CT108" i="1" s="1"/>
  <c r="CL108" i="1"/>
  <c r="CS108" i="1" s="1" a="1"/>
  <c r="CS108" i="1" s="1"/>
  <c r="CK60" i="1"/>
  <c r="CR60" i="1" s="1" a="1"/>
  <c r="CR60" i="1" s="1"/>
  <c r="CM60" i="1"/>
  <c r="CT60" i="1" s="1" a="1"/>
  <c r="CT60" i="1" s="1"/>
  <c r="CL60" i="1"/>
  <c r="CS60" i="1" s="1" a="1"/>
  <c r="CS60" i="1" s="1"/>
  <c r="CK12" i="1"/>
  <c r="CR12" i="1" s="1" a="1"/>
  <c r="CR12" i="1" s="1"/>
  <c r="CM12" i="1"/>
  <c r="CT12" i="1" s="1" a="1"/>
  <c r="CT12" i="1" s="1"/>
  <c r="CL12" i="1"/>
  <c r="CS12" i="1" s="1" a="1"/>
  <c r="CS12" i="1" s="1"/>
  <c r="CQ531" i="1"/>
  <c r="CV531" i="1" s="1" a="1"/>
  <c r="CV531" i="1" s="1"/>
  <c r="CP531" i="1"/>
  <c r="CU531" i="1" s="1" a="1"/>
  <c r="CU531" i="1" s="1"/>
  <c r="CQ461" i="1"/>
  <c r="CV461" i="1" s="1" a="1"/>
  <c r="CV461" i="1" s="1"/>
  <c r="CP461" i="1"/>
  <c r="CU461" i="1" s="1" a="1"/>
  <c r="CU461" i="1" s="1"/>
  <c r="CQ386" i="1"/>
  <c r="CV386" i="1" s="1" a="1"/>
  <c r="CV386" i="1" s="1"/>
  <c r="CP386" i="1"/>
  <c r="CU386" i="1" s="1" a="1"/>
  <c r="CU386" i="1" s="1"/>
  <c r="CQ331" i="1"/>
  <c r="CV331" i="1" s="1" a="1"/>
  <c r="CV331" i="1" s="1"/>
  <c r="CP331" i="1"/>
  <c r="CU331" i="1" s="1" a="1"/>
  <c r="CU331" i="1" s="1"/>
  <c r="CQ276" i="1"/>
  <c r="CV276" i="1" s="1" a="1"/>
  <c r="CV276" i="1" s="1"/>
  <c r="CP276" i="1"/>
  <c r="CU276" i="1" s="1" a="1"/>
  <c r="CU276" i="1" s="1"/>
  <c r="CQ221" i="1"/>
  <c r="CV221" i="1" s="1" a="1"/>
  <c r="CV221" i="1" s="1"/>
  <c r="CP221" i="1"/>
  <c r="CU221" i="1" s="1" a="1"/>
  <c r="CU221" i="1" s="1"/>
  <c r="CP165" i="1"/>
  <c r="CU165" i="1" s="1" a="1"/>
  <c r="CU165" i="1" s="1"/>
  <c r="CQ165" i="1"/>
  <c r="CV165" i="1" s="1" a="1"/>
  <c r="CV165" i="1" s="1"/>
  <c r="CQ108" i="1"/>
  <c r="CV108" i="1" s="1" a="1"/>
  <c r="CV108" i="1" s="1"/>
  <c r="CP108" i="1"/>
  <c r="CU108" i="1" s="1" a="1"/>
  <c r="CU108" i="1" s="1"/>
  <c r="CQ46" i="1"/>
  <c r="CV46" i="1" s="1" a="1"/>
  <c r="CV46" i="1" s="1"/>
  <c r="CP46" i="1"/>
  <c r="CU46" i="1" s="1" a="1"/>
  <c r="CU46" i="1" s="1"/>
  <c r="CK563" i="1"/>
  <c r="CR563" i="1" s="1" a="1"/>
  <c r="CR563" i="1" s="1"/>
  <c r="CL563" i="1"/>
  <c r="CS563" i="1" s="1" a="1"/>
  <c r="CS563" i="1" s="1"/>
  <c r="CM563" i="1"/>
  <c r="CT563" i="1" s="1" a="1"/>
  <c r="CT563" i="1" s="1"/>
  <c r="CK531" i="1"/>
  <c r="CR531" i="1" s="1" a="1"/>
  <c r="CR531" i="1" s="1"/>
  <c r="CL531" i="1"/>
  <c r="CS531" i="1" s="1" a="1"/>
  <c r="CS531" i="1" s="1"/>
  <c r="CM531" i="1"/>
  <c r="CT531" i="1" s="1" a="1"/>
  <c r="CT531" i="1" s="1"/>
  <c r="CK507" i="1"/>
  <c r="CR507" i="1" s="1" a="1"/>
  <c r="CR507" i="1" s="1"/>
  <c r="CL507" i="1"/>
  <c r="CS507" i="1" s="1" a="1"/>
  <c r="CS507" i="1" s="1"/>
  <c r="CM507" i="1"/>
  <c r="CT507" i="1" s="1" a="1"/>
  <c r="CT507" i="1" s="1"/>
  <c r="CK467" i="1"/>
  <c r="CR467" i="1" s="1" a="1"/>
  <c r="CR467" i="1" s="1"/>
  <c r="CL467" i="1"/>
  <c r="CS467" i="1" s="1" a="1"/>
  <c r="CS467" i="1" s="1"/>
  <c r="CM467" i="1"/>
  <c r="CT467" i="1" s="1" a="1"/>
  <c r="CT467" i="1" s="1"/>
  <c r="CK435" i="1"/>
  <c r="CR435" i="1" s="1" a="1"/>
  <c r="CR435" i="1" s="1"/>
  <c r="CL435" i="1"/>
  <c r="CS435" i="1" s="1" a="1"/>
  <c r="CS435" i="1" s="1"/>
  <c r="CM435" i="1"/>
  <c r="CT435" i="1" s="1" a="1"/>
  <c r="CT435" i="1" s="1"/>
  <c r="CK411" i="1"/>
  <c r="CR411" i="1" s="1" a="1"/>
  <c r="CR411" i="1" s="1"/>
  <c r="CM411" i="1"/>
  <c r="CT411" i="1" s="1" a="1"/>
  <c r="CT411" i="1" s="1"/>
  <c r="CL411" i="1"/>
  <c r="CS411" i="1" s="1" a="1"/>
  <c r="CS411" i="1" s="1"/>
  <c r="CK379" i="1"/>
  <c r="CR379" i="1" s="1" a="1"/>
  <c r="CR379" i="1" s="1"/>
  <c r="CL379" i="1"/>
  <c r="CS379" i="1" s="1" a="1"/>
  <c r="CS379" i="1" s="1"/>
  <c r="CM379" i="1"/>
  <c r="CT379" i="1" s="1" a="1"/>
  <c r="CT379" i="1" s="1"/>
  <c r="CK355" i="1"/>
  <c r="CR355" i="1" s="1" a="1"/>
  <c r="CR355" i="1" s="1"/>
  <c r="CL355" i="1"/>
  <c r="CS355" i="1" s="1" a="1"/>
  <c r="CS355" i="1" s="1"/>
  <c r="CM355" i="1"/>
  <c r="CT355" i="1" s="1" a="1"/>
  <c r="CT355" i="1" s="1"/>
  <c r="CK323" i="1"/>
  <c r="CR323" i="1" s="1" a="1"/>
  <c r="CR323" i="1" s="1"/>
  <c r="CM323" i="1"/>
  <c r="CT323" i="1" s="1" a="1"/>
  <c r="CT323" i="1" s="1"/>
  <c r="CL323" i="1"/>
  <c r="CS323" i="1" s="1" a="1"/>
  <c r="CS323" i="1" s="1"/>
  <c r="CK299" i="1"/>
  <c r="CR299" i="1" s="1" a="1"/>
  <c r="CR299" i="1" s="1"/>
  <c r="CL299" i="1"/>
  <c r="CS299" i="1" s="1" a="1"/>
  <c r="CS299" i="1" s="1"/>
  <c r="CM299" i="1"/>
  <c r="CT299" i="1" s="1" a="1"/>
  <c r="CT299" i="1" s="1"/>
  <c r="CL275" i="1"/>
  <c r="CS275" i="1" s="1" a="1"/>
  <c r="CS275" i="1" s="1"/>
  <c r="CM275" i="1"/>
  <c r="CT275" i="1" s="1" a="1"/>
  <c r="CT275" i="1" s="1"/>
  <c r="CK243" i="1"/>
  <c r="CR243" i="1" s="1" a="1"/>
  <c r="CR243" i="1" s="1"/>
  <c r="CM243" i="1"/>
  <c r="CT243" i="1" s="1" a="1"/>
  <c r="CT243" i="1" s="1"/>
  <c r="CL243" i="1"/>
  <c r="CS243" i="1" s="1" a="1"/>
  <c r="CS243" i="1" s="1"/>
  <c r="CK211" i="1"/>
  <c r="CR211" i="1" s="1" a="1"/>
  <c r="CR211" i="1" s="1"/>
  <c r="CL211" i="1"/>
  <c r="CS211" i="1" s="1" a="1"/>
  <c r="CS211" i="1" s="1"/>
  <c r="CM211" i="1"/>
  <c r="CT211" i="1" s="1" a="1"/>
  <c r="CT211" i="1" s="1"/>
  <c r="CK179" i="1"/>
  <c r="CR179" i="1" s="1" a="1"/>
  <c r="CR179" i="1" s="1"/>
  <c r="CM179" i="1"/>
  <c r="CT179" i="1" s="1" a="1"/>
  <c r="CT179" i="1" s="1"/>
  <c r="CL179" i="1"/>
  <c r="CS179" i="1" s="1" a="1"/>
  <c r="CS179" i="1" s="1"/>
  <c r="CM155" i="1"/>
  <c r="CT155" i="1" s="1" a="1"/>
  <c r="CT155" i="1" s="1"/>
  <c r="CL155" i="1"/>
  <c r="CS155" i="1" s="1" a="1"/>
  <c r="CS155" i="1" s="1"/>
  <c r="CK123" i="1"/>
  <c r="CR123" i="1" s="1" a="1"/>
  <c r="CR123" i="1" s="1"/>
  <c r="CL123" i="1"/>
  <c r="CS123" i="1" s="1" a="1"/>
  <c r="CS123" i="1" s="1"/>
  <c r="CM123" i="1"/>
  <c r="CT123" i="1" s="1" a="1"/>
  <c r="CT123" i="1" s="1"/>
  <c r="CK83" i="1"/>
  <c r="CR83" i="1" s="1" a="1"/>
  <c r="CR83" i="1" s="1"/>
  <c r="CL83" i="1"/>
  <c r="CS83" i="1" s="1" a="1"/>
  <c r="CS83" i="1" s="1"/>
  <c r="CM83" i="1"/>
  <c r="CT83" i="1" s="1" a="1"/>
  <c r="CT83" i="1" s="1"/>
  <c r="CK59" i="1"/>
  <c r="CR59" i="1" s="1" a="1"/>
  <c r="CR59" i="1" s="1"/>
  <c r="CM59" i="1"/>
  <c r="CT59" i="1" s="1" a="1"/>
  <c r="CT59" i="1" s="1"/>
  <c r="CL59" i="1"/>
  <c r="CS59" i="1" s="1" a="1"/>
  <c r="CS59" i="1" s="1"/>
  <c r="CK19" i="1"/>
  <c r="CR19" i="1" s="1" a="1"/>
  <c r="CR19" i="1" s="1"/>
  <c r="CL19" i="1"/>
  <c r="CS19" i="1" s="1" a="1"/>
  <c r="CS19" i="1" s="1"/>
  <c r="CM19" i="1"/>
  <c r="CT19" i="1" s="1" a="1"/>
  <c r="CT19" i="1" s="1"/>
  <c r="CQ547" i="1"/>
  <c r="CV547" i="1" s="1" a="1"/>
  <c r="CV547" i="1" s="1"/>
  <c r="CP547" i="1"/>
  <c r="CU547" i="1" s="1" a="1"/>
  <c r="CU547" i="1" s="1"/>
  <c r="CQ477" i="1"/>
  <c r="CV477" i="1" s="1" a="1"/>
  <c r="CV477" i="1" s="1"/>
  <c r="CP477" i="1"/>
  <c r="CU477" i="1" s="1" a="1"/>
  <c r="CU477" i="1" s="1"/>
  <c r="CQ310" i="1"/>
  <c r="CV310" i="1" s="1" a="1"/>
  <c r="CV310" i="1" s="1"/>
  <c r="CP310" i="1"/>
  <c r="CU310" i="1" s="1" a="1"/>
  <c r="CU310" i="1" s="1"/>
  <c r="CQ274" i="1"/>
  <c r="CV274" i="1" s="1" a="1"/>
  <c r="CV274" i="1" s="1"/>
  <c r="CP274" i="1"/>
  <c r="CU274" i="1" s="1" a="1"/>
  <c r="CU274" i="1" s="1"/>
  <c r="CP245" i="1"/>
  <c r="CU245" i="1" s="1" a="1"/>
  <c r="CU245" i="1" s="1"/>
  <c r="CQ245" i="1"/>
  <c r="CV245" i="1" s="1" a="1"/>
  <c r="CV245" i="1" s="1"/>
  <c r="CQ228" i="1"/>
  <c r="CV228" i="1" s="1" a="1"/>
  <c r="CV228" i="1" s="1"/>
  <c r="CP228" i="1"/>
  <c r="CU228" i="1" s="1" a="1"/>
  <c r="CU228" i="1" s="1"/>
  <c r="CQ212" i="1"/>
  <c r="CV212" i="1" s="1" a="1"/>
  <c r="CV212" i="1" s="1"/>
  <c r="CP212" i="1"/>
  <c r="CU212" i="1" s="1" a="1"/>
  <c r="CU212" i="1" s="1"/>
  <c r="CQ192" i="1"/>
  <c r="CV192" i="1" s="1" a="1"/>
  <c r="CV192" i="1" s="1"/>
  <c r="CP192" i="1"/>
  <c r="CU192" i="1" s="1" a="1"/>
  <c r="CU192" i="1" s="1"/>
  <c r="CQ183" i="1"/>
  <c r="CV183" i="1" s="1" a="1"/>
  <c r="CV183" i="1" s="1"/>
  <c r="CP183" i="1"/>
  <c r="CU183" i="1" s="1" a="1"/>
  <c r="CU183" i="1" s="1"/>
  <c r="CQ172" i="1"/>
  <c r="CV172" i="1" s="1" a="1"/>
  <c r="CV172" i="1" s="1"/>
  <c r="CP172" i="1"/>
  <c r="CU172" i="1" s="1" a="1"/>
  <c r="CU172" i="1" s="1"/>
  <c r="CQ143" i="1"/>
  <c r="CV143" i="1" s="1" a="1"/>
  <c r="CV143" i="1" s="1"/>
  <c r="CP143" i="1"/>
  <c r="CU143" i="1" s="1" a="1"/>
  <c r="CU143" i="1" s="1"/>
  <c r="CK570" i="1"/>
  <c r="CR570" i="1" s="1" a="1"/>
  <c r="CR570" i="1" s="1"/>
  <c r="CL570" i="1"/>
  <c r="CS570" i="1" s="1" a="1"/>
  <c r="CS570" i="1" s="1"/>
  <c r="CM570" i="1"/>
  <c r="CT570" i="1" s="1" a="1"/>
  <c r="CT570" i="1" s="1"/>
  <c r="CK562" i="1"/>
  <c r="CR562" i="1" s="1" a="1"/>
  <c r="CR562" i="1" s="1"/>
  <c r="CL562" i="1"/>
  <c r="CS562" i="1" s="1" a="1"/>
  <c r="CS562" i="1" s="1"/>
  <c r="CM562" i="1"/>
  <c r="CT562" i="1" s="1" a="1"/>
  <c r="CT562" i="1" s="1"/>
  <c r="CK554" i="1"/>
  <c r="CR554" i="1" s="1" a="1"/>
  <c r="CR554" i="1" s="1"/>
  <c r="CL554" i="1"/>
  <c r="CS554" i="1" s="1" a="1"/>
  <c r="CS554" i="1" s="1"/>
  <c r="CM554" i="1"/>
  <c r="CT554" i="1" s="1" a="1"/>
  <c r="CT554" i="1" s="1"/>
  <c r="CK546" i="1"/>
  <c r="CR546" i="1" s="1" a="1"/>
  <c r="CR546" i="1" s="1"/>
  <c r="CL546" i="1"/>
  <c r="CS546" i="1" s="1" a="1"/>
  <c r="CS546" i="1" s="1"/>
  <c r="CM546" i="1"/>
  <c r="CT546" i="1" s="1" a="1"/>
  <c r="CT546" i="1" s="1"/>
  <c r="CK538" i="1"/>
  <c r="CR538" i="1" s="1" a="1"/>
  <c r="CR538" i="1" s="1"/>
  <c r="CL538" i="1"/>
  <c r="CS538" i="1" s="1" a="1"/>
  <c r="CS538" i="1" s="1"/>
  <c r="CM538" i="1"/>
  <c r="CT538" i="1" s="1" a="1"/>
  <c r="CT538" i="1" s="1"/>
  <c r="CK530" i="1"/>
  <c r="CR530" i="1" s="1" a="1"/>
  <c r="CR530" i="1" s="1"/>
  <c r="CL530" i="1"/>
  <c r="CS530" i="1" s="1" a="1"/>
  <c r="CS530" i="1" s="1"/>
  <c r="CM530" i="1"/>
  <c r="CT530" i="1" s="1" a="1"/>
  <c r="CT530" i="1" s="1"/>
  <c r="CK522" i="1"/>
  <c r="CR522" i="1" s="1" a="1"/>
  <c r="CR522" i="1" s="1"/>
  <c r="CL522" i="1"/>
  <c r="CS522" i="1" s="1" a="1"/>
  <c r="CS522" i="1" s="1"/>
  <c r="CM522" i="1"/>
  <c r="CT522" i="1" s="1" a="1"/>
  <c r="CT522" i="1" s="1"/>
  <c r="CK514" i="1"/>
  <c r="CR514" i="1" s="1" a="1"/>
  <c r="CR514" i="1" s="1"/>
  <c r="CL514" i="1"/>
  <c r="CS514" i="1" s="1" a="1"/>
  <c r="CS514" i="1" s="1"/>
  <c r="CM514" i="1"/>
  <c r="CT514" i="1" s="1" a="1"/>
  <c r="CT514" i="1" s="1"/>
  <c r="CK506" i="1"/>
  <c r="CR506" i="1" s="1" a="1"/>
  <c r="CR506" i="1" s="1"/>
  <c r="CL506" i="1"/>
  <c r="CS506" i="1" s="1" a="1"/>
  <c r="CS506" i="1" s="1"/>
  <c r="CM506" i="1"/>
  <c r="CT506" i="1" s="1" a="1"/>
  <c r="CT506" i="1" s="1"/>
  <c r="CK498" i="1"/>
  <c r="CR498" i="1" s="1" a="1"/>
  <c r="CR498" i="1" s="1"/>
  <c r="CL498" i="1"/>
  <c r="CS498" i="1" s="1" a="1"/>
  <c r="CS498" i="1" s="1"/>
  <c r="CM498" i="1"/>
  <c r="CT498" i="1" s="1" a="1"/>
  <c r="CT498" i="1" s="1"/>
  <c r="CM490" i="1"/>
  <c r="CT490" i="1" s="1" a="1"/>
  <c r="CT490" i="1" s="1"/>
  <c r="CL490" i="1"/>
  <c r="CS490" i="1" s="1" a="1"/>
  <c r="CS490" i="1" s="1"/>
  <c r="CK482" i="1"/>
  <c r="CR482" i="1" s="1" a="1"/>
  <c r="CR482" i="1" s="1"/>
  <c r="CL482" i="1"/>
  <c r="CS482" i="1" s="1" a="1"/>
  <c r="CS482" i="1" s="1"/>
  <c r="CM482" i="1"/>
  <c r="CT482" i="1" s="1" a="1"/>
  <c r="CT482" i="1" s="1"/>
  <c r="CK474" i="1"/>
  <c r="CR474" i="1" s="1" a="1"/>
  <c r="CR474" i="1" s="1"/>
  <c r="CL474" i="1"/>
  <c r="CS474" i="1" s="1" a="1"/>
  <c r="CS474" i="1" s="1"/>
  <c r="CM474" i="1"/>
  <c r="CT474" i="1" s="1" a="1"/>
  <c r="CT474" i="1" s="1"/>
  <c r="CK466" i="1"/>
  <c r="CR466" i="1" s="1" a="1"/>
  <c r="CR466" i="1" s="1"/>
  <c r="CL466" i="1"/>
  <c r="CS466" i="1" s="1" a="1"/>
  <c r="CS466" i="1" s="1"/>
  <c r="CM466" i="1"/>
  <c r="CT466" i="1" s="1" a="1"/>
  <c r="CT466" i="1" s="1"/>
  <c r="CK458" i="1"/>
  <c r="CR458" i="1" s="1" a="1"/>
  <c r="CR458" i="1" s="1"/>
  <c r="CL458" i="1"/>
  <c r="CS458" i="1" s="1" a="1"/>
  <c r="CS458" i="1" s="1"/>
  <c r="CM458" i="1"/>
  <c r="CT458" i="1" s="1" a="1"/>
  <c r="CT458" i="1" s="1"/>
  <c r="CK450" i="1"/>
  <c r="CR450" i="1" s="1" a="1"/>
  <c r="CR450" i="1" s="1"/>
  <c r="CL450" i="1"/>
  <c r="CS450" i="1" s="1" a="1"/>
  <c r="CS450" i="1" s="1"/>
  <c r="CM450" i="1"/>
  <c r="CT450" i="1" s="1" a="1"/>
  <c r="CT450" i="1" s="1"/>
  <c r="CK442" i="1"/>
  <c r="CR442" i="1" s="1" a="1"/>
  <c r="CR442" i="1" s="1"/>
  <c r="CL442" i="1"/>
  <c r="CS442" i="1" s="1" a="1"/>
  <c r="CS442" i="1" s="1"/>
  <c r="CM442" i="1"/>
  <c r="CT442" i="1" s="1" a="1"/>
  <c r="CT442" i="1" s="1"/>
  <c r="CK434" i="1"/>
  <c r="CR434" i="1" s="1" a="1"/>
  <c r="CR434" i="1" s="1"/>
  <c r="CL434" i="1"/>
  <c r="CS434" i="1" s="1" a="1"/>
  <c r="CS434" i="1" s="1"/>
  <c r="CM434" i="1"/>
  <c r="CT434" i="1" s="1" a="1"/>
  <c r="CT434" i="1" s="1"/>
  <c r="CK426" i="1"/>
  <c r="CR426" i="1" s="1" a="1"/>
  <c r="CR426" i="1" s="1"/>
  <c r="CL426" i="1"/>
  <c r="CS426" i="1" s="1" a="1"/>
  <c r="CS426" i="1" s="1"/>
  <c r="CM426" i="1"/>
  <c r="CT426" i="1" s="1" a="1"/>
  <c r="CT426" i="1" s="1"/>
  <c r="CK418" i="1"/>
  <c r="CR418" i="1" s="1" a="1"/>
  <c r="CR418" i="1" s="1"/>
  <c r="CL418" i="1"/>
  <c r="CS418" i="1" s="1" a="1"/>
  <c r="CS418" i="1" s="1"/>
  <c r="CM418" i="1"/>
  <c r="CT418" i="1" s="1" a="1"/>
  <c r="CT418" i="1" s="1"/>
  <c r="CM410" i="1"/>
  <c r="CT410" i="1" s="1" a="1"/>
  <c r="CT410" i="1" s="1"/>
  <c r="CL410" i="1"/>
  <c r="CS410" i="1" s="1" a="1"/>
  <c r="CS410" i="1" s="1"/>
  <c r="CK402" i="1"/>
  <c r="CR402" i="1" s="1" a="1"/>
  <c r="CR402" i="1" s="1"/>
  <c r="CL402" i="1"/>
  <c r="CS402" i="1" s="1" a="1"/>
  <c r="CS402" i="1" s="1"/>
  <c r="CM402" i="1"/>
  <c r="CT402" i="1" s="1" a="1"/>
  <c r="CT402" i="1" s="1"/>
  <c r="CK394" i="1"/>
  <c r="CR394" i="1" s="1" a="1"/>
  <c r="CR394" i="1" s="1"/>
  <c r="CL394" i="1"/>
  <c r="CS394" i="1" s="1" a="1"/>
  <c r="CS394" i="1" s="1"/>
  <c r="CM394" i="1"/>
  <c r="CT394" i="1" s="1" a="1"/>
  <c r="CT394" i="1" s="1"/>
  <c r="CK386" i="1"/>
  <c r="CR386" i="1" s="1" a="1"/>
  <c r="CR386" i="1" s="1"/>
  <c r="CL386" i="1"/>
  <c r="CS386" i="1" s="1" a="1"/>
  <c r="CS386" i="1" s="1"/>
  <c r="CM386" i="1"/>
  <c r="CT386" i="1" s="1" a="1"/>
  <c r="CT386" i="1" s="1"/>
  <c r="CK378" i="1"/>
  <c r="CR378" i="1" s="1" a="1"/>
  <c r="CR378" i="1" s="1"/>
  <c r="CL378" i="1"/>
  <c r="CS378" i="1" s="1" a="1"/>
  <c r="CS378" i="1" s="1"/>
  <c r="CM378" i="1"/>
  <c r="CT378" i="1" s="1" a="1"/>
  <c r="CT378" i="1" s="1"/>
  <c r="CK370" i="1"/>
  <c r="CR370" i="1" s="1" a="1"/>
  <c r="CR370" i="1" s="1"/>
  <c r="CM370" i="1"/>
  <c r="CT370" i="1" s="1" a="1"/>
  <c r="CT370" i="1" s="1"/>
  <c r="CL370" i="1"/>
  <c r="CS370" i="1" s="1" a="1"/>
  <c r="CS370" i="1" s="1"/>
  <c r="CK362" i="1"/>
  <c r="CR362" i="1" s="1" a="1"/>
  <c r="CR362" i="1" s="1"/>
  <c r="CL362" i="1"/>
  <c r="CS362" i="1" s="1" a="1"/>
  <c r="CS362" i="1" s="1"/>
  <c r="CM362" i="1"/>
  <c r="CT362" i="1" s="1" a="1"/>
  <c r="CT362" i="1" s="1"/>
  <c r="CK354" i="1"/>
  <c r="CR354" i="1" s="1" a="1"/>
  <c r="CR354" i="1" s="1"/>
  <c r="CL354" i="1"/>
  <c r="CS354" i="1" s="1" a="1"/>
  <c r="CS354" i="1" s="1"/>
  <c r="CM354" i="1"/>
  <c r="CT354" i="1" s="1" a="1"/>
  <c r="CT354" i="1" s="1"/>
  <c r="CK346" i="1"/>
  <c r="CR346" i="1" s="1" a="1"/>
  <c r="CR346" i="1" s="1"/>
  <c r="CM346" i="1"/>
  <c r="CT346" i="1" s="1" a="1"/>
  <c r="CT346" i="1" s="1"/>
  <c r="CL346" i="1"/>
  <c r="CS346" i="1" s="1" a="1"/>
  <c r="CS346" i="1" s="1"/>
  <c r="CL338" i="1"/>
  <c r="CS338" i="1" s="1" a="1"/>
  <c r="CS338" i="1" s="1"/>
  <c r="CM338" i="1"/>
  <c r="CT338" i="1" s="1" a="1"/>
  <c r="CT338" i="1" s="1"/>
  <c r="CK330" i="1"/>
  <c r="CR330" i="1" s="1" a="1"/>
  <c r="CR330" i="1" s="1"/>
  <c r="CL330" i="1"/>
  <c r="CS330" i="1" s="1" a="1"/>
  <c r="CS330" i="1" s="1"/>
  <c r="CM330" i="1"/>
  <c r="CT330" i="1" s="1" a="1"/>
  <c r="CT330" i="1" s="1"/>
  <c r="CK322" i="1"/>
  <c r="CR322" i="1" s="1" a="1"/>
  <c r="CR322" i="1" s="1"/>
  <c r="CL322" i="1"/>
  <c r="CS322" i="1" s="1" a="1"/>
  <c r="CS322" i="1" s="1"/>
  <c r="CM322" i="1"/>
  <c r="CT322" i="1" s="1" a="1"/>
  <c r="CT322" i="1" s="1"/>
  <c r="CK314" i="1"/>
  <c r="CR314" i="1" s="1" a="1"/>
  <c r="CR314" i="1" s="1"/>
  <c r="CL314" i="1"/>
  <c r="CS314" i="1" s="1" a="1"/>
  <c r="CS314" i="1" s="1"/>
  <c r="CM314" i="1"/>
  <c r="CT314" i="1" s="1" a="1"/>
  <c r="CT314" i="1" s="1"/>
  <c r="CK306" i="1"/>
  <c r="CR306" i="1" s="1" a="1"/>
  <c r="CR306" i="1" s="1"/>
  <c r="CM306" i="1"/>
  <c r="CT306" i="1" s="1" a="1"/>
  <c r="CT306" i="1" s="1"/>
  <c r="CL306" i="1"/>
  <c r="CS306" i="1" s="1" a="1"/>
  <c r="CS306" i="1" s="1"/>
  <c r="CK298" i="1"/>
  <c r="CR298" i="1" s="1" a="1"/>
  <c r="CR298" i="1" s="1"/>
  <c r="CL298" i="1"/>
  <c r="CS298" i="1" s="1" a="1"/>
  <c r="CS298" i="1" s="1"/>
  <c r="CM298" i="1"/>
  <c r="CT298" i="1" s="1" a="1"/>
  <c r="CT298" i="1" s="1"/>
  <c r="CK290" i="1"/>
  <c r="CR290" i="1" s="1" a="1"/>
  <c r="CR290" i="1" s="1"/>
  <c r="CL290" i="1"/>
  <c r="CS290" i="1" s="1" a="1"/>
  <c r="CS290" i="1" s="1"/>
  <c r="CM290" i="1"/>
  <c r="CT290" i="1" s="1" a="1"/>
  <c r="CT290" i="1" s="1"/>
  <c r="CK282" i="1"/>
  <c r="CR282" i="1" s="1" a="1"/>
  <c r="CR282" i="1" s="1"/>
  <c r="CM282" i="1"/>
  <c r="CT282" i="1" s="1" a="1"/>
  <c r="CT282" i="1" s="1"/>
  <c r="CL282" i="1"/>
  <c r="CS282" i="1" s="1" a="1"/>
  <c r="CS282" i="1" s="1"/>
  <c r="CK274" i="1"/>
  <c r="CR274" i="1" s="1" a="1"/>
  <c r="CR274" i="1" s="1"/>
  <c r="CL274" i="1"/>
  <c r="CS274" i="1" s="1" a="1"/>
  <c r="CS274" i="1" s="1"/>
  <c r="CM274" i="1"/>
  <c r="CT274" i="1" s="1" a="1"/>
  <c r="CT274" i="1" s="1"/>
  <c r="CK266" i="1"/>
  <c r="CR266" i="1" s="1" a="1"/>
  <c r="CR266" i="1" s="1"/>
  <c r="CL266" i="1"/>
  <c r="CS266" i="1" s="1" a="1"/>
  <c r="CS266" i="1" s="1"/>
  <c r="CM266" i="1"/>
  <c r="CT266" i="1" s="1" a="1"/>
  <c r="CT266" i="1" s="1"/>
  <c r="CK258" i="1"/>
  <c r="CR258" i="1" s="1" a="1"/>
  <c r="CR258" i="1" s="1"/>
  <c r="CL258" i="1"/>
  <c r="CS258" i="1" s="1" a="1"/>
  <c r="CS258" i="1" s="1"/>
  <c r="CM258" i="1"/>
  <c r="CT258" i="1" s="1" a="1"/>
  <c r="CT258" i="1" s="1"/>
  <c r="CL250" i="1"/>
  <c r="CS250" i="1" s="1" a="1"/>
  <c r="CS250" i="1" s="1"/>
  <c r="CM250" i="1"/>
  <c r="CT250" i="1" s="1" a="1"/>
  <c r="CT250" i="1" s="1"/>
  <c r="CK242" i="1"/>
  <c r="CR242" i="1" s="1" a="1"/>
  <c r="CR242" i="1" s="1"/>
  <c r="CM242" i="1"/>
  <c r="CT242" i="1" s="1" a="1"/>
  <c r="CT242" i="1" s="1"/>
  <c r="CL242" i="1"/>
  <c r="CS242" i="1" s="1" a="1"/>
  <c r="CS242" i="1" s="1"/>
  <c r="CK234" i="1"/>
  <c r="CR234" i="1" s="1" a="1"/>
  <c r="CR234" i="1" s="1"/>
  <c r="CL234" i="1"/>
  <c r="CS234" i="1" s="1" a="1"/>
  <c r="CS234" i="1" s="1"/>
  <c r="CM234" i="1"/>
  <c r="CT234" i="1" s="1" a="1"/>
  <c r="CT234" i="1" s="1"/>
  <c r="CK226" i="1"/>
  <c r="CR226" i="1" s="1" a="1"/>
  <c r="CR226" i="1" s="1"/>
  <c r="CL226" i="1"/>
  <c r="CS226" i="1" s="1" a="1"/>
  <c r="CS226" i="1" s="1"/>
  <c r="CM226" i="1"/>
  <c r="CT226" i="1" s="1" a="1"/>
  <c r="CT226" i="1" s="1"/>
  <c r="CK218" i="1"/>
  <c r="CR218" i="1" s="1" a="1"/>
  <c r="CR218" i="1" s="1"/>
  <c r="CM218" i="1"/>
  <c r="CT218" i="1" s="1" a="1"/>
  <c r="CT218" i="1" s="1"/>
  <c r="CL218" i="1"/>
  <c r="CS218" i="1" s="1" a="1"/>
  <c r="CS218" i="1" s="1"/>
  <c r="CK210" i="1"/>
  <c r="CR210" i="1" s="1" a="1"/>
  <c r="CR210" i="1" s="1"/>
  <c r="CL210" i="1"/>
  <c r="CS210" i="1" s="1" a="1"/>
  <c r="CS210" i="1" s="1"/>
  <c r="CM210" i="1"/>
  <c r="CT210" i="1" s="1" a="1"/>
  <c r="CT210" i="1" s="1"/>
  <c r="CK202" i="1"/>
  <c r="CR202" i="1" s="1" a="1"/>
  <c r="CR202" i="1" s="1"/>
  <c r="CL202" i="1"/>
  <c r="CS202" i="1" s="1" a="1"/>
  <c r="CS202" i="1" s="1"/>
  <c r="CM202" i="1"/>
  <c r="CT202" i="1" s="1" a="1"/>
  <c r="CT202" i="1" s="1"/>
  <c r="CL194" i="1"/>
  <c r="CS194" i="1" s="1" a="1"/>
  <c r="CS194" i="1" s="1"/>
  <c r="CM194" i="1"/>
  <c r="CT194" i="1" s="1" a="1"/>
  <c r="CT194" i="1" s="1"/>
  <c r="CK186" i="1"/>
  <c r="CR186" i="1" s="1" a="1"/>
  <c r="CR186" i="1" s="1"/>
  <c r="CL186" i="1"/>
  <c r="CS186" i="1" s="1" a="1"/>
  <c r="CS186" i="1" s="1"/>
  <c r="CM186" i="1"/>
  <c r="CT186" i="1" s="1" a="1"/>
  <c r="CT186" i="1" s="1"/>
  <c r="CK178" i="1"/>
  <c r="CR178" i="1" s="1" a="1"/>
  <c r="CR178" i="1" s="1"/>
  <c r="CM178" i="1"/>
  <c r="CT178" i="1" s="1" a="1"/>
  <c r="CT178" i="1" s="1"/>
  <c r="CL178" i="1"/>
  <c r="CS178" i="1" s="1" a="1"/>
  <c r="CS178" i="1" s="1"/>
  <c r="CK170" i="1"/>
  <c r="CR170" i="1" s="1" a="1"/>
  <c r="CR170" i="1" s="1"/>
  <c r="CL170" i="1"/>
  <c r="CS170" i="1" s="1" a="1"/>
  <c r="CS170" i="1" s="1"/>
  <c r="CM170" i="1"/>
  <c r="CT170" i="1" s="1" a="1"/>
  <c r="CT170" i="1" s="1"/>
  <c r="CK162" i="1"/>
  <c r="CR162" i="1" s="1" a="1"/>
  <c r="CR162" i="1" s="1"/>
  <c r="CL162" i="1"/>
  <c r="CS162" i="1" s="1" a="1"/>
  <c r="CS162" i="1" s="1"/>
  <c r="CM162" i="1"/>
  <c r="CT162" i="1" s="1" a="1"/>
  <c r="CT162" i="1" s="1"/>
  <c r="CK154" i="1"/>
  <c r="CR154" i="1" s="1" a="1"/>
  <c r="CR154" i="1" s="1"/>
  <c r="CM154" i="1"/>
  <c r="CT154" i="1" s="1" a="1"/>
  <c r="CT154" i="1" s="1"/>
  <c r="CL154" i="1"/>
  <c r="CS154" i="1" s="1" a="1"/>
  <c r="CS154" i="1" s="1"/>
  <c r="CK146" i="1"/>
  <c r="CR146" i="1" s="1" a="1"/>
  <c r="CR146" i="1" s="1"/>
  <c r="CL146" i="1"/>
  <c r="CS146" i="1" s="1" a="1"/>
  <c r="CS146" i="1" s="1"/>
  <c r="CM146" i="1"/>
  <c r="CT146" i="1" s="1" a="1"/>
  <c r="CT146" i="1" s="1"/>
  <c r="CK138" i="1"/>
  <c r="CR138" i="1" s="1" a="1"/>
  <c r="CR138" i="1" s="1"/>
  <c r="CL138" i="1"/>
  <c r="CS138" i="1" s="1" a="1"/>
  <c r="CS138" i="1" s="1"/>
  <c r="CM138" i="1"/>
  <c r="CT138" i="1" s="1" a="1"/>
  <c r="CT138" i="1" s="1"/>
  <c r="CK130" i="1"/>
  <c r="CR130" i="1" s="1" a="1"/>
  <c r="CR130" i="1" s="1"/>
  <c r="CL130" i="1"/>
  <c r="CS130" i="1" s="1" a="1"/>
  <c r="CS130" i="1" s="1"/>
  <c r="CM130" i="1"/>
  <c r="CT130" i="1" s="1" a="1"/>
  <c r="CT130" i="1" s="1"/>
  <c r="CK122" i="1"/>
  <c r="CR122" i="1" s="1" a="1"/>
  <c r="CR122" i="1" s="1"/>
  <c r="CL122" i="1"/>
  <c r="CS122" i="1" s="1" a="1"/>
  <c r="CS122" i="1" s="1"/>
  <c r="CM122" i="1"/>
  <c r="CT122" i="1" s="1" a="1"/>
  <c r="CT122" i="1" s="1"/>
  <c r="CK114" i="1"/>
  <c r="CR114" i="1" s="1" a="1"/>
  <c r="CR114" i="1" s="1"/>
  <c r="CM114" i="1"/>
  <c r="CT114" i="1" s="1" a="1"/>
  <c r="CT114" i="1" s="1"/>
  <c r="CL114" i="1"/>
  <c r="CS114" i="1" s="1" a="1"/>
  <c r="CS114" i="1" s="1"/>
  <c r="CK106" i="1"/>
  <c r="CR106" i="1" s="1" a="1"/>
  <c r="CR106" i="1" s="1"/>
  <c r="CL106" i="1"/>
  <c r="CS106" i="1" s="1" a="1"/>
  <c r="CS106" i="1" s="1"/>
  <c r="CM106" i="1"/>
  <c r="CT106" i="1" s="1" a="1"/>
  <c r="CT106" i="1" s="1"/>
  <c r="CK98" i="1"/>
  <c r="CR98" i="1" s="1" a="1"/>
  <c r="CR98" i="1" s="1"/>
  <c r="CL98" i="1"/>
  <c r="CS98" i="1" s="1" a="1"/>
  <c r="CS98" i="1" s="1"/>
  <c r="CM98" i="1"/>
  <c r="CT98" i="1" s="1" a="1"/>
  <c r="CT98" i="1" s="1"/>
  <c r="CK90" i="1"/>
  <c r="CR90" i="1" s="1" a="1"/>
  <c r="CR90" i="1" s="1"/>
  <c r="CM90" i="1"/>
  <c r="CT90" i="1" s="1" a="1"/>
  <c r="CT90" i="1" s="1"/>
  <c r="CL90" i="1"/>
  <c r="CS90" i="1" s="1" a="1"/>
  <c r="CS90" i="1" s="1"/>
  <c r="CK82" i="1"/>
  <c r="CR82" i="1" s="1" a="1"/>
  <c r="CR82" i="1" s="1"/>
  <c r="CM82" i="1"/>
  <c r="CT82" i="1" s="1" a="1"/>
  <c r="CT82" i="1" s="1"/>
  <c r="CL82" i="1"/>
  <c r="CS82" i="1" s="1" a="1"/>
  <c r="CS82" i="1" s="1"/>
  <c r="CK74" i="1"/>
  <c r="CR74" i="1" s="1" a="1"/>
  <c r="CR74" i="1" s="1"/>
  <c r="CM74" i="1"/>
  <c r="CT74" i="1" s="1" a="1"/>
  <c r="CT74" i="1" s="1"/>
  <c r="CL74" i="1"/>
  <c r="CS74" i="1" s="1" a="1"/>
  <c r="CS74" i="1" s="1"/>
  <c r="CK66" i="1"/>
  <c r="CR66" i="1" s="1" a="1"/>
  <c r="CR66" i="1" s="1"/>
  <c r="CL66" i="1"/>
  <c r="CS66" i="1" s="1" a="1"/>
  <c r="CS66" i="1" s="1"/>
  <c r="CM66" i="1"/>
  <c r="CT66" i="1" s="1" a="1"/>
  <c r="CT66" i="1" s="1"/>
  <c r="CK58" i="1"/>
  <c r="CR58" i="1" s="1" a="1"/>
  <c r="CR58" i="1" s="1"/>
  <c r="CM58" i="1"/>
  <c r="CT58" i="1" s="1" a="1"/>
  <c r="CT58" i="1" s="1"/>
  <c r="CL58" i="1"/>
  <c r="CS58" i="1" s="1" a="1"/>
  <c r="CS58" i="1" s="1"/>
  <c r="CM50" i="1"/>
  <c r="CT50" i="1" s="1" a="1"/>
  <c r="CT50" i="1" s="1"/>
  <c r="CL50" i="1"/>
  <c r="CS50" i="1" s="1" a="1"/>
  <c r="CS50" i="1" s="1"/>
  <c r="CK42" i="1"/>
  <c r="CR42" i="1" s="1" a="1"/>
  <c r="CR42" i="1" s="1"/>
  <c r="CM42" i="1"/>
  <c r="CT42" i="1" s="1" a="1"/>
  <c r="CT42" i="1" s="1"/>
  <c r="CL42" i="1"/>
  <c r="CS42" i="1" s="1" a="1"/>
  <c r="CS42" i="1" s="1"/>
  <c r="CK34" i="1"/>
  <c r="CR34" i="1" s="1" a="1"/>
  <c r="CR34" i="1" s="1"/>
  <c r="CL34" i="1"/>
  <c r="CS34" i="1" s="1" a="1"/>
  <c r="CS34" i="1" s="1"/>
  <c r="CM34" i="1"/>
  <c r="CT34" i="1" s="1" a="1"/>
  <c r="CT34" i="1" s="1"/>
  <c r="CK26" i="1"/>
  <c r="CR26" i="1" s="1" a="1"/>
  <c r="CR26" i="1" s="1"/>
  <c r="CM26" i="1"/>
  <c r="CT26" i="1" s="1" a="1"/>
  <c r="CT26" i="1" s="1"/>
  <c r="CL26" i="1"/>
  <c r="CS26" i="1" s="1" a="1"/>
  <c r="CS26" i="1" s="1"/>
  <c r="CM18" i="1"/>
  <c r="CT18" i="1" s="1" a="1"/>
  <c r="CT18" i="1" s="1"/>
  <c r="CL18" i="1"/>
  <c r="CS18" i="1" s="1" a="1"/>
  <c r="CS18" i="1" s="1"/>
  <c r="CK9" i="1"/>
  <c r="CR9" i="1" s="1" a="1"/>
  <c r="CR9" i="1" s="1"/>
  <c r="CM9" i="1"/>
  <c r="CT9" i="1" s="1" a="1"/>
  <c r="CT9" i="1" s="1"/>
  <c r="CL9" i="1"/>
  <c r="CS9" i="1" s="1" a="1"/>
  <c r="CS9" i="1" s="1"/>
  <c r="CQ2" i="1"/>
  <c r="CV2" i="1" s="1" a="1"/>
  <c r="CV2" i="1" s="1"/>
  <c r="CP2" i="1"/>
  <c r="CU2" i="1" s="1" a="1"/>
  <c r="CU2" i="1" s="1"/>
  <c r="CP564" i="1"/>
  <c r="CU564" i="1" s="1" a="1"/>
  <c r="CU564" i="1" s="1"/>
  <c r="CQ564" i="1"/>
  <c r="CV564" i="1" s="1" a="1"/>
  <c r="CV564" i="1" s="1"/>
  <c r="CQ554" i="1"/>
  <c r="CV554" i="1" s="1" a="1"/>
  <c r="CV554" i="1" s="1"/>
  <c r="CP554" i="1"/>
  <c r="CU554" i="1" s="1" a="1"/>
  <c r="CU554" i="1" s="1"/>
  <c r="CP546" i="1"/>
  <c r="CU546" i="1" s="1" a="1"/>
  <c r="CU546" i="1" s="1"/>
  <c r="CQ546" i="1"/>
  <c r="CV546" i="1" s="1" a="1"/>
  <c r="CV546" i="1" s="1"/>
  <c r="CP538" i="1"/>
  <c r="CU538" i="1" s="1" a="1"/>
  <c r="CU538" i="1" s="1"/>
  <c r="CQ538" i="1"/>
  <c r="CV538" i="1" s="1" a="1"/>
  <c r="CV538" i="1" s="1"/>
  <c r="CQ529" i="1"/>
  <c r="CV529" i="1" s="1" a="1"/>
  <c r="CV529" i="1" s="1"/>
  <c r="CP529" i="1"/>
  <c r="CU529" i="1" s="1" a="1"/>
  <c r="CU529" i="1" s="1"/>
  <c r="CQ521" i="1"/>
  <c r="CV521" i="1" s="1" a="1"/>
  <c r="CV521" i="1" s="1"/>
  <c r="CP521" i="1"/>
  <c r="CU521" i="1" s="1" a="1"/>
  <c r="CU521" i="1" s="1"/>
  <c r="CQ511" i="1"/>
  <c r="CV511" i="1" s="1" a="1"/>
  <c r="CV511" i="1" s="1"/>
  <c r="CP511" i="1"/>
  <c r="CU511" i="1" s="1" a="1"/>
  <c r="CU511" i="1" s="1"/>
  <c r="CQ503" i="1"/>
  <c r="CV503" i="1" s="1" a="1"/>
  <c r="CV503" i="1" s="1"/>
  <c r="CP503" i="1"/>
  <c r="CU503" i="1" s="1" a="1"/>
  <c r="CU503" i="1" s="1"/>
  <c r="CQ493" i="1"/>
  <c r="CV493" i="1" s="1" a="1"/>
  <c r="CV493" i="1" s="1"/>
  <c r="CP493" i="1"/>
  <c r="CU493" i="1" s="1" a="1"/>
  <c r="CU493" i="1" s="1"/>
  <c r="CQ484" i="1"/>
  <c r="CV484" i="1" s="1" a="1"/>
  <c r="CV484" i="1" s="1"/>
  <c r="CP484" i="1"/>
  <c r="CU484" i="1" s="1" a="1"/>
  <c r="CU484" i="1" s="1"/>
  <c r="CQ476" i="1"/>
  <c r="CV476" i="1" s="1" a="1"/>
  <c r="CV476" i="1" s="1"/>
  <c r="CP476" i="1"/>
  <c r="CU476" i="1" s="1" a="1"/>
  <c r="CU476" i="1" s="1"/>
  <c r="CQ468" i="1"/>
  <c r="CV468" i="1" s="1" a="1"/>
  <c r="CV468" i="1" s="1"/>
  <c r="CP468" i="1"/>
  <c r="CU468" i="1" s="1" a="1"/>
  <c r="CU468" i="1" s="1"/>
  <c r="CQ459" i="1"/>
  <c r="CV459" i="1" s="1" a="1"/>
  <c r="CV459" i="1" s="1"/>
  <c r="CP459" i="1"/>
  <c r="CU459" i="1" s="1" a="1"/>
  <c r="CU459" i="1" s="1"/>
  <c r="CQ451" i="1"/>
  <c r="CV451" i="1" s="1" a="1"/>
  <c r="CV451" i="1" s="1"/>
  <c r="CP451" i="1"/>
  <c r="CU451" i="1" s="1" a="1"/>
  <c r="CU451" i="1" s="1"/>
  <c r="CQ443" i="1"/>
  <c r="CV443" i="1" s="1" a="1"/>
  <c r="CV443" i="1" s="1"/>
  <c r="CP443" i="1"/>
  <c r="CU443" i="1" s="1" a="1"/>
  <c r="CU443" i="1" s="1"/>
  <c r="CQ431" i="1"/>
  <c r="CV431" i="1" s="1" a="1"/>
  <c r="CV431" i="1" s="1"/>
  <c r="CP431" i="1"/>
  <c r="CU431" i="1" s="1" a="1"/>
  <c r="CU431" i="1" s="1"/>
  <c r="CQ422" i="1"/>
  <c r="CV422" i="1" s="1" a="1"/>
  <c r="CV422" i="1" s="1"/>
  <c r="CP422" i="1"/>
  <c r="CU422" i="1" s="1" a="1"/>
  <c r="CU422" i="1" s="1"/>
  <c r="CQ414" i="1"/>
  <c r="CV414" i="1" s="1" a="1"/>
  <c r="CV414" i="1" s="1"/>
  <c r="CP414" i="1"/>
  <c r="CU414" i="1" s="1" a="1"/>
  <c r="CU414" i="1" s="1"/>
  <c r="CQ401" i="1"/>
  <c r="CV401" i="1" s="1" a="1"/>
  <c r="CV401" i="1" s="1"/>
  <c r="CP401" i="1"/>
  <c r="CU401" i="1" s="1" a="1"/>
  <c r="CU401" i="1" s="1"/>
  <c r="CQ393" i="1"/>
  <c r="CV393" i="1" s="1" a="1"/>
  <c r="CV393" i="1" s="1"/>
  <c r="CP393" i="1"/>
  <c r="CU393" i="1" s="1" a="1"/>
  <c r="CU393" i="1" s="1"/>
  <c r="CQ384" i="1"/>
  <c r="CV384" i="1" s="1" a="1"/>
  <c r="CV384" i="1" s="1"/>
  <c r="CP384" i="1"/>
  <c r="CU384" i="1" s="1" a="1"/>
  <c r="CU384" i="1" s="1"/>
  <c r="CQ376" i="1"/>
  <c r="CV376" i="1" s="1" a="1"/>
  <c r="CV376" i="1" s="1"/>
  <c r="CP376" i="1"/>
  <c r="CU376" i="1" s="1" a="1"/>
  <c r="CU376" i="1" s="1"/>
  <c r="CP367" i="1"/>
  <c r="CU367" i="1" s="1" a="1"/>
  <c r="CU367" i="1" s="1"/>
  <c r="CQ367" i="1"/>
  <c r="CV367" i="1" s="1" a="1"/>
  <c r="CV367" i="1" s="1"/>
  <c r="CP358" i="1"/>
  <c r="CU358" i="1" s="1" a="1"/>
  <c r="CU358" i="1" s="1"/>
  <c r="CQ358" i="1"/>
  <c r="CV358" i="1" s="1" a="1"/>
  <c r="CV358" i="1" s="1"/>
  <c r="CQ349" i="1"/>
  <c r="CV349" i="1" s="1" a="1"/>
  <c r="CV349" i="1" s="1"/>
  <c r="CP349" i="1"/>
  <c r="CU349" i="1" s="1" a="1"/>
  <c r="CU349" i="1" s="1"/>
  <c r="CQ341" i="1"/>
  <c r="CV341" i="1" s="1" a="1"/>
  <c r="CV341" i="1" s="1"/>
  <c r="CP341" i="1"/>
  <c r="CU341" i="1" s="1" a="1"/>
  <c r="CU341" i="1" s="1"/>
  <c r="CQ329" i="1"/>
  <c r="CV329" i="1" s="1" a="1"/>
  <c r="CV329" i="1" s="1"/>
  <c r="CP329" i="1"/>
  <c r="CU329" i="1" s="1" a="1"/>
  <c r="CU329" i="1" s="1"/>
  <c r="CQ320" i="1"/>
  <c r="CV320" i="1" s="1" a="1"/>
  <c r="CV320" i="1" s="1"/>
  <c r="CP320" i="1"/>
  <c r="CU320" i="1" s="1" a="1"/>
  <c r="CU320" i="1" s="1"/>
  <c r="CQ309" i="1"/>
  <c r="CV309" i="1" s="1" a="1"/>
  <c r="CV309" i="1" s="1"/>
  <c r="CP309" i="1"/>
  <c r="CU309" i="1" s="1" a="1"/>
  <c r="CU309" i="1" s="1"/>
  <c r="CQ300" i="1"/>
  <c r="CV300" i="1" s="1" a="1"/>
  <c r="CV300" i="1" s="1"/>
  <c r="CP300" i="1"/>
  <c r="CU300" i="1" s="1" a="1"/>
  <c r="CU300" i="1" s="1"/>
  <c r="CQ291" i="1"/>
  <c r="CV291" i="1" s="1" a="1"/>
  <c r="CV291" i="1" s="1"/>
  <c r="CP291" i="1"/>
  <c r="CU291" i="1" s="1" a="1"/>
  <c r="CU291" i="1" s="1"/>
  <c r="CQ283" i="1"/>
  <c r="CV283" i="1" s="1" a="1"/>
  <c r="CV283" i="1" s="1"/>
  <c r="CP283" i="1"/>
  <c r="CU283" i="1" s="1" a="1"/>
  <c r="CU283" i="1" s="1"/>
  <c r="CQ273" i="1"/>
  <c r="CV273" i="1" s="1" a="1"/>
  <c r="CV273" i="1" s="1"/>
  <c r="CP273" i="1"/>
  <c r="CU273" i="1" s="1" a="1"/>
  <c r="CU273" i="1" s="1"/>
  <c r="CQ264" i="1"/>
  <c r="CV264" i="1" s="1" a="1"/>
  <c r="CV264" i="1" s="1"/>
  <c r="CP264" i="1"/>
  <c r="CU264" i="1" s="1" a="1"/>
  <c r="CU264" i="1" s="1"/>
  <c r="CQ253" i="1"/>
  <c r="CV253" i="1" s="1" a="1"/>
  <c r="CV253" i="1" s="1"/>
  <c r="CP253" i="1"/>
  <c r="CU253" i="1" s="1" a="1"/>
  <c r="CU253" i="1" s="1"/>
  <c r="CQ244" i="1"/>
  <c r="CV244" i="1" s="1" a="1"/>
  <c r="CV244" i="1" s="1"/>
  <c r="CP244" i="1"/>
  <c r="CU244" i="1" s="1" a="1"/>
  <c r="CU244" i="1" s="1"/>
  <c r="CQ236" i="1"/>
  <c r="CV236" i="1" s="1" a="1"/>
  <c r="CV236" i="1" s="1"/>
  <c r="CP236" i="1"/>
  <c r="CU236" i="1" s="1" a="1"/>
  <c r="CU236" i="1" s="1"/>
  <c r="CQ227" i="1"/>
  <c r="CV227" i="1" s="1" a="1"/>
  <c r="CV227" i="1" s="1"/>
  <c r="CP227" i="1"/>
  <c r="CU227" i="1" s="1" a="1"/>
  <c r="CU227" i="1" s="1"/>
  <c r="CQ219" i="1"/>
  <c r="CV219" i="1" s="1" a="1"/>
  <c r="CV219" i="1" s="1"/>
  <c r="CP219" i="1"/>
  <c r="CU219" i="1" s="1" a="1"/>
  <c r="CU219" i="1" s="1"/>
  <c r="CQ211" i="1"/>
  <c r="CV211" i="1" s="1" a="1"/>
  <c r="CV211" i="1" s="1"/>
  <c r="CP211" i="1"/>
  <c r="CU211" i="1" s="1" a="1"/>
  <c r="CU211" i="1" s="1"/>
  <c r="CQ201" i="1"/>
  <c r="CV201" i="1" s="1" a="1"/>
  <c r="CV201" i="1" s="1"/>
  <c r="CP201" i="1"/>
  <c r="CU201" i="1" s="1" a="1"/>
  <c r="CU201" i="1" s="1"/>
  <c r="CQ191" i="1"/>
  <c r="CV191" i="1" s="1" a="1"/>
  <c r="CV191" i="1" s="1"/>
  <c r="CP191" i="1"/>
  <c r="CU191" i="1" s="1" a="1"/>
  <c r="CU191" i="1" s="1"/>
  <c r="CP182" i="1"/>
  <c r="CU182" i="1" s="1" a="1"/>
  <c r="CU182" i="1" s="1"/>
  <c r="CQ182" i="1"/>
  <c r="CV182" i="1" s="1" a="1"/>
  <c r="CV182" i="1" s="1"/>
  <c r="CQ171" i="1"/>
  <c r="CV171" i="1" s="1" a="1"/>
  <c r="CV171" i="1" s="1"/>
  <c r="CP171" i="1"/>
  <c r="CU171" i="1" s="1" a="1"/>
  <c r="CU171" i="1" s="1"/>
  <c r="CQ161" i="1"/>
  <c r="CV161" i="1" s="1" a="1"/>
  <c r="CV161" i="1" s="1"/>
  <c r="CP161" i="1"/>
  <c r="CU161" i="1" s="1" a="1"/>
  <c r="CU161" i="1" s="1"/>
  <c r="CP150" i="1"/>
  <c r="CU150" i="1" s="1" a="1"/>
  <c r="CU150" i="1" s="1"/>
  <c r="CQ150" i="1"/>
  <c r="CV150" i="1" s="1" a="1"/>
  <c r="CV150" i="1" s="1"/>
  <c r="CP142" i="1"/>
  <c r="CU142" i="1" s="1" a="1"/>
  <c r="CU142" i="1" s="1"/>
  <c r="CQ142" i="1"/>
  <c r="CV142" i="1" s="1" a="1"/>
  <c r="CV142" i="1" s="1"/>
  <c r="CQ134" i="1"/>
  <c r="CV134" i="1" s="1" a="1"/>
  <c r="CV134" i="1" s="1"/>
  <c r="CP134" i="1"/>
  <c r="CU134" i="1" s="1" a="1"/>
  <c r="CU134" i="1" s="1"/>
  <c r="CQ125" i="1"/>
  <c r="CV125" i="1" s="1" a="1"/>
  <c r="CV125" i="1" s="1"/>
  <c r="CP125" i="1"/>
  <c r="CU125" i="1" s="1" a="1"/>
  <c r="CU125" i="1" s="1"/>
  <c r="CQ116" i="1"/>
  <c r="CV116" i="1" s="1" a="1"/>
  <c r="CV116" i="1" s="1"/>
  <c r="CP116" i="1"/>
  <c r="CU116" i="1" s="1" a="1"/>
  <c r="CU116" i="1" s="1"/>
  <c r="CQ106" i="1"/>
  <c r="CV106" i="1" s="1" a="1"/>
  <c r="CV106" i="1" s="1"/>
  <c r="CP106" i="1"/>
  <c r="CU106" i="1" s="1" a="1"/>
  <c r="CU106" i="1" s="1"/>
  <c r="CQ98" i="1"/>
  <c r="CV98" i="1" s="1" a="1"/>
  <c r="CV98" i="1" s="1"/>
  <c r="CP98" i="1"/>
  <c r="CU98" i="1" s="1" a="1"/>
  <c r="CU98" i="1" s="1"/>
  <c r="CQ89" i="1"/>
  <c r="CV89" i="1" s="1" a="1"/>
  <c r="CV89" i="1" s="1"/>
  <c r="CP89" i="1"/>
  <c r="CU89" i="1" s="1" a="1"/>
  <c r="CU89" i="1" s="1"/>
  <c r="CQ81" i="1"/>
  <c r="CV81" i="1" s="1" a="1"/>
  <c r="CV81" i="1" s="1"/>
  <c r="CP81" i="1"/>
  <c r="CU81" i="1" s="1" a="1"/>
  <c r="CU81" i="1" s="1"/>
  <c r="CQ70" i="1"/>
  <c r="CV70" i="1" s="1" a="1"/>
  <c r="CV70" i="1" s="1"/>
  <c r="CP70" i="1"/>
  <c r="CU70" i="1" s="1" a="1"/>
  <c r="CU70" i="1" s="1"/>
  <c r="CP62" i="1"/>
  <c r="CU62" i="1" s="1" a="1"/>
  <c r="CU62" i="1" s="1"/>
  <c r="CQ62" i="1"/>
  <c r="CV62" i="1" s="1" a="1"/>
  <c r="CV62" i="1" s="1"/>
  <c r="CQ53" i="1"/>
  <c r="CV53" i="1" s="1" a="1"/>
  <c r="CV53" i="1" s="1"/>
  <c r="CP53" i="1"/>
  <c r="CU53" i="1" s="1" a="1"/>
  <c r="CU53" i="1" s="1"/>
  <c r="CQ44" i="1"/>
  <c r="CV44" i="1" s="1" a="1"/>
  <c r="CV44" i="1" s="1"/>
  <c r="CP44" i="1"/>
  <c r="CU44" i="1" s="1" a="1"/>
  <c r="CU44" i="1" s="1"/>
  <c r="CQ36" i="1"/>
  <c r="CV36" i="1" s="1" a="1"/>
  <c r="CV36" i="1" s="1"/>
  <c r="CP36" i="1"/>
  <c r="CU36" i="1" s="1" a="1"/>
  <c r="CU36" i="1" s="1"/>
  <c r="CQ28" i="1"/>
  <c r="CV28" i="1" s="1" a="1"/>
  <c r="CV28" i="1" s="1"/>
  <c r="CP28" i="1"/>
  <c r="CU28" i="1" s="1" a="1"/>
  <c r="CU28" i="1" s="1"/>
  <c r="CQ16" i="1"/>
  <c r="CV16" i="1" s="1" a="1"/>
  <c r="CV16" i="1" s="1"/>
  <c r="CP16" i="1"/>
  <c r="CU16" i="1" s="1" a="1"/>
  <c r="CU16" i="1" s="1"/>
  <c r="CQ7" i="1"/>
  <c r="CV7" i="1" s="1" a="1"/>
  <c r="CV7" i="1" s="1"/>
  <c r="CP7" i="1"/>
  <c r="CU7" i="1" s="1" a="1"/>
  <c r="CU7" i="1" s="1"/>
  <c r="CQ71" i="1"/>
  <c r="CV71" i="1" s="1" a="1"/>
  <c r="CV71" i="1" s="1"/>
  <c r="CP71" i="1"/>
  <c r="CU71" i="1" s="1" a="1"/>
  <c r="CU71" i="1" s="1"/>
  <c r="CP126" i="1"/>
  <c r="CU126" i="1" s="1" a="1"/>
  <c r="CU126" i="1" s="1"/>
  <c r="CQ126" i="1"/>
  <c r="CV126" i="1" s="1" a="1"/>
  <c r="CV126" i="1" s="1"/>
  <c r="CQ107" i="1"/>
  <c r="CV107" i="1" s="1" a="1"/>
  <c r="CV107" i="1" s="1"/>
  <c r="CP107" i="1"/>
  <c r="CU107" i="1" s="1" a="1"/>
  <c r="CU107" i="1" s="1"/>
  <c r="CQ82" i="1"/>
  <c r="CV82" i="1" s="1" a="1"/>
  <c r="CV82" i="1" s="1"/>
  <c r="CP82" i="1"/>
  <c r="CU82" i="1" s="1" a="1"/>
  <c r="CU82" i="1" s="1"/>
  <c r="CQ45" i="1"/>
  <c r="CV45" i="1" s="1" a="1"/>
  <c r="CV45" i="1" s="1"/>
  <c r="CP45" i="1"/>
  <c r="CU45" i="1" s="1" a="1"/>
  <c r="CU45" i="1" s="1"/>
  <c r="CQ17" i="1"/>
  <c r="CV17" i="1" s="1" a="1"/>
  <c r="CV17" i="1" s="1"/>
  <c r="CP17" i="1"/>
  <c r="CU17" i="1" s="1" a="1"/>
  <c r="CU17" i="1" s="1"/>
  <c r="CK553" i="1"/>
  <c r="CR553" i="1" s="1" a="1"/>
  <c r="CR553" i="1" s="1"/>
  <c r="CL553" i="1"/>
  <c r="CS553" i="1" s="1" a="1"/>
  <c r="CS553" i="1" s="1"/>
  <c r="CM553" i="1"/>
  <c r="CT553" i="1" s="1" a="1"/>
  <c r="CT553" i="1" s="1"/>
  <c r="CK529" i="1"/>
  <c r="CR529" i="1" s="1" a="1"/>
  <c r="CR529" i="1" s="1"/>
  <c r="CL529" i="1"/>
  <c r="CS529" i="1" s="1" a="1"/>
  <c r="CS529" i="1" s="1"/>
  <c r="CM529" i="1"/>
  <c r="CT529" i="1" s="1" a="1"/>
  <c r="CT529" i="1" s="1"/>
  <c r="CK505" i="1"/>
  <c r="CR505" i="1" s="1" a="1"/>
  <c r="CR505" i="1" s="1"/>
  <c r="CL505" i="1"/>
  <c r="CS505" i="1" s="1" a="1"/>
  <c r="CS505" i="1" s="1"/>
  <c r="CM505" i="1"/>
  <c r="CT505" i="1" s="1" a="1"/>
  <c r="CT505" i="1" s="1"/>
  <c r="CK481" i="1"/>
  <c r="CR481" i="1" s="1" a="1"/>
  <c r="CR481" i="1" s="1"/>
  <c r="CL481" i="1"/>
  <c r="CS481" i="1" s="1" a="1"/>
  <c r="CS481" i="1" s="1"/>
  <c r="CM481" i="1"/>
  <c r="CT481" i="1" s="1" a="1"/>
  <c r="CT481" i="1" s="1"/>
  <c r="CK457" i="1"/>
  <c r="CR457" i="1" s="1" a="1"/>
  <c r="CR457" i="1" s="1"/>
  <c r="CL457" i="1"/>
  <c r="CS457" i="1" s="1" a="1"/>
  <c r="CS457" i="1" s="1"/>
  <c r="CM457" i="1"/>
  <c r="CT457" i="1" s="1" a="1"/>
  <c r="CT457" i="1" s="1"/>
  <c r="CK433" i="1"/>
  <c r="CR433" i="1" s="1" a="1"/>
  <c r="CR433" i="1" s="1"/>
  <c r="CL433" i="1"/>
  <c r="CS433" i="1" s="1" a="1"/>
  <c r="CS433" i="1" s="1"/>
  <c r="CM433" i="1"/>
  <c r="CT433" i="1" s="1" a="1"/>
  <c r="CT433" i="1" s="1"/>
  <c r="CK409" i="1"/>
  <c r="CR409" i="1" s="1" a="1"/>
  <c r="CR409" i="1" s="1"/>
  <c r="CM409" i="1"/>
  <c r="CT409" i="1" s="1" a="1"/>
  <c r="CT409" i="1" s="1"/>
  <c r="CL409" i="1"/>
  <c r="CS409" i="1" s="1" a="1"/>
  <c r="CS409" i="1" s="1"/>
  <c r="CK385" i="1"/>
  <c r="CR385" i="1" s="1" a="1"/>
  <c r="CR385" i="1" s="1"/>
  <c r="CM385" i="1"/>
  <c r="CT385" i="1" s="1" a="1"/>
  <c r="CT385" i="1" s="1"/>
  <c r="CL385" i="1"/>
  <c r="CS385" i="1" s="1" a="1"/>
  <c r="CS385" i="1" s="1"/>
  <c r="CK361" i="1"/>
  <c r="CR361" i="1" s="1" a="1"/>
  <c r="CR361" i="1" s="1"/>
  <c r="CM361" i="1"/>
  <c r="CT361" i="1" s="1" a="1"/>
  <c r="CT361" i="1" s="1"/>
  <c r="CL361" i="1"/>
  <c r="CS361" i="1" s="1" a="1"/>
  <c r="CS361" i="1" s="1"/>
  <c r="CM337" i="1"/>
  <c r="CT337" i="1" s="1" a="1"/>
  <c r="CT337" i="1" s="1"/>
  <c r="CL337" i="1"/>
  <c r="CS337" i="1" s="1" a="1"/>
  <c r="CS337" i="1" s="1"/>
  <c r="CK329" i="1"/>
  <c r="CR329" i="1" s="1" a="1"/>
  <c r="CR329" i="1" s="1"/>
  <c r="CM329" i="1"/>
  <c r="CT329" i="1" s="1" a="1"/>
  <c r="CT329" i="1" s="1"/>
  <c r="CL329" i="1"/>
  <c r="CS329" i="1" s="1" a="1"/>
  <c r="CS329" i="1" s="1"/>
  <c r="CM305" i="1"/>
  <c r="CT305" i="1" s="1" a="1"/>
  <c r="CT305" i="1" s="1"/>
  <c r="CL305" i="1"/>
  <c r="CS305" i="1" s="1" a="1"/>
  <c r="CS305" i="1" s="1"/>
  <c r="CK281" i="1"/>
  <c r="CR281" i="1" s="1" a="1"/>
  <c r="CR281" i="1" s="1"/>
  <c r="CM281" i="1"/>
  <c r="CT281" i="1" s="1" a="1"/>
  <c r="CT281" i="1" s="1"/>
  <c r="CL281" i="1"/>
  <c r="CS281" i="1" s="1" a="1"/>
  <c r="CS281" i="1" s="1"/>
  <c r="CK257" i="1"/>
  <c r="CR257" i="1" s="1" a="1"/>
  <c r="CR257" i="1" s="1"/>
  <c r="CM257" i="1"/>
  <c r="CT257" i="1" s="1" a="1"/>
  <c r="CT257" i="1" s="1"/>
  <c r="CL257" i="1"/>
  <c r="CS257" i="1" s="1" a="1"/>
  <c r="CS257" i="1" s="1"/>
  <c r="CK233" i="1"/>
  <c r="CR233" i="1" s="1" a="1"/>
  <c r="CR233" i="1" s="1"/>
  <c r="CM233" i="1"/>
  <c r="CT233" i="1" s="1" a="1"/>
  <c r="CT233" i="1" s="1"/>
  <c r="CL233" i="1"/>
  <c r="CS233" i="1" s="1" a="1"/>
  <c r="CS233" i="1" s="1"/>
  <c r="CK201" i="1"/>
  <c r="CR201" i="1" s="1" a="1"/>
  <c r="CR201" i="1" s="1"/>
  <c r="CM201" i="1"/>
  <c r="CT201" i="1" s="1" a="1"/>
  <c r="CT201" i="1" s="1"/>
  <c r="CL201" i="1"/>
  <c r="CS201" i="1" s="1" a="1"/>
  <c r="CS201" i="1" s="1"/>
  <c r="CK177" i="1"/>
  <c r="CR177" i="1" s="1" a="1"/>
  <c r="CR177" i="1" s="1"/>
  <c r="CM177" i="1"/>
  <c r="CT177" i="1" s="1" a="1"/>
  <c r="CT177" i="1" s="1"/>
  <c r="CL177" i="1"/>
  <c r="CS177" i="1" s="1" a="1"/>
  <c r="CS177" i="1" s="1"/>
  <c r="CM153" i="1"/>
  <c r="CT153" i="1" s="1" a="1"/>
  <c r="CT153" i="1" s="1"/>
  <c r="CL153" i="1"/>
  <c r="CS153" i="1" s="1" a="1"/>
  <c r="CS153" i="1" s="1"/>
  <c r="CK129" i="1"/>
  <c r="CR129" i="1" s="1" a="1"/>
  <c r="CR129" i="1" s="1"/>
  <c r="CM129" i="1"/>
  <c r="CT129" i="1" s="1" a="1"/>
  <c r="CT129" i="1" s="1"/>
  <c r="CL129" i="1"/>
  <c r="CS129" i="1" s="1" a="1"/>
  <c r="CS129" i="1" s="1"/>
  <c r="CK113" i="1"/>
  <c r="CR113" i="1" s="1" a="1"/>
  <c r="CR113" i="1" s="1"/>
  <c r="CM113" i="1"/>
  <c r="CT113" i="1" s="1" a="1"/>
  <c r="CT113" i="1" s="1"/>
  <c r="CL113" i="1"/>
  <c r="CS113" i="1" s="1" a="1"/>
  <c r="CS113" i="1" s="1"/>
  <c r="CK89" i="1"/>
  <c r="CR89" i="1" s="1" a="1"/>
  <c r="CR89" i="1" s="1"/>
  <c r="CM89" i="1"/>
  <c r="CT89" i="1" s="1" a="1"/>
  <c r="CT89" i="1" s="1"/>
  <c r="CL89" i="1"/>
  <c r="CS89" i="1" s="1" a="1"/>
  <c r="CS89" i="1" s="1"/>
  <c r="CK65" i="1"/>
  <c r="CR65" i="1" s="1" a="1"/>
  <c r="CR65" i="1" s="1"/>
  <c r="CM65" i="1"/>
  <c r="CT65" i="1" s="1" a="1"/>
  <c r="CT65" i="1" s="1"/>
  <c r="CL65" i="1"/>
  <c r="CS65" i="1" s="1" a="1"/>
  <c r="CS65" i="1" s="1"/>
  <c r="CK41" i="1"/>
  <c r="CR41" i="1" s="1" a="1"/>
  <c r="CR41" i="1" s="1"/>
  <c r="CM41" i="1"/>
  <c r="CT41" i="1" s="1" a="1"/>
  <c r="CT41" i="1" s="1"/>
  <c r="CL41" i="1"/>
  <c r="CS41" i="1" s="1" a="1"/>
  <c r="CS41" i="1" s="1"/>
  <c r="CK17" i="1"/>
  <c r="CR17" i="1" s="1" a="1"/>
  <c r="CR17" i="1" s="1"/>
  <c r="CM17" i="1"/>
  <c r="CT17" i="1" s="1" a="1"/>
  <c r="CT17" i="1" s="1"/>
  <c r="CL17" i="1"/>
  <c r="CS17" i="1" s="1" a="1"/>
  <c r="CS17" i="1" s="1"/>
  <c r="CQ563" i="1"/>
  <c r="CV563" i="1" s="1" a="1"/>
  <c r="CV563" i="1" s="1"/>
  <c r="CP563" i="1"/>
  <c r="CU563" i="1" s="1" a="1"/>
  <c r="CU563" i="1" s="1"/>
  <c r="CP537" i="1"/>
  <c r="CU537" i="1" s="1" a="1"/>
  <c r="CU537" i="1" s="1"/>
  <c r="CQ537" i="1"/>
  <c r="CV537" i="1" s="1" a="1"/>
  <c r="CV537" i="1" s="1"/>
  <c r="CQ502" i="1"/>
  <c r="CV502" i="1" s="1" a="1"/>
  <c r="CV502" i="1" s="1"/>
  <c r="CP502" i="1"/>
  <c r="CU502" i="1" s="1" a="1"/>
  <c r="CU502" i="1" s="1"/>
  <c r="CQ483" i="1"/>
  <c r="CV483" i="1" s="1" a="1"/>
  <c r="CV483" i="1" s="1"/>
  <c r="CP483" i="1"/>
  <c r="CU483" i="1" s="1" a="1"/>
  <c r="CU483" i="1" s="1"/>
  <c r="CQ450" i="1"/>
  <c r="CV450" i="1" s="1" a="1"/>
  <c r="CV450" i="1" s="1"/>
  <c r="CP450" i="1"/>
  <c r="CU450" i="1" s="1" a="1"/>
  <c r="CU450" i="1" s="1"/>
  <c r="CQ421" i="1"/>
  <c r="CV421" i="1" s="1" a="1"/>
  <c r="CV421" i="1" s="1"/>
  <c r="CP421" i="1"/>
  <c r="CU421" i="1" s="1" a="1"/>
  <c r="CU421" i="1" s="1"/>
  <c r="CQ392" i="1"/>
  <c r="CV392" i="1" s="1" a="1"/>
  <c r="CV392" i="1" s="1"/>
  <c r="CP392" i="1"/>
  <c r="CU392" i="1" s="1" a="1"/>
  <c r="CU392" i="1" s="1"/>
  <c r="CQ357" i="1"/>
  <c r="CV357" i="1" s="1" a="1"/>
  <c r="CV357" i="1" s="1"/>
  <c r="CP357" i="1"/>
  <c r="CU357" i="1" s="1" a="1"/>
  <c r="CU357" i="1" s="1"/>
  <c r="CQ328" i="1"/>
  <c r="CV328" i="1" s="1" a="1"/>
  <c r="CV328" i="1" s="1"/>
  <c r="CP328" i="1"/>
  <c r="CU328" i="1" s="1" a="1"/>
  <c r="CU328" i="1" s="1"/>
  <c r="CQ299" i="1"/>
  <c r="CV299" i="1" s="1" a="1"/>
  <c r="CV299" i="1" s="1"/>
  <c r="CP299" i="1"/>
  <c r="CU299" i="1" s="1" a="1"/>
  <c r="CU299" i="1" s="1"/>
  <c r="CQ272" i="1"/>
  <c r="CV272" i="1" s="1" a="1"/>
  <c r="CV272" i="1" s="1"/>
  <c r="CP272" i="1"/>
  <c r="CU272" i="1" s="1" a="1"/>
  <c r="CU272" i="1" s="1"/>
  <c r="CQ243" i="1"/>
  <c r="CV243" i="1" s="1" a="1"/>
  <c r="CV243" i="1" s="1"/>
  <c r="CP243" i="1"/>
  <c r="CU243" i="1" s="1" a="1"/>
  <c r="CU243" i="1" s="1"/>
  <c r="CQ218" i="1"/>
  <c r="CV218" i="1" s="1" a="1"/>
  <c r="CV218" i="1" s="1"/>
  <c r="CP218" i="1"/>
  <c r="CU218" i="1" s="1" a="1"/>
  <c r="CU218" i="1" s="1"/>
  <c r="CQ200" i="1"/>
  <c r="CV200" i="1" s="1" a="1"/>
  <c r="CV200" i="1" s="1"/>
  <c r="CP200" i="1"/>
  <c r="CU200" i="1" s="1" a="1"/>
  <c r="CU200" i="1" s="1"/>
  <c r="CP133" i="1"/>
  <c r="CU133" i="1" s="1" a="1"/>
  <c r="CU133" i="1" s="1"/>
  <c r="CQ133" i="1"/>
  <c r="CV133" i="1" s="1" a="1"/>
  <c r="CV133" i="1" s="1"/>
  <c r="CK568" i="1"/>
  <c r="CR568" i="1" s="1" a="1"/>
  <c r="CR568" i="1" s="1"/>
  <c r="CM568" i="1"/>
  <c r="CT568" i="1" s="1" a="1"/>
  <c r="CT568" i="1" s="1"/>
  <c r="CL568" i="1"/>
  <c r="CS568" i="1" s="1" a="1"/>
  <c r="CS568" i="1" s="1"/>
  <c r="CK560" i="1"/>
  <c r="CR560" i="1" s="1" a="1"/>
  <c r="CR560" i="1" s="1"/>
  <c r="CM560" i="1"/>
  <c r="CT560" i="1" s="1" a="1"/>
  <c r="CT560" i="1" s="1"/>
  <c r="CL560" i="1"/>
  <c r="CS560" i="1" s="1" a="1"/>
  <c r="CS560" i="1" s="1"/>
  <c r="CK552" i="1"/>
  <c r="CR552" i="1" s="1" a="1"/>
  <c r="CR552" i="1" s="1"/>
  <c r="CM552" i="1"/>
  <c r="CT552" i="1" s="1" a="1"/>
  <c r="CT552" i="1" s="1"/>
  <c r="CL552" i="1"/>
  <c r="CS552" i="1" s="1" a="1"/>
  <c r="CS552" i="1" s="1"/>
  <c r="CK544" i="1"/>
  <c r="CR544" i="1" s="1" a="1"/>
  <c r="CR544" i="1" s="1"/>
  <c r="CM544" i="1"/>
  <c r="CT544" i="1" s="1" a="1"/>
  <c r="CT544" i="1" s="1"/>
  <c r="CL544" i="1"/>
  <c r="CS544" i="1" s="1" a="1"/>
  <c r="CS544" i="1" s="1"/>
  <c r="CK536" i="1"/>
  <c r="CR536" i="1" s="1" a="1"/>
  <c r="CR536" i="1" s="1"/>
  <c r="CM536" i="1"/>
  <c r="CT536" i="1" s="1" a="1"/>
  <c r="CT536" i="1" s="1"/>
  <c r="CL536" i="1"/>
  <c r="CS536" i="1" s="1" a="1"/>
  <c r="CS536" i="1" s="1"/>
  <c r="CK528" i="1"/>
  <c r="CR528" i="1" s="1" a="1"/>
  <c r="CR528" i="1" s="1"/>
  <c r="CM528" i="1"/>
  <c r="CT528" i="1" s="1" a="1"/>
  <c r="CT528" i="1" s="1"/>
  <c r="CL528" i="1"/>
  <c r="CS528" i="1" s="1" a="1"/>
  <c r="CS528" i="1" s="1"/>
  <c r="CK520" i="1"/>
  <c r="CR520" i="1" s="1" a="1"/>
  <c r="CR520" i="1" s="1"/>
  <c r="CM520" i="1"/>
  <c r="CT520" i="1" s="1" a="1"/>
  <c r="CT520" i="1" s="1"/>
  <c r="CL520" i="1"/>
  <c r="CS520" i="1" s="1" a="1"/>
  <c r="CS520" i="1" s="1"/>
  <c r="CK512" i="1"/>
  <c r="CR512" i="1" s="1" a="1"/>
  <c r="CR512" i="1" s="1"/>
  <c r="CM512" i="1"/>
  <c r="CT512" i="1" s="1" a="1"/>
  <c r="CT512" i="1" s="1"/>
  <c r="CL512" i="1"/>
  <c r="CS512" i="1" s="1" a="1"/>
  <c r="CS512" i="1" s="1"/>
  <c r="CK504" i="1"/>
  <c r="CR504" i="1" s="1" a="1"/>
  <c r="CR504" i="1" s="1"/>
  <c r="CM504" i="1"/>
  <c r="CT504" i="1" s="1" a="1"/>
  <c r="CT504" i="1" s="1"/>
  <c r="CL504" i="1"/>
  <c r="CS504" i="1" s="1" a="1"/>
  <c r="CS504" i="1" s="1"/>
  <c r="CK496" i="1"/>
  <c r="CR496" i="1" s="1" a="1"/>
  <c r="CR496" i="1" s="1"/>
  <c r="CM496" i="1"/>
  <c r="CT496" i="1" s="1" a="1"/>
  <c r="CT496" i="1" s="1"/>
  <c r="CL496" i="1"/>
  <c r="CS496" i="1" s="1" a="1"/>
  <c r="CS496" i="1" s="1"/>
  <c r="CK488" i="1"/>
  <c r="CR488" i="1" s="1" a="1"/>
  <c r="CR488" i="1" s="1"/>
  <c r="CL488" i="1"/>
  <c r="CS488" i="1" s="1" a="1"/>
  <c r="CS488" i="1" s="1"/>
  <c r="CM488" i="1"/>
  <c r="CT488" i="1" s="1" a="1"/>
  <c r="CT488" i="1" s="1"/>
  <c r="CK480" i="1"/>
  <c r="CR480" i="1" s="1" a="1"/>
  <c r="CR480" i="1" s="1"/>
  <c r="CM480" i="1"/>
  <c r="CT480" i="1" s="1" a="1"/>
  <c r="CT480" i="1" s="1"/>
  <c r="CL480" i="1"/>
  <c r="CS480" i="1" s="1" a="1"/>
  <c r="CS480" i="1" s="1"/>
  <c r="CK472" i="1"/>
  <c r="CR472" i="1" s="1" a="1"/>
  <c r="CR472" i="1" s="1"/>
  <c r="CM472" i="1"/>
  <c r="CT472" i="1" s="1" a="1"/>
  <c r="CT472" i="1" s="1"/>
  <c r="CL472" i="1"/>
  <c r="CS472" i="1" s="1" a="1"/>
  <c r="CS472" i="1" s="1"/>
  <c r="CK464" i="1"/>
  <c r="CR464" i="1" s="1" a="1"/>
  <c r="CR464" i="1" s="1"/>
  <c r="CM464" i="1"/>
  <c r="CT464" i="1" s="1" a="1"/>
  <c r="CT464" i="1" s="1"/>
  <c r="CL464" i="1"/>
  <c r="CS464" i="1" s="1" a="1"/>
  <c r="CS464" i="1" s="1"/>
  <c r="CK456" i="1"/>
  <c r="CR456" i="1" s="1" a="1"/>
  <c r="CR456" i="1" s="1"/>
  <c r="CM456" i="1"/>
  <c r="CT456" i="1" s="1" a="1"/>
  <c r="CT456" i="1" s="1"/>
  <c r="CL456" i="1"/>
  <c r="CS456" i="1" s="1" a="1"/>
  <c r="CS456" i="1" s="1"/>
  <c r="CK448" i="1"/>
  <c r="CR448" i="1" s="1" a="1"/>
  <c r="CR448" i="1" s="1"/>
  <c r="CM448" i="1"/>
  <c r="CT448" i="1" s="1" a="1"/>
  <c r="CT448" i="1" s="1"/>
  <c r="CL448" i="1"/>
  <c r="CS448" i="1" s="1" a="1"/>
  <c r="CS448" i="1" s="1"/>
  <c r="CK440" i="1"/>
  <c r="CR440" i="1" s="1" a="1"/>
  <c r="CR440" i="1" s="1"/>
  <c r="CM440" i="1"/>
  <c r="CT440" i="1" s="1" a="1"/>
  <c r="CT440" i="1" s="1"/>
  <c r="CL440" i="1"/>
  <c r="CS440" i="1" s="1" a="1"/>
  <c r="CS440" i="1" s="1"/>
  <c r="CM432" i="1"/>
  <c r="CT432" i="1" s="1" a="1"/>
  <c r="CT432" i="1" s="1"/>
  <c r="CL432" i="1"/>
  <c r="CS432" i="1" s="1" a="1"/>
  <c r="CS432" i="1" s="1"/>
  <c r="CK424" i="1"/>
  <c r="CR424" i="1" s="1" a="1"/>
  <c r="CR424" i="1" s="1"/>
  <c r="CM424" i="1"/>
  <c r="CT424" i="1" s="1" a="1"/>
  <c r="CT424" i="1" s="1"/>
  <c r="CL424" i="1"/>
  <c r="CS424" i="1" s="1" a="1"/>
  <c r="CS424" i="1" s="1"/>
  <c r="CK416" i="1"/>
  <c r="CR416" i="1" s="1" a="1"/>
  <c r="CR416" i="1" s="1"/>
  <c r="CM416" i="1"/>
  <c r="CT416" i="1" s="1" a="1"/>
  <c r="CT416" i="1" s="1"/>
  <c r="CL416" i="1"/>
  <c r="CS416" i="1" s="1" a="1"/>
  <c r="CS416" i="1" s="1"/>
  <c r="CL408" i="1"/>
  <c r="CS408" i="1" s="1" a="1"/>
  <c r="CS408" i="1" s="1"/>
  <c r="CM408" i="1"/>
  <c r="CT408" i="1" s="1" a="1"/>
  <c r="CT408" i="1" s="1"/>
  <c r="CK400" i="1"/>
  <c r="CR400" i="1" s="1" a="1"/>
  <c r="CR400" i="1" s="1"/>
  <c r="CM400" i="1"/>
  <c r="CT400" i="1" s="1" a="1"/>
  <c r="CT400" i="1" s="1"/>
  <c r="CL400" i="1"/>
  <c r="CS400" i="1" s="1" a="1"/>
  <c r="CS400" i="1" s="1"/>
  <c r="CK392" i="1"/>
  <c r="CR392" i="1" s="1" a="1"/>
  <c r="CR392" i="1" s="1"/>
  <c r="CM392" i="1"/>
  <c r="CT392" i="1" s="1" a="1"/>
  <c r="CT392" i="1" s="1"/>
  <c r="CL392" i="1"/>
  <c r="CS392" i="1" s="1" a="1"/>
  <c r="CS392" i="1" s="1"/>
  <c r="CK384" i="1"/>
  <c r="CR384" i="1" s="1" a="1"/>
  <c r="CR384" i="1" s="1"/>
  <c r="CL384" i="1"/>
  <c r="CS384" i="1" s="1" a="1"/>
  <c r="CS384" i="1" s="1"/>
  <c r="CM384" i="1"/>
  <c r="CT384" i="1" s="1" a="1"/>
  <c r="CT384" i="1" s="1"/>
  <c r="CK376" i="1"/>
  <c r="CR376" i="1" s="1" a="1"/>
  <c r="CR376" i="1" s="1"/>
  <c r="CM376" i="1"/>
  <c r="CT376" i="1" s="1" a="1"/>
  <c r="CT376" i="1" s="1"/>
  <c r="CL376" i="1"/>
  <c r="CS376" i="1" s="1" a="1"/>
  <c r="CS376" i="1" s="1"/>
  <c r="CK368" i="1"/>
  <c r="CR368" i="1" s="1" a="1"/>
  <c r="CR368" i="1" s="1"/>
  <c r="CM368" i="1"/>
  <c r="CT368" i="1" s="1" a="1"/>
  <c r="CT368" i="1" s="1"/>
  <c r="CL368" i="1"/>
  <c r="CS368" i="1" s="1" a="1"/>
  <c r="CS368" i="1" s="1"/>
  <c r="CM360" i="1"/>
  <c r="CT360" i="1" s="1" a="1"/>
  <c r="CT360" i="1" s="1"/>
  <c r="CL360" i="1"/>
  <c r="CS360" i="1" s="1" a="1"/>
  <c r="CS360" i="1" s="1"/>
  <c r="CM352" i="1"/>
  <c r="CT352" i="1" s="1" a="1"/>
  <c r="CT352" i="1" s="1"/>
  <c r="CL352" i="1"/>
  <c r="CS352" i="1" s="1" a="1"/>
  <c r="CS352" i="1" s="1"/>
  <c r="CK344" i="1"/>
  <c r="CR344" i="1" s="1" a="1"/>
  <c r="CR344" i="1" s="1"/>
  <c r="CL344" i="1"/>
  <c r="CS344" i="1" s="1" a="1"/>
  <c r="CS344" i="1" s="1"/>
  <c r="CM344" i="1"/>
  <c r="CT344" i="1" s="1" a="1"/>
  <c r="CT344" i="1" s="1"/>
  <c r="CM336" i="1"/>
  <c r="CT336" i="1" s="1" a="1"/>
  <c r="CT336" i="1" s="1"/>
  <c r="CL336" i="1"/>
  <c r="CS336" i="1" s="1" a="1"/>
  <c r="CS336" i="1" s="1"/>
  <c r="CK328" i="1"/>
  <c r="CR328" i="1" s="1" a="1"/>
  <c r="CR328" i="1" s="1"/>
  <c r="CM328" i="1"/>
  <c r="CT328" i="1" s="1" a="1"/>
  <c r="CT328" i="1" s="1"/>
  <c r="CL328" i="1"/>
  <c r="CS328" i="1" s="1" a="1"/>
  <c r="CS328" i="1" s="1"/>
  <c r="CK320" i="1"/>
  <c r="CR320" i="1" s="1" a="1"/>
  <c r="CR320" i="1" s="1"/>
  <c r="CM320" i="1"/>
  <c r="CT320" i="1" s="1" a="1"/>
  <c r="CT320" i="1" s="1"/>
  <c r="CL320" i="1"/>
  <c r="CS320" i="1" s="1" a="1"/>
  <c r="CS320" i="1" s="1"/>
  <c r="CK312" i="1"/>
  <c r="CR312" i="1" s="1" a="1"/>
  <c r="CR312" i="1" s="1"/>
  <c r="CM312" i="1"/>
  <c r="CT312" i="1" s="1" a="1"/>
  <c r="CT312" i="1" s="1"/>
  <c r="CL312" i="1"/>
  <c r="CS312" i="1" s="1" a="1"/>
  <c r="CS312" i="1" s="1"/>
  <c r="CK304" i="1"/>
  <c r="CR304" i="1" s="1" a="1"/>
  <c r="CR304" i="1" s="1"/>
  <c r="CM304" i="1"/>
  <c r="CT304" i="1" s="1" a="1"/>
  <c r="CT304" i="1" s="1"/>
  <c r="CL304" i="1"/>
  <c r="CS304" i="1" s="1" a="1"/>
  <c r="CS304" i="1" s="1"/>
  <c r="CK296" i="1"/>
  <c r="CR296" i="1" s="1" a="1"/>
  <c r="CR296" i="1" s="1"/>
  <c r="CM296" i="1"/>
  <c r="CT296" i="1" s="1" a="1"/>
  <c r="CT296" i="1" s="1"/>
  <c r="CL296" i="1"/>
  <c r="CS296" i="1" s="1" a="1"/>
  <c r="CS296" i="1" s="1"/>
  <c r="CK288" i="1"/>
  <c r="CR288" i="1" s="1" a="1"/>
  <c r="CR288" i="1" s="1"/>
  <c r="CM288" i="1"/>
  <c r="CT288" i="1" s="1" a="1"/>
  <c r="CT288" i="1" s="1"/>
  <c r="CL288" i="1"/>
  <c r="CS288" i="1" s="1" a="1"/>
  <c r="CS288" i="1" s="1"/>
  <c r="CM280" i="1"/>
  <c r="CT280" i="1" s="1" a="1"/>
  <c r="CT280" i="1" s="1"/>
  <c r="CL280" i="1"/>
  <c r="CS280" i="1" s="1" a="1"/>
  <c r="CS280" i="1" s="1"/>
  <c r="CK272" i="1"/>
  <c r="CR272" i="1" s="1" a="1"/>
  <c r="CR272" i="1" s="1"/>
  <c r="CM272" i="1"/>
  <c r="CT272" i="1" s="1" a="1"/>
  <c r="CT272" i="1" s="1"/>
  <c r="CL272" i="1"/>
  <c r="CS272" i="1" s="1" a="1"/>
  <c r="CS272" i="1" s="1"/>
  <c r="CK264" i="1"/>
  <c r="CR264" i="1" s="1" a="1"/>
  <c r="CR264" i="1" s="1"/>
  <c r="CM264" i="1"/>
  <c r="CT264" i="1" s="1" a="1"/>
  <c r="CT264" i="1" s="1"/>
  <c r="CL264" i="1"/>
  <c r="CS264" i="1" s="1" a="1"/>
  <c r="CS264" i="1" s="1"/>
  <c r="CK256" i="1"/>
  <c r="CR256" i="1" s="1" a="1"/>
  <c r="CR256" i="1" s="1"/>
  <c r="CM256" i="1"/>
  <c r="CT256" i="1" s="1" a="1"/>
  <c r="CT256" i="1" s="1"/>
  <c r="CL256" i="1"/>
  <c r="CS256" i="1" s="1" a="1"/>
  <c r="CS256" i="1" s="1"/>
  <c r="CK248" i="1"/>
  <c r="CR248" i="1" s="1" a="1"/>
  <c r="CR248" i="1" s="1"/>
  <c r="CM248" i="1"/>
  <c r="CT248" i="1" s="1" a="1"/>
  <c r="CT248" i="1" s="1"/>
  <c r="CL248" i="1"/>
  <c r="CS248" i="1" s="1" a="1"/>
  <c r="CS248" i="1" s="1"/>
  <c r="CK240" i="1"/>
  <c r="CR240" i="1" s="1" a="1"/>
  <c r="CR240" i="1" s="1"/>
  <c r="CM240" i="1"/>
  <c r="CT240" i="1" s="1" a="1"/>
  <c r="CT240" i="1" s="1"/>
  <c r="CL240" i="1"/>
  <c r="CS240" i="1" s="1" a="1"/>
  <c r="CS240" i="1" s="1"/>
  <c r="CK232" i="1"/>
  <c r="CR232" i="1" s="1" a="1"/>
  <c r="CR232" i="1" s="1"/>
  <c r="CM232" i="1"/>
  <c r="CT232" i="1" s="1" a="1"/>
  <c r="CT232" i="1" s="1"/>
  <c r="CL232" i="1"/>
  <c r="CS232" i="1" s="1" a="1"/>
  <c r="CS232" i="1" s="1"/>
  <c r="CK224" i="1"/>
  <c r="CR224" i="1" s="1" a="1"/>
  <c r="CR224" i="1" s="1"/>
  <c r="CM224" i="1"/>
  <c r="CT224" i="1" s="1" a="1"/>
  <c r="CT224" i="1" s="1"/>
  <c r="CL224" i="1"/>
  <c r="CS224" i="1" s="1" a="1"/>
  <c r="CS224" i="1" s="1"/>
  <c r="CK216" i="1"/>
  <c r="CR216" i="1" s="1" a="1"/>
  <c r="CR216" i="1" s="1"/>
  <c r="CM216" i="1"/>
  <c r="CT216" i="1" s="1" a="1"/>
  <c r="CT216" i="1" s="1"/>
  <c r="CL216" i="1"/>
  <c r="CS216" i="1" s="1" a="1"/>
  <c r="CS216" i="1" s="1"/>
  <c r="CK208" i="1"/>
  <c r="CR208" i="1" s="1" a="1"/>
  <c r="CR208" i="1" s="1"/>
  <c r="CM208" i="1"/>
  <c r="CT208" i="1" s="1" a="1"/>
  <c r="CT208" i="1" s="1"/>
  <c r="CL208" i="1"/>
  <c r="CS208" i="1" s="1" a="1"/>
  <c r="CS208" i="1" s="1"/>
  <c r="CK200" i="1"/>
  <c r="CR200" i="1" s="1" a="1"/>
  <c r="CR200" i="1" s="1"/>
  <c r="CM200" i="1"/>
  <c r="CT200" i="1" s="1" a="1"/>
  <c r="CT200" i="1" s="1"/>
  <c r="CL200" i="1"/>
  <c r="CS200" i="1" s="1" a="1"/>
  <c r="CS200" i="1" s="1"/>
  <c r="CK192" i="1"/>
  <c r="CR192" i="1" s="1" a="1"/>
  <c r="CR192" i="1" s="1"/>
  <c r="CL192" i="1"/>
  <c r="CS192" i="1" s="1" a="1"/>
  <c r="CS192" i="1" s="1"/>
  <c r="CM192" i="1"/>
  <c r="CT192" i="1" s="1" a="1"/>
  <c r="CT192" i="1" s="1"/>
  <c r="CK184" i="1"/>
  <c r="CR184" i="1" s="1" a="1"/>
  <c r="CR184" i="1" s="1"/>
  <c r="CM184" i="1"/>
  <c r="CT184" i="1" s="1" a="1"/>
  <c r="CT184" i="1" s="1"/>
  <c r="CL184" i="1"/>
  <c r="CS184" i="1" s="1" a="1"/>
  <c r="CS184" i="1" s="1"/>
  <c r="CM176" i="1"/>
  <c r="CT176" i="1" s="1" a="1"/>
  <c r="CT176" i="1" s="1"/>
  <c r="CL176" i="1"/>
  <c r="CS176" i="1" s="1" a="1"/>
  <c r="CS176" i="1" s="1"/>
  <c r="CK168" i="1"/>
  <c r="CR168" i="1" s="1" a="1"/>
  <c r="CR168" i="1" s="1"/>
  <c r="CM168" i="1"/>
  <c r="CT168" i="1" s="1" a="1"/>
  <c r="CT168" i="1" s="1"/>
  <c r="CL168" i="1"/>
  <c r="CS168" i="1" s="1" a="1"/>
  <c r="CS168" i="1" s="1"/>
  <c r="CK160" i="1"/>
  <c r="CR160" i="1" s="1" a="1"/>
  <c r="CR160" i="1" s="1"/>
  <c r="CM160" i="1"/>
  <c r="CT160" i="1" s="1" a="1"/>
  <c r="CT160" i="1" s="1"/>
  <c r="CL160" i="1"/>
  <c r="CS160" i="1" s="1" a="1"/>
  <c r="CS160" i="1" s="1"/>
  <c r="CK152" i="1"/>
  <c r="CR152" i="1" s="1" a="1"/>
  <c r="CR152" i="1" s="1"/>
  <c r="CM152" i="1"/>
  <c r="CT152" i="1" s="1" a="1"/>
  <c r="CT152" i="1" s="1"/>
  <c r="CL152" i="1"/>
  <c r="CS152" i="1" s="1" a="1"/>
  <c r="CS152" i="1" s="1"/>
  <c r="CK144" i="1"/>
  <c r="CR144" i="1" s="1" a="1"/>
  <c r="CR144" i="1" s="1"/>
  <c r="CM144" i="1"/>
  <c r="CT144" i="1" s="1" a="1"/>
  <c r="CT144" i="1" s="1"/>
  <c r="CL144" i="1"/>
  <c r="CS144" i="1" s="1" a="1"/>
  <c r="CS144" i="1" s="1"/>
  <c r="CK136" i="1"/>
  <c r="CR136" i="1" s="1" a="1"/>
  <c r="CR136" i="1" s="1"/>
  <c r="CM136" i="1"/>
  <c r="CT136" i="1" s="1" a="1"/>
  <c r="CT136" i="1" s="1"/>
  <c r="CL136" i="1"/>
  <c r="CS136" i="1" s="1" a="1"/>
  <c r="CS136" i="1" s="1"/>
  <c r="CK128" i="1"/>
  <c r="CR128" i="1" s="1" a="1"/>
  <c r="CR128" i="1" s="1"/>
  <c r="CM128" i="1"/>
  <c r="CT128" i="1" s="1" a="1"/>
  <c r="CT128" i="1" s="1"/>
  <c r="CL128" i="1"/>
  <c r="CS128" i="1" s="1" a="1"/>
  <c r="CS128" i="1" s="1"/>
  <c r="CK120" i="1"/>
  <c r="CR120" i="1" s="1" a="1"/>
  <c r="CR120" i="1" s="1"/>
  <c r="CM120" i="1"/>
  <c r="CT120" i="1" s="1" a="1"/>
  <c r="CT120" i="1" s="1"/>
  <c r="CL120" i="1"/>
  <c r="CS120" i="1" s="1" a="1"/>
  <c r="CS120" i="1" s="1"/>
  <c r="CK112" i="1"/>
  <c r="CR112" i="1" s="1" a="1"/>
  <c r="CR112" i="1" s="1"/>
  <c r="CM112" i="1"/>
  <c r="CT112" i="1" s="1" a="1"/>
  <c r="CT112" i="1" s="1"/>
  <c r="CL112" i="1"/>
  <c r="CS112" i="1" s="1" a="1"/>
  <c r="CS112" i="1" s="1"/>
  <c r="CK104" i="1"/>
  <c r="CR104" i="1" s="1" a="1"/>
  <c r="CR104" i="1" s="1"/>
  <c r="CM104" i="1"/>
  <c r="CT104" i="1" s="1" a="1"/>
  <c r="CT104" i="1" s="1"/>
  <c r="CL104" i="1"/>
  <c r="CS104" i="1" s="1" a="1"/>
  <c r="CS104" i="1" s="1"/>
  <c r="CK96" i="1"/>
  <c r="CR96" i="1" s="1" a="1"/>
  <c r="CR96" i="1" s="1"/>
  <c r="CM96" i="1"/>
  <c r="CT96" i="1" s="1" a="1"/>
  <c r="CT96" i="1" s="1"/>
  <c r="CL96" i="1"/>
  <c r="CS96" i="1" s="1" a="1"/>
  <c r="CS96" i="1" s="1"/>
  <c r="CK88" i="1"/>
  <c r="CR88" i="1" s="1" a="1"/>
  <c r="CR88" i="1" s="1"/>
  <c r="CM88" i="1"/>
  <c r="CT88" i="1" s="1" a="1"/>
  <c r="CT88" i="1" s="1"/>
  <c r="CL88" i="1"/>
  <c r="CS88" i="1" s="1" a="1"/>
  <c r="CS88" i="1" s="1"/>
  <c r="CK80" i="1"/>
  <c r="CR80" i="1" s="1" a="1"/>
  <c r="CR80" i="1" s="1"/>
  <c r="CM80" i="1"/>
  <c r="CT80" i="1" s="1" a="1"/>
  <c r="CT80" i="1" s="1"/>
  <c r="CL80" i="1"/>
  <c r="CS80" i="1" s="1" a="1"/>
  <c r="CS80" i="1" s="1"/>
  <c r="CK72" i="1"/>
  <c r="CR72" i="1" s="1" a="1"/>
  <c r="CR72" i="1" s="1"/>
  <c r="CM72" i="1"/>
  <c r="CT72" i="1" s="1" a="1"/>
  <c r="CT72" i="1" s="1"/>
  <c r="CL72" i="1"/>
  <c r="CS72" i="1" s="1" a="1"/>
  <c r="CS72" i="1" s="1"/>
  <c r="CK64" i="1"/>
  <c r="CR64" i="1" s="1" a="1"/>
  <c r="CR64" i="1" s="1"/>
  <c r="CM64" i="1"/>
  <c r="CT64" i="1" s="1" a="1"/>
  <c r="CT64" i="1" s="1"/>
  <c r="CL64" i="1"/>
  <c r="CS64" i="1" s="1" a="1"/>
  <c r="CS64" i="1" s="1"/>
  <c r="CM56" i="1"/>
  <c r="CT56" i="1" s="1" a="1"/>
  <c r="CT56" i="1" s="1"/>
  <c r="CL56" i="1"/>
  <c r="CS56" i="1" s="1" a="1"/>
  <c r="CS56" i="1" s="1"/>
  <c r="CK48" i="1"/>
  <c r="CR48" i="1" s="1" a="1"/>
  <c r="CR48" i="1" s="1"/>
  <c r="CM48" i="1"/>
  <c r="CT48" i="1" s="1" a="1"/>
  <c r="CT48" i="1" s="1"/>
  <c r="CL48" i="1"/>
  <c r="CS48" i="1" s="1" a="1"/>
  <c r="CS48" i="1" s="1"/>
  <c r="CK40" i="1"/>
  <c r="CR40" i="1" s="1" a="1"/>
  <c r="CR40" i="1" s="1"/>
  <c r="CM40" i="1"/>
  <c r="CT40" i="1" s="1" a="1"/>
  <c r="CT40" i="1" s="1"/>
  <c r="CL40" i="1"/>
  <c r="CS40" i="1" s="1" a="1"/>
  <c r="CS40" i="1" s="1"/>
  <c r="CK32" i="1"/>
  <c r="CR32" i="1" s="1" a="1"/>
  <c r="CR32" i="1" s="1"/>
  <c r="CM32" i="1"/>
  <c r="CT32" i="1" s="1" a="1"/>
  <c r="CT32" i="1" s="1"/>
  <c r="CL32" i="1"/>
  <c r="CS32" i="1" s="1" a="1"/>
  <c r="CS32" i="1" s="1"/>
  <c r="CM24" i="1"/>
  <c r="CT24" i="1" s="1" a="1"/>
  <c r="CT24" i="1" s="1"/>
  <c r="CL24" i="1"/>
  <c r="CS24" i="1" s="1" a="1"/>
  <c r="CS24" i="1" s="1"/>
  <c r="CK16" i="1"/>
  <c r="CR16" i="1" s="1" a="1"/>
  <c r="CR16" i="1" s="1"/>
  <c r="CM16" i="1"/>
  <c r="CT16" i="1" s="1" a="1"/>
  <c r="CT16" i="1" s="1"/>
  <c r="CL16" i="1"/>
  <c r="CS16" i="1" s="1" a="1"/>
  <c r="CS16" i="1" s="1"/>
  <c r="CK7" i="1"/>
  <c r="CR7" i="1" s="1" a="1"/>
  <c r="CR7" i="1" s="1"/>
  <c r="CM7" i="1"/>
  <c r="CT7" i="1" s="1" a="1"/>
  <c r="CT7" i="1" s="1"/>
  <c r="CL7" i="1"/>
  <c r="CS7" i="1" s="1" a="1"/>
  <c r="CS7" i="1" s="1"/>
  <c r="CQ571" i="1"/>
  <c r="CV571" i="1" s="1" a="1"/>
  <c r="CV571" i="1" s="1"/>
  <c r="CP571" i="1"/>
  <c r="CU571" i="1" s="1" a="1"/>
  <c r="CU571" i="1" s="1"/>
  <c r="CP562" i="1"/>
  <c r="CU562" i="1" s="1" a="1"/>
  <c r="CU562" i="1" s="1"/>
  <c r="CQ562" i="1"/>
  <c r="CV562" i="1" s="1" a="1"/>
  <c r="CV562" i="1" s="1"/>
  <c r="CP552" i="1"/>
  <c r="CU552" i="1" s="1" a="1"/>
  <c r="CU552" i="1" s="1"/>
  <c r="CQ552" i="1"/>
  <c r="CV552" i="1" s="1" a="1"/>
  <c r="CV552" i="1" s="1"/>
  <c r="CP544" i="1"/>
  <c r="CU544" i="1" s="1" a="1"/>
  <c r="CU544" i="1" s="1"/>
  <c r="CQ544" i="1"/>
  <c r="CV544" i="1" s="1" a="1"/>
  <c r="CV544" i="1" s="1"/>
  <c r="CP536" i="1"/>
  <c r="CU536" i="1" s="1" a="1"/>
  <c r="CU536" i="1" s="1"/>
  <c r="CQ536" i="1"/>
  <c r="CV536" i="1" s="1" a="1"/>
  <c r="CV536" i="1" s="1"/>
  <c r="CQ527" i="1"/>
  <c r="CV527" i="1" s="1" a="1"/>
  <c r="CV527" i="1" s="1"/>
  <c r="CP527" i="1"/>
  <c r="CU527" i="1" s="1" a="1"/>
  <c r="CU527" i="1" s="1"/>
  <c r="CP518" i="1"/>
  <c r="CU518" i="1" s="1" a="1"/>
  <c r="CU518" i="1" s="1"/>
  <c r="CQ518" i="1"/>
  <c r="CV518" i="1" s="1" a="1"/>
  <c r="CV518" i="1" s="1"/>
  <c r="CQ509" i="1"/>
  <c r="CV509" i="1" s="1" a="1"/>
  <c r="CV509" i="1" s="1"/>
  <c r="CP509" i="1"/>
  <c r="CU509" i="1" s="1" a="1"/>
  <c r="CU509" i="1" s="1"/>
  <c r="CQ500" i="1"/>
  <c r="CV500" i="1" s="1" a="1"/>
  <c r="CV500" i="1" s="1"/>
  <c r="CP500" i="1"/>
  <c r="CU500" i="1" s="1" a="1"/>
  <c r="CU500" i="1" s="1"/>
  <c r="CQ491" i="1"/>
  <c r="CV491" i="1" s="1" a="1"/>
  <c r="CV491" i="1" s="1"/>
  <c r="CP491" i="1"/>
  <c r="CU491" i="1" s="1" a="1"/>
  <c r="CU491" i="1" s="1"/>
  <c r="CQ482" i="1"/>
  <c r="CV482" i="1" s="1" a="1"/>
  <c r="CV482" i="1" s="1"/>
  <c r="CP482" i="1"/>
  <c r="CU482" i="1" s="1" a="1"/>
  <c r="CU482" i="1" s="1"/>
  <c r="CQ474" i="1"/>
  <c r="CV474" i="1" s="1" a="1"/>
  <c r="CV474" i="1" s="1"/>
  <c r="CP474" i="1"/>
  <c r="CU474" i="1" s="1" a="1"/>
  <c r="CU474" i="1" s="1"/>
  <c r="CQ466" i="1"/>
  <c r="CV466" i="1" s="1" a="1"/>
  <c r="CV466" i="1" s="1"/>
  <c r="CP466" i="1"/>
  <c r="CU466" i="1" s="1" a="1"/>
  <c r="CU466" i="1" s="1"/>
  <c r="CQ457" i="1"/>
  <c r="CV457" i="1" s="1" a="1"/>
  <c r="CV457" i="1" s="1"/>
  <c r="CP457" i="1"/>
  <c r="CU457" i="1" s="1" a="1"/>
  <c r="CU457" i="1" s="1"/>
  <c r="CQ449" i="1"/>
  <c r="CV449" i="1" s="1" a="1"/>
  <c r="CV449" i="1" s="1"/>
  <c r="CP449" i="1"/>
  <c r="CU449" i="1" s="1" a="1"/>
  <c r="CU449" i="1" s="1"/>
  <c r="CQ440" i="1"/>
  <c r="CV440" i="1" s="1" a="1"/>
  <c r="CV440" i="1" s="1"/>
  <c r="CP440" i="1"/>
  <c r="CU440" i="1" s="1" a="1"/>
  <c r="CU440" i="1" s="1"/>
  <c r="CQ428" i="1"/>
  <c r="CV428" i="1" s="1" a="1"/>
  <c r="CV428" i="1" s="1"/>
  <c r="CP428" i="1"/>
  <c r="CU428" i="1" s="1" a="1"/>
  <c r="CU428" i="1" s="1"/>
  <c r="CQ420" i="1"/>
  <c r="CV420" i="1" s="1" a="1"/>
  <c r="CV420" i="1" s="1"/>
  <c r="CP420" i="1"/>
  <c r="CU420" i="1" s="1" a="1"/>
  <c r="CU420" i="1" s="1"/>
  <c r="CQ411" i="1"/>
  <c r="CV411" i="1" s="1" a="1"/>
  <c r="CV411" i="1" s="1"/>
  <c r="CP411" i="1"/>
  <c r="CU411" i="1" s="1" a="1"/>
  <c r="CU411" i="1" s="1"/>
  <c r="CQ399" i="1"/>
  <c r="CV399" i="1" s="1" a="1"/>
  <c r="CV399" i="1" s="1"/>
  <c r="CP399" i="1"/>
  <c r="CU399" i="1" s="1" a="1"/>
  <c r="CU399" i="1" s="1"/>
  <c r="CQ391" i="1"/>
  <c r="CV391" i="1" s="1" a="1"/>
  <c r="CV391" i="1" s="1"/>
  <c r="CP391" i="1"/>
  <c r="CU391" i="1" s="1" a="1"/>
  <c r="CU391" i="1" s="1"/>
  <c r="CP382" i="1"/>
  <c r="CU382" i="1" s="1" a="1"/>
  <c r="CU382" i="1" s="1"/>
  <c r="CQ382" i="1"/>
  <c r="CV382" i="1" s="1" a="1"/>
  <c r="CV382" i="1" s="1"/>
  <c r="CQ373" i="1"/>
  <c r="CV373" i="1" s="1" a="1"/>
  <c r="CV373" i="1" s="1"/>
  <c r="CP373" i="1"/>
  <c r="CU373" i="1" s="1" a="1"/>
  <c r="CU373" i="1" s="1"/>
  <c r="CQ365" i="1"/>
  <c r="CV365" i="1" s="1" a="1"/>
  <c r="CV365" i="1" s="1"/>
  <c r="CP365" i="1"/>
  <c r="CU365" i="1" s="1" a="1"/>
  <c r="CU365" i="1" s="1"/>
  <c r="CQ356" i="1"/>
  <c r="CV356" i="1" s="1" a="1"/>
  <c r="CV356" i="1" s="1"/>
  <c r="CP356" i="1"/>
  <c r="CU356" i="1" s="1" a="1"/>
  <c r="CU356" i="1" s="1"/>
  <c r="CQ347" i="1"/>
  <c r="CV347" i="1" s="1" a="1"/>
  <c r="CV347" i="1" s="1"/>
  <c r="CP347" i="1"/>
  <c r="CU347" i="1" s="1" a="1"/>
  <c r="CU347" i="1" s="1"/>
  <c r="CP339" i="1"/>
  <c r="CU339" i="1" s="1" a="1"/>
  <c r="CU339" i="1" s="1"/>
  <c r="CQ339" i="1"/>
  <c r="CV339" i="1" s="1" a="1"/>
  <c r="CV339" i="1" s="1"/>
  <c r="CQ326" i="1"/>
  <c r="CV326" i="1" s="1" a="1"/>
  <c r="CV326" i="1" s="1"/>
  <c r="CP326" i="1"/>
  <c r="CU326" i="1" s="1" a="1"/>
  <c r="CU326" i="1" s="1"/>
  <c r="CQ316" i="1"/>
  <c r="CV316" i="1" s="1" a="1"/>
  <c r="CV316" i="1" s="1"/>
  <c r="CP316" i="1"/>
  <c r="CU316" i="1" s="1" a="1"/>
  <c r="CU316" i="1" s="1"/>
  <c r="CQ307" i="1"/>
  <c r="CV307" i="1" s="1" a="1"/>
  <c r="CV307" i="1" s="1"/>
  <c r="CP307" i="1"/>
  <c r="CU307" i="1" s="1" a="1"/>
  <c r="CU307" i="1" s="1"/>
  <c r="CQ298" i="1"/>
  <c r="CV298" i="1" s="1" a="1"/>
  <c r="CV298" i="1" s="1"/>
  <c r="CP298" i="1"/>
  <c r="CU298" i="1" s="1" a="1"/>
  <c r="CU298" i="1" s="1"/>
  <c r="CQ289" i="1"/>
  <c r="CV289" i="1" s="1" a="1"/>
  <c r="CV289" i="1" s="1"/>
  <c r="CP289" i="1"/>
  <c r="CU289" i="1" s="1" a="1"/>
  <c r="CU289" i="1" s="1"/>
  <c r="CQ281" i="1"/>
  <c r="CV281" i="1" s="1" a="1"/>
  <c r="CV281" i="1" s="1"/>
  <c r="CP281" i="1"/>
  <c r="CU281" i="1" s="1" a="1"/>
  <c r="CU281" i="1" s="1"/>
  <c r="CQ271" i="1"/>
  <c r="CV271" i="1" s="1" a="1"/>
  <c r="CV271" i="1" s="1"/>
  <c r="CP271" i="1"/>
  <c r="CU271" i="1" s="1" a="1"/>
  <c r="CU271" i="1" s="1"/>
  <c r="CQ261" i="1"/>
  <c r="CV261" i="1" s="1" a="1"/>
  <c r="CV261" i="1" s="1"/>
  <c r="CP261" i="1"/>
  <c r="CU261" i="1" s="1" a="1"/>
  <c r="CU261" i="1" s="1"/>
  <c r="CQ251" i="1"/>
  <c r="CV251" i="1" s="1" a="1"/>
  <c r="CV251" i="1" s="1"/>
  <c r="CP251" i="1"/>
  <c r="CU251" i="1" s="1" a="1"/>
  <c r="CU251" i="1" s="1"/>
  <c r="CQ242" i="1"/>
  <c r="CV242" i="1" s="1" a="1"/>
  <c r="CV242" i="1" s="1"/>
  <c r="CP242" i="1"/>
  <c r="CU242" i="1" s="1" a="1"/>
  <c r="CU242" i="1" s="1"/>
  <c r="CQ234" i="1"/>
  <c r="CV234" i="1" s="1" a="1"/>
  <c r="CV234" i="1" s="1"/>
  <c r="CP234" i="1"/>
  <c r="CU234" i="1" s="1" a="1"/>
  <c r="CU234" i="1" s="1"/>
  <c r="CQ225" i="1"/>
  <c r="CV225" i="1" s="1" a="1"/>
  <c r="CV225" i="1" s="1"/>
  <c r="CP225" i="1"/>
  <c r="CU225" i="1" s="1" a="1"/>
  <c r="CU225" i="1" s="1"/>
  <c r="CQ217" i="1"/>
  <c r="CV217" i="1" s="1" a="1"/>
  <c r="CV217" i="1" s="1"/>
  <c r="CP217" i="1"/>
  <c r="CU217" i="1" s="1" a="1"/>
  <c r="CU217" i="1" s="1"/>
  <c r="CQ209" i="1"/>
  <c r="CV209" i="1" s="1" a="1"/>
  <c r="CV209" i="1" s="1"/>
  <c r="CP209" i="1"/>
  <c r="CU209" i="1" s="1" a="1"/>
  <c r="CU209" i="1" s="1"/>
  <c r="CQ199" i="1"/>
  <c r="CV199" i="1" s="1" a="1"/>
  <c r="CV199" i="1" s="1"/>
  <c r="CP199" i="1"/>
  <c r="CU199" i="1" s="1" a="1"/>
  <c r="CU199" i="1" s="1"/>
  <c r="CQ189" i="1"/>
  <c r="CV189" i="1" s="1" a="1"/>
  <c r="CV189" i="1" s="1"/>
  <c r="CP189" i="1"/>
  <c r="CU189" i="1" s="1" a="1"/>
  <c r="CU189" i="1" s="1"/>
  <c r="CQ179" i="1"/>
  <c r="CV179" i="1" s="1" a="1"/>
  <c r="CV179" i="1" s="1"/>
  <c r="CP179" i="1"/>
  <c r="CU179" i="1" s="1" a="1"/>
  <c r="CU179" i="1" s="1"/>
  <c r="CQ169" i="1"/>
  <c r="CV169" i="1" s="1" a="1"/>
  <c r="CV169" i="1" s="1"/>
  <c r="CP169" i="1"/>
  <c r="CU169" i="1" s="1" a="1"/>
  <c r="CU169" i="1" s="1"/>
  <c r="CQ159" i="1"/>
  <c r="CV159" i="1" s="1" a="1"/>
  <c r="CV159" i="1" s="1"/>
  <c r="CP159" i="1"/>
  <c r="CU159" i="1" s="1" a="1"/>
  <c r="CU159" i="1" s="1"/>
  <c r="CQ148" i="1"/>
  <c r="CV148" i="1" s="1" a="1"/>
  <c r="CV148" i="1" s="1"/>
  <c r="CP148" i="1"/>
  <c r="CU148" i="1" s="1" a="1"/>
  <c r="CU148" i="1" s="1"/>
  <c r="CQ140" i="1"/>
  <c r="CV140" i="1" s="1" a="1"/>
  <c r="CV140" i="1" s="1"/>
  <c r="CP140" i="1"/>
  <c r="CU140" i="1" s="1" a="1"/>
  <c r="CU140" i="1" s="1"/>
  <c r="CQ132" i="1"/>
  <c r="CV132" i="1" s="1" a="1"/>
  <c r="CV132" i="1" s="1"/>
  <c r="CP132" i="1"/>
  <c r="CU132" i="1" s="1" a="1"/>
  <c r="CU132" i="1" s="1"/>
  <c r="CQ123" i="1"/>
  <c r="CV123" i="1" s="1" a="1"/>
  <c r="CV123" i="1" s="1"/>
  <c r="CP123" i="1"/>
  <c r="CU123" i="1" s="1" a="1"/>
  <c r="CU123" i="1" s="1"/>
  <c r="CQ113" i="1"/>
  <c r="CV113" i="1" s="1" a="1"/>
  <c r="CV113" i="1" s="1"/>
  <c r="CP113" i="1"/>
  <c r="CU113" i="1" s="1" a="1"/>
  <c r="CU113" i="1" s="1"/>
  <c r="CQ104" i="1"/>
  <c r="CV104" i="1" s="1" a="1"/>
  <c r="CV104" i="1" s="1"/>
  <c r="CP104" i="1"/>
  <c r="CU104" i="1" s="1" a="1"/>
  <c r="CU104" i="1" s="1"/>
  <c r="CQ96" i="1"/>
  <c r="CV96" i="1" s="1" a="1"/>
  <c r="CV96" i="1" s="1"/>
  <c r="CP96" i="1"/>
  <c r="CU96" i="1" s="1" a="1"/>
  <c r="CU96" i="1" s="1"/>
  <c r="CQ87" i="1"/>
  <c r="CV87" i="1" s="1" a="1"/>
  <c r="CV87" i="1" s="1"/>
  <c r="CP87" i="1"/>
  <c r="CU87" i="1" s="1" a="1"/>
  <c r="CU87" i="1" s="1"/>
  <c r="CQ79" i="1"/>
  <c r="CV79" i="1" s="1" a="1"/>
  <c r="CV79" i="1" s="1"/>
  <c r="CP79" i="1"/>
  <c r="CU79" i="1" s="1" a="1"/>
  <c r="CU79" i="1" s="1"/>
  <c r="CQ68" i="1"/>
  <c r="CV68" i="1" s="1" a="1"/>
  <c r="CV68" i="1" s="1"/>
  <c r="CP68" i="1"/>
  <c r="CU68" i="1" s="1" a="1"/>
  <c r="CU68" i="1" s="1"/>
  <c r="CQ60" i="1"/>
  <c r="CV60" i="1" s="1" a="1"/>
  <c r="CV60" i="1" s="1"/>
  <c r="CP60" i="1"/>
  <c r="CU60" i="1" s="1" a="1"/>
  <c r="CU60" i="1" s="1"/>
  <c r="CQ51" i="1"/>
  <c r="CV51" i="1" s="1" a="1"/>
  <c r="CV51" i="1" s="1"/>
  <c r="CP51" i="1"/>
  <c r="CU51" i="1" s="1" a="1"/>
  <c r="CU51" i="1" s="1"/>
  <c r="CQ42" i="1"/>
  <c r="CV42" i="1" s="1" a="1"/>
  <c r="CV42" i="1" s="1"/>
  <c r="CP42" i="1"/>
  <c r="CU42" i="1" s="1" a="1"/>
  <c r="CU42" i="1" s="1"/>
  <c r="CQ34" i="1"/>
  <c r="CV34" i="1" s="1" a="1"/>
  <c r="CV34" i="1" s="1"/>
  <c r="CP34" i="1"/>
  <c r="CU34" i="1" s="1" a="1"/>
  <c r="CU34" i="1" s="1"/>
  <c r="CQ26" i="1"/>
  <c r="CV26" i="1" s="1" a="1"/>
  <c r="CV26" i="1" s="1"/>
  <c r="CP26" i="1"/>
  <c r="CU26" i="1" s="1" a="1"/>
  <c r="CU26" i="1" s="1"/>
  <c r="CQ14" i="1"/>
  <c r="CV14" i="1" s="1" a="1"/>
  <c r="CV14" i="1" s="1"/>
  <c r="CP14" i="1"/>
  <c r="CU14" i="1" s="1" a="1"/>
  <c r="CU14" i="1" s="1"/>
  <c r="CQ5" i="1"/>
  <c r="CV5" i="1" s="1" a="1"/>
  <c r="CV5" i="1" s="1"/>
  <c r="CP5" i="1"/>
  <c r="CU5" i="1" s="1" a="1"/>
  <c r="CU5" i="1" s="1"/>
  <c r="CQ114" i="1"/>
  <c r="CV114" i="1" s="1" a="1"/>
  <c r="CV114" i="1" s="1"/>
  <c r="CP114" i="1"/>
  <c r="CU114" i="1" s="1" a="1"/>
  <c r="CU114" i="1" s="1"/>
  <c r="CQ88" i="1"/>
  <c r="CV88" i="1" s="1" a="1"/>
  <c r="CV88" i="1" s="1"/>
  <c r="CP88" i="1"/>
  <c r="CU88" i="1" s="1" a="1"/>
  <c r="CU88" i="1" s="1"/>
  <c r="CQ61" i="1"/>
  <c r="CV61" i="1" s="1" a="1"/>
  <c r="CV61" i="1" s="1"/>
  <c r="CP61" i="1"/>
  <c r="CU61" i="1" s="1" a="1"/>
  <c r="CU61" i="1" s="1"/>
  <c r="CQ43" i="1"/>
  <c r="CV43" i="1" s="1" a="1"/>
  <c r="CV43" i="1" s="1"/>
  <c r="CP43" i="1"/>
  <c r="CU43" i="1" s="1" a="1"/>
  <c r="CU43" i="1" s="1"/>
  <c r="CQ15" i="1"/>
  <c r="CV15" i="1" s="1" a="1"/>
  <c r="CV15" i="1" s="1"/>
  <c r="CP15" i="1"/>
  <c r="CU15" i="1" s="1" a="1"/>
  <c r="CU15" i="1" s="1"/>
  <c r="CK567" i="1"/>
  <c r="CR567" i="1" s="1" a="1"/>
  <c r="CR567" i="1" s="1"/>
  <c r="CM567" i="1"/>
  <c r="CT567" i="1" s="1" a="1"/>
  <c r="CT567" i="1" s="1"/>
  <c r="CL567" i="1"/>
  <c r="CS567" i="1" s="1" a="1"/>
  <c r="CS567" i="1" s="1"/>
  <c r="CK559" i="1"/>
  <c r="CR559" i="1" s="1" a="1"/>
  <c r="CR559" i="1" s="1"/>
  <c r="CM559" i="1"/>
  <c r="CT559" i="1" s="1" a="1"/>
  <c r="CT559" i="1" s="1"/>
  <c r="CL559" i="1"/>
  <c r="CS559" i="1" s="1" a="1"/>
  <c r="CS559" i="1" s="1"/>
  <c r="CK551" i="1"/>
  <c r="CR551" i="1" s="1" a="1"/>
  <c r="CR551" i="1" s="1"/>
  <c r="CM551" i="1"/>
  <c r="CT551" i="1" s="1" a="1"/>
  <c r="CT551" i="1" s="1"/>
  <c r="CL551" i="1"/>
  <c r="CS551" i="1" s="1" a="1"/>
  <c r="CS551" i="1" s="1"/>
  <c r="CK543" i="1"/>
  <c r="CR543" i="1" s="1" a="1"/>
  <c r="CR543" i="1" s="1"/>
  <c r="CL543" i="1"/>
  <c r="CS543" i="1" s="1" a="1"/>
  <c r="CS543" i="1" s="1"/>
  <c r="CM543" i="1"/>
  <c r="CT543" i="1" s="1" a="1"/>
  <c r="CT543" i="1" s="1"/>
  <c r="CK535" i="1"/>
  <c r="CR535" i="1" s="1" a="1"/>
  <c r="CR535" i="1" s="1"/>
  <c r="CM535" i="1"/>
  <c r="CT535" i="1" s="1" a="1"/>
  <c r="CT535" i="1" s="1"/>
  <c r="CL535" i="1"/>
  <c r="CS535" i="1" s="1" a="1"/>
  <c r="CS535" i="1" s="1"/>
  <c r="CK527" i="1"/>
  <c r="CR527" i="1" s="1" a="1"/>
  <c r="CR527" i="1" s="1"/>
  <c r="CL527" i="1"/>
  <c r="CS527" i="1" s="1" a="1"/>
  <c r="CS527" i="1" s="1"/>
  <c r="CM527" i="1"/>
  <c r="CT527" i="1" s="1" a="1"/>
  <c r="CT527" i="1" s="1"/>
  <c r="CM519" i="1"/>
  <c r="CT519" i="1" s="1" a="1"/>
  <c r="CT519" i="1" s="1"/>
  <c r="CL519" i="1"/>
  <c r="CS519" i="1" s="1" a="1"/>
  <c r="CS519" i="1" s="1"/>
  <c r="CK511" i="1"/>
  <c r="CR511" i="1" s="1" a="1"/>
  <c r="CR511" i="1" s="1"/>
  <c r="CL511" i="1"/>
  <c r="CS511" i="1" s="1" a="1"/>
  <c r="CS511" i="1" s="1"/>
  <c r="CM511" i="1"/>
  <c r="CT511" i="1" s="1" a="1"/>
  <c r="CT511" i="1" s="1"/>
  <c r="CK503" i="1"/>
  <c r="CR503" i="1" s="1" a="1"/>
  <c r="CR503" i="1" s="1"/>
  <c r="CM503" i="1"/>
  <c r="CT503" i="1" s="1" a="1"/>
  <c r="CT503" i="1" s="1"/>
  <c r="CL503" i="1"/>
  <c r="CS503" i="1" s="1" a="1"/>
  <c r="CS503" i="1" s="1"/>
  <c r="CK495" i="1"/>
  <c r="CR495" i="1" s="1" a="1"/>
  <c r="CR495" i="1" s="1"/>
  <c r="CM495" i="1"/>
  <c r="CT495" i="1" s="1" a="1"/>
  <c r="CT495" i="1" s="1"/>
  <c r="CL495" i="1"/>
  <c r="CS495" i="1" s="1" a="1"/>
  <c r="CS495" i="1" s="1"/>
  <c r="CK487" i="1"/>
  <c r="CR487" i="1" s="1" a="1"/>
  <c r="CR487" i="1" s="1"/>
  <c r="CM487" i="1"/>
  <c r="CT487" i="1" s="1" a="1"/>
  <c r="CT487" i="1" s="1"/>
  <c r="CL487" i="1"/>
  <c r="CS487" i="1" s="1" a="1"/>
  <c r="CS487" i="1" s="1"/>
  <c r="CK479" i="1"/>
  <c r="CR479" i="1" s="1" a="1"/>
  <c r="CR479" i="1" s="1"/>
  <c r="CM479" i="1"/>
  <c r="CT479" i="1" s="1" a="1"/>
  <c r="CT479" i="1" s="1"/>
  <c r="CL479" i="1"/>
  <c r="CS479" i="1" s="1" a="1"/>
  <c r="CS479" i="1" s="1"/>
  <c r="CK471" i="1"/>
  <c r="CR471" i="1" s="1" a="1"/>
  <c r="CR471" i="1" s="1"/>
  <c r="CM471" i="1"/>
  <c r="CT471" i="1" s="1" a="1"/>
  <c r="CT471" i="1" s="1"/>
  <c r="CL471" i="1"/>
  <c r="CS471" i="1" s="1" a="1"/>
  <c r="CS471" i="1" s="1"/>
  <c r="CK463" i="1"/>
  <c r="CR463" i="1" s="1" a="1"/>
  <c r="CR463" i="1" s="1"/>
  <c r="CM463" i="1"/>
  <c r="CT463" i="1" s="1" a="1"/>
  <c r="CT463" i="1" s="1"/>
  <c r="CL463" i="1"/>
  <c r="CS463" i="1" s="1" a="1"/>
  <c r="CS463" i="1" s="1"/>
  <c r="CK455" i="1"/>
  <c r="CR455" i="1" s="1" a="1"/>
  <c r="CR455" i="1" s="1"/>
  <c r="CM455" i="1"/>
  <c r="CT455" i="1" s="1" a="1"/>
  <c r="CT455" i="1" s="1"/>
  <c r="CL455" i="1"/>
  <c r="CS455" i="1" s="1" a="1"/>
  <c r="CS455" i="1" s="1"/>
  <c r="CK447" i="1"/>
  <c r="CR447" i="1" s="1" a="1"/>
  <c r="CR447" i="1" s="1"/>
  <c r="CM447" i="1"/>
  <c r="CT447" i="1" s="1" a="1"/>
  <c r="CT447" i="1" s="1"/>
  <c r="CL447" i="1"/>
  <c r="CS447" i="1" s="1" a="1"/>
  <c r="CS447" i="1" s="1"/>
  <c r="CK439" i="1"/>
  <c r="CR439" i="1" s="1" a="1"/>
  <c r="CR439" i="1" s="1"/>
  <c r="CM439" i="1"/>
  <c r="CT439" i="1" s="1" a="1"/>
  <c r="CT439" i="1" s="1"/>
  <c r="CL439" i="1"/>
  <c r="CS439" i="1" s="1" a="1"/>
  <c r="CS439" i="1" s="1"/>
  <c r="CK431" i="1"/>
  <c r="CR431" i="1" s="1" a="1"/>
  <c r="CR431" i="1" s="1"/>
  <c r="CM431" i="1"/>
  <c r="CT431" i="1" s="1" a="1"/>
  <c r="CT431" i="1" s="1"/>
  <c r="CL431" i="1"/>
  <c r="CS431" i="1" s="1" a="1"/>
  <c r="CS431" i="1" s="1"/>
  <c r="CK423" i="1"/>
  <c r="CR423" i="1" s="1" a="1"/>
  <c r="CR423" i="1" s="1"/>
  <c r="CM423" i="1"/>
  <c r="CT423" i="1" s="1" a="1"/>
  <c r="CT423" i="1" s="1"/>
  <c r="CL423" i="1"/>
  <c r="CS423" i="1" s="1" a="1"/>
  <c r="CS423" i="1" s="1"/>
  <c r="CK415" i="1"/>
  <c r="CR415" i="1" s="1" a="1"/>
  <c r="CR415" i="1" s="1"/>
  <c r="CM415" i="1"/>
  <c r="CT415" i="1" s="1" a="1"/>
  <c r="CT415" i="1" s="1"/>
  <c r="CL415" i="1"/>
  <c r="CS415" i="1" s="1" a="1"/>
  <c r="CS415" i="1" s="1"/>
  <c r="CK407" i="1"/>
  <c r="CR407" i="1" s="1" a="1"/>
  <c r="CR407" i="1" s="1"/>
  <c r="CM407" i="1"/>
  <c r="CT407" i="1" s="1" a="1"/>
  <c r="CT407" i="1" s="1"/>
  <c r="CL407" i="1"/>
  <c r="CS407" i="1" s="1" a="1"/>
  <c r="CS407" i="1" s="1"/>
  <c r="CK399" i="1"/>
  <c r="CR399" i="1" s="1" a="1"/>
  <c r="CR399" i="1" s="1"/>
  <c r="CM399" i="1"/>
  <c r="CT399" i="1" s="1" a="1"/>
  <c r="CT399" i="1" s="1"/>
  <c r="CL399" i="1"/>
  <c r="CS399" i="1" s="1" a="1"/>
  <c r="CS399" i="1" s="1"/>
  <c r="CK391" i="1"/>
  <c r="CR391" i="1" s="1" a="1"/>
  <c r="CR391" i="1" s="1"/>
  <c r="CM391" i="1"/>
  <c r="CT391" i="1" s="1" a="1"/>
  <c r="CT391" i="1" s="1"/>
  <c r="CL391" i="1"/>
  <c r="CS391" i="1" s="1" a="1"/>
  <c r="CS391" i="1" s="1"/>
  <c r="CK383" i="1"/>
  <c r="CR383" i="1" s="1" a="1"/>
  <c r="CR383" i="1" s="1"/>
  <c r="CM383" i="1"/>
  <c r="CT383" i="1" s="1" a="1"/>
  <c r="CT383" i="1" s="1"/>
  <c r="CL383" i="1"/>
  <c r="CS383" i="1" s="1" a="1"/>
  <c r="CS383" i="1" s="1"/>
  <c r="CM375" i="1"/>
  <c r="CT375" i="1" s="1" a="1"/>
  <c r="CT375" i="1" s="1"/>
  <c r="CL375" i="1"/>
  <c r="CS375" i="1" s="1" a="1"/>
  <c r="CS375" i="1" s="1"/>
  <c r="CK367" i="1"/>
  <c r="CR367" i="1" s="1" a="1"/>
  <c r="CR367" i="1" s="1"/>
  <c r="CM367" i="1"/>
  <c r="CT367" i="1" s="1" a="1"/>
  <c r="CT367" i="1" s="1"/>
  <c r="CL367" i="1"/>
  <c r="CS367" i="1" s="1" a="1"/>
  <c r="CS367" i="1" s="1"/>
  <c r="CK359" i="1"/>
  <c r="CR359" i="1" s="1" a="1"/>
  <c r="CR359" i="1" s="1"/>
  <c r="CM359" i="1"/>
  <c r="CT359" i="1" s="1" a="1"/>
  <c r="CT359" i="1" s="1"/>
  <c r="CL359" i="1"/>
  <c r="CS359" i="1" s="1" a="1"/>
  <c r="CS359" i="1" s="1"/>
  <c r="CK351" i="1"/>
  <c r="CR351" i="1" s="1" a="1"/>
  <c r="CR351" i="1" s="1"/>
  <c r="CM351" i="1"/>
  <c r="CT351" i="1" s="1" a="1"/>
  <c r="CT351" i="1" s="1"/>
  <c r="CL351" i="1"/>
  <c r="CS351" i="1" s="1" a="1"/>
  <c r="CS351" i="1" s="1"/>
  <c r="CK343" i="1"/>
  <c r="CR343" i="1" s="1" a="1"/>
  <c r="CR343" i="1" s="1"/>
  <c r="CM343" i="1"/>
  <c r="CT343" i="1" s="1" a="1"/>
  <c r="CT343" i="1" s="1"/>
  <c r="CL343" i="1"/>
  <c r="CS343" i="1" s="1" a="1"/>
  <c r="CS343" i="1" s="1"/>
  <c r="CK335" i="1"/>
  <c r="CR335" i="1" s="1" a="1"/>
  <c r="CR335" i="1" s="1"/>
  <c r="CM335" i="1"/>
  <c r="CT335" i="1" s="1" a="1"/>
  <c r="CT335" i="1" s="1"/>
  <c r="CL335" i="1"/>
  <c r="CS335" i="1" s="1" a="1"/>
  <c r="CS335" i="1" s="1"/>
  <c r="CM327" i="1"/>
  <c r="CT327" i="1" s="1" a="1"/>
  <c r="CT327" i="1" s="1"/>
  <c r="CL327" i="1"/>
  <c r="CS327" i="1" s="1" a="1"/>
  <c r="CS327" i="1" s="1"/>
  <c r="CM319" i="1"/>
  <c r="CT319" i="1" s="1" a="1"/>
  <c r="CT319" i="1" s="1"/>
  <c r="CL319" i="1"/>
  <c r="CS319" i="1" s="1" a="1"/>
  <c r="CS319" i="1" s="1"/>
  <c r="CM311" i="1"/>
  <c r="CT311" i="1" s="1" a="1"/>
  <c r="CT311" i="1" s="1"/>
  <c r="CL311" i="1"/>
  <c r="CS311" i="1" s="1" a="1"/>
  <c r="CS311" i="1" s="1"/>
  <c r="CK303" i="1"/>
  <c r="CR303" i="1" s="1" a="1"/>
  <c r="CR303" i="1" s="1"/>
  <c r="CM303" i="1"/>
  <c r="CT303" i="1" s="1" a="1"/>
  <c r="CT303" i="1" s="1"/>
  <c r="CL303" i="1"/>
  <c r="CS303" i="1" s="1" a="1"/>
  <c r="CS303" i="1" s="1"/>
  <c r="CK295" i="1"/>
  <c r="CR295" i="1" s="1" a="1"/>
  <c r="CR295" i="1" s="1"/>
  <c r="CM295" i="1"/>
  <c r="CT295" i="1" s="1" a="1"/>
  <c r="CT295" i="1" s="1"/>
  <c r="CL295" i="1"/>
  <c r="CS295" i="1" s="1" a="1"/>
  <c r="CS295" i="1" s="1"/>
  <c r="CK287" i="1"/>
  <c r="CR287" i="1" s="1" a="1"/>
  <c r="CR287" i="1" s="1"/>
  <c r="CM287" i="1"/>
  <c r="CT287" i="1" s="1" a="1"/>
  <c r="CT287" i="1" s="1"/>
  <c r="CL287" i="1"/>
  <c r="CS287" i="1" s="1" a="1"/>
  <c r="CS287" i="1" s="1"/>
  <c r="CK279" i="1"/>
  <c r="CR279" i="1" s="1" a="1"/>
  <c r="CR279" i="1" s="1"/>
  <c r="CM279" i="1"/>
  <c r="CT279" i="1" s="1" a="1"/>
  <c r="CT279" i="1" s="1"/>
  <c r="CL279" i="1"/>
  <c r="CS279" i="1" s="1" a="1"/>
  <c r="CS279" i="1" s="1"/>
  <c r="CK271" i="1"/>
  <c r="CR271" i="1" s="1" a="1"/>
  <c r="CR271" i="1" s="1"/>
  <c r="CM271" i="1"/>
  <c r="CT271" i="1" s="1" a="1"/>
  <c r="CT271" i="1" s="1"/>
  <c r="CL271" i="1"/>
  <c r="CS271" i="1" s="1" a="1"/>
  <c r="CS271" i="1" s="1"/>
  <c r="CM263" i="1"/>
  <c r="CT263" i="1" s="1" a="1"/>
  <c r="CT263" i="1" s="1"/>
  <c r="CL263" i="1"/>
  <c r="CS263" i="1" s="1" a="1"/>
  <c r="CS263" i="1" s="1"/>
  <c r="CM255" i="1"/>
  <c r="CT255" i="1" s="1" a="1"/>
  <c r="CT255" i="1" s="1"/>
  <c r="CL255" i="1"/>
  <c r="CS255" i="1" s="1" a="1"/>
  <c r="CS255" i="1" s="1"/>
  <c r="CK247" i="1"/>
  <c r="CR247" i="1" s="1" a="1"/>
  <c r="CR247" i="1" s="1"/>
  <c r="CM247" i="1"/>
  <c r="CT247" i="1" s="1" a="1"/>
  <c r="CT247" i="1" s="1"/>
  <c r="CL247" i="1"/>
  <c r="CS247" i="1" s="1" a="1"/>
  <c r="CS247" i="1" s="1"/>
  <c r="CK239" i="1"/>
  <c r="CR239" i="1" s="1" a="1"/>
  <c r="CR239" i="1" s="1"/>
  <c r="CM239" i="1"/>
  <c r="CT239" i="1" s="1" a="1"/>
  <c r="CT239" i="1" s="1"/>
  <c r="CL239" i="1"/>
  <c r="CS239" i="1" s="1" a="1"/>
  <c r="CS239" i="1" s="1"/>
  <c r="CK231" i="1"/>
  <c r="CR231" i="1" s="1" a="1"/>
  <c r="CR231" i="1" s="1"/>
  <c r="CM231" i="1"/>
  <c r="CT231" i="1" s="1" a="1"/>
  <c r="CT231" i="1" s="1"/>
  <c r="CL231" i="1"/>
  <c r="CS231" i="1" s="1" a="1"/>
  <c r="CS231" i="1" s="1"/>
  <c r="CK223" i="1"/>
  <c r="CR223" i="1" s="1" a="1"/>
  <c r="CR223" i="1" s="1"/>
  <c r="CM223" i="1"/>
  <c r="CT223" i="1" s="1" a="1"/>
  <c r="CT223" i="1" s="1"/>
  <c r="CL223" i="1"/>
  <c r="CS223" i="1" s="1" a="1"/>
  <c r="CS223" i="1" s="1"/>
  <c r="CK215" i="1"/>
  <c r="CR215" i="1" s="1" a="1"/>
  <c r="CR215" i="1" s="1"/>
  <c r="CM215" i="1"/>
  <c r="CT215" i="1" s="1" a="1"/>
  <c r="CT215" i="1" s="1"/>
  <c r="CL215" i="1"/>
  <c r="CS215" i="1" s="1" a="1"/>
  <c r="CS215" i="1" s="1"/>
  <c r="CK207" i="1"/>
  <c r="CR207" i="1" s="1" a="1"/>
  <c r="CR207" i="1" s="1"/>
  <c r="CM207" i="1"/>
  <c r="CT207" i="1" s="1" a="1"/>
  <c r="CT207" i="1" s="1"/>
  <c r="CL207" i="1"/>
  <c r="CS207" i="1" s="1" a="1"/>
  <c r="CS207" i="1" s="1"/>
  <c r="CK199" i="1"/>
  <c r="CR199" i="1" s="1" a="1"/>
  <c r="CR199" i="1" s="1"/>
  <c r="CM199" i="1"/>
  <c r="CT199" i="1" s="1" a="1"/>
  <c r="CT199" i="1" s="1"/>
  <c r="CL199" i="1"/>
  <c r="CS199" i="1" s="1" a="1"/>
  <c r="CS199" i="1" s="1"/>
  <c r="CK191" i="1"/>
  <c r="CR191" i="1" s="1" a="1"/>
  <c r="CR191" i="1" s="1"/>
  <c r="CM191" i="1"/>
  <c r="CT191" i="1" s="1" a="1"/>
  <c r="CT191" i="1" s="1"/>
  <c r="CL191" i="1"/>
  <c r="CS191" i="1" s="1" a="1"/>
  <c r="CS191" i="1" s="1"/>
  <c r="CK183" i="1"/>
  <c r="CR183" i="1" s="1" a="1"/>
  <c r="CR183" i="1" s="1"/>
  <c r="CM183" i="1"/>
  <c r="CT183" i="1" s="1" a="1"/>
  <c r="CT183" i="1" s="1"/>
  <c r="CL183" i="1"/>
  <c r="CS183" i="1" s="1" a="1"/>
  <c r="CS183" i="1" s="1"/>
  <c r="CK175" i="1"/>
  <c r="CR175" i="1" s="1" a="1"/>
  <c r="CR175" i="1" s="1"/>
  <c r="CM175" i="1"/>
  <c r="CT175" i="1" s="1" a="1"/>
  <c r="CT175" i="1" s="1"/>
  <c r="CL175" i="1"/>
  <c r="CS175" i="1" s="1" a="1"/>
  <c r="CS175" i="1" s="1"/>
  <c r="CK167" i="1"/>
  <c r="CR167" i="1" s="1" a="1"/>
  <c r="CR167" i="1" s="1"/>
  <c r="CM167" i="1"/>
  <c r="CT167" i="1" s="1" a="1"/>
  <c r="CT167" i="1" s="1"/>
  <c r="CL167" i="1"/>
  <c r="CS167" i="1" s="1" a="1"/>
  <c r="CS167" i="1" s="1"/>
  <c r="CK159" i="1"/>
  <c r="CR159" i="1" s="1" a="1"/>
  <c r="CR159" i="1" s="1"/>
  <c r="CM159" i="1"/>
  <c r="CT159" i="1" s="1" a="1"/>
  <c r="CT159" i="1" s="1"/>
  <c r="CL159" i="1"/>
  <c r="CS159" i="1" s="1" a="1"/>
  <c r="CS159" i="1" s="1"/>
  <c r="CK151" i="1"/>
  <c r="CR151" i="1" s="1" a="1"/>
  <c r="CR151" i="1" s="1"/>
  <c r="CM151" i="1"/>
  <c r="CT151" i="1" s="1" a="1"/>
  <c r="CT151" i="1" s="1"/>
  <c r="CL151" i="1"/>
  <c r="CS151" i="1" s="1" a="1"/>
  <c r="CS151" i="1" s="1"/>
  <c r="CK143" i="1"/>
  <c r="CR143" i="1" s="1" a="1"/>
  <c r="CR143" i="1" s="1"/>
  <c r="CM143" i="1"/>
  <c r="CT143" i="1" s="1" a="1"/>
  <c r="CT143" i="1" s="1"/>
  <c r="CL143" i="1"/>
  <c r="CS143" i="1" s="1" a="1"/>
  <c r="CS143" i="1" s="1"/>
  <c r="CK135" i="1"/>
  <c r="CR135" i="1" s="1" a="1"/>
  <c r="CR135" i="1" s="1"/>
  <c r="CM135" i="1"/>
  <c r="CT135" i="1" s="1" a="1"/>
  <c r="CT135" i="1" s="1"/>
  <c r="CL135" i="1"/>
  <c r="CS135" i="1" s="1" a="1"/>
  <c r="CS135" i="1" s="1"/>
  <c r="CK127" i="1"/>
  <c r="CR127" i="1" s="1" a="1"/>
  <c r="CR127" i="1" s="1"/>
  <c r="CM127" i="1"/>
  <c r="CT127" i="1" s="1" a="1"/>
  <c r="CT127" i="1" s="1"/>
  <c r="CL127" i="1"/>
  <c r="CS127" i="1" s="1" a="1"/>
  <c r="CS127" i="1" s="1"/>
  <c r="CK119" i="1"/>
  <c r="CR119" i="1" s="1" a="1"/>
  <c r="CR119" i="1" s="1"/>
  <c r="CM119" i="1"/>
  <c r="CT119" i="1" s="1" a="1"/>
  <c r="CT119" i="1" s="1"/>
  <c r="CL119" i="1"/>
  <c r="CS119" i="1" s="1" a="1"/>
  <c r="CS119" i="1" s="1"/>
  <c r="CK111" i="1"/>
  <c r="CR111" i="1" s="1" a="1"/>
  <c r="CR111" i="1" s="1"/>
  <c r="CM111" i="1"/>
  <c r="CT111" i="1" s="1" a="1"/>
  <c r="CT111" i="1" s="1"/>
  <c r="CL111" i="1"/>
  <c r="CS111" i="1" s="1" a="1"/>
  <c r="CS111" i="1" s="1"/>
  <c r="CK103" i="1"/>
  <c r="CR103" i="1" s="1" a="1"/>
  <c r="CR103" i="1" s="1"/>
  <c r="CM103" i="1"/>
  <c r="CT103" i="1" s="1" a="1"/>
  <c r="CT103" i="1" s="1"/>
  <c r="CL103" i="1"/>
  <c r="CS103" i="1" s="1" a="1"/>
  <c r="CS103" i="1" s="1"/>
  <c r="CK95" i="1"/>
  <c r="CR95" i="1" s="1" a="1"/>
  <c r="CR95" i="1" s="1"/>
  <c r="CM95" i="1"/>
  <c r="CT95" i="1" s="1" a="1"/>
  <c r="CT95" i="1" s="1"/>
  <c r="CL95" i="1"/>
  <c r="CS95" i="1" s="1" a="1"/>
  <c r="CS95" i="1" s="1"/>
  <c r="CK87" i="1"/>
  <c r="CR87" i="1" s="1" a="1"/>
  <c r="CR87" i="1" s="1"/>
  <c r="CM87" i="1"/>
  <c r="CT87" i="1" s="1" a="1"/>
  <c r="CT87" i="1" s="1"/>
  <c r="CL87" i="1"/>
  <c r="CS87" i="1" s="1" a="1"/>
  <c r="CS87" i="1" s="1"/>
  <c r="CK79" i="1"/>
  <c r="CR79" i="1" s="1" a="1"/>
  <c r="CR79" i="1" s="1"/>
  <c r="CM79" i="1"/>
  <c r="CT79" i="1" s="1" a="1"/>
  <c r="CT79" i="1" s="1"/>
  <c r="CL79" i="1"/>
  <c r="CS79" i="1" s="1" a="1"/>
  <c r="CS79" i="1" s="1"/>
  <c r="CK71" i="1"/>
  <c r="CR71" i="1" s="1" a="1"/>
  <c r="CR71" i="1" s="1"/>
  <c r="CM71" i="1"/>
  <c r="CT71" i="1" s="1" a="1"/>
  <c r="CT71" i="1" s="1"/>
  <c r="CL71" i="1"/>
  <c r="CS71" i="1" s="1" a="1"/>
  <c r="CS71" i="1" s="1"/>
  <c r="CK63" i="1"/>
  <c r="CR63" i="1" s="1" a="1"/>
  <c r="CR63" i="1" s="1"/>
  <c r="CM63" i="1"/>
  <c r="CT63" i="1" s="1" a="1"/>
  <c r="CT63" i="1" s="1"/>
  <c r="CL63" i="1"/>
  <c r="CS63" i="1" s="1" a="1"/>
  <c r="CS63" i="1" s="1"/>
  <c r="CK55" i="1"/>
  <c r="CR55" i="1" s="1" a="1"/>
  <c r="CR55" i="1" s="1"/>
  <c r="CM55" i="1"/>
  <c r="CT55" i="1" s="1" a="1"/>
  <c r="CT55" i="1" s="1"/>
  <c r="CL55" i="1"/>
  <c r="CS55" i="1" s="1" a="1"/>
  <c r="CS55" i="1" s="1"/>
  <c r="CK47" i="1"/>
  <c r="CR47" i="1" s="1" a="1"/>
  <c r="CR47" i="1" s="1"/>
  <c r="CM47" i="1"/>
  <c r="CT47" i="1" s="1" a="1"/>
  <c r="CT47" i="1" s="1"/>
  <c r="CL47" i="1"/>
  <c r="CS47" i="1" s="1" a="1"/>
  <c r="CS47" i="1" s="1"/>
  <c r="CK39" i="1"/>
  <c r="CR39" i="1" s="1" a="1"/>
  <c r="CR39" i="1" s="1"/>
  <c r="CM39" i="1"/>
  <c r="CT39" i="1" s="1" a="1"/>
  <c r="CT39" i="1" s="1"/>
  <c r="CL39" i="1"/>
  <c r="CS39" i="1" s="1" a="1"/>
  <c r="CS39" i="1" s="1"/>
  <c r="CK31" i="1"/>
  <c r="CR31" i="1" s="1" a="1"/>
  <c r="CR31" i="1" s="1"/>
  <c r="CM31" i="1"/>
  <c r="CT31" i="1" s="1" a="1"/>
  <c r="CT31" i="1" s="1"/>
  <c r="CL31" i="1"/>
  <c r="CS31" i="1" s="1" a="1"/>
  <c r="CS31" i="1" s="1"/>
  <c r="CK23" i="1"/>
  <c r="CR23" i="1" s="1" a="1"/>
  <c r="CR23" i="1" s="1"/>
  <c r="CM23" i="1"/>
  <c r="CT23" i="1" s="1" a="1"/>
  <c r="CT23" i="1" s="1"/>
  <c r="CL23" i="1"/>
  <c r="CS23" i="1" s="1" a="1"/>
  <c r="CS23" i="1" s="1"/>
  <c r="CK15" i="1"/>
  <c r="CR15" i="1" s="1" a="1"/>
  <c r="CR15" i="1" s="1"/>
  <c r="CM15" i="1"/>
  <c r="CT15" i="1" s="1" a="1"/>
  <c r="CT15" i="1" s="1"/>
  <c r="CL15" i="1"/>
  <c r="CS15" i="1" s="1" a="1"/>
  <c r="CS15" i="1" s="1"/>
  <c r="CK6" i="1"/>
  <c r="CR6" i="1" s="1" a="1"/>
  <c r="CR6" i="1" s="1"/>
  <c r="CM6" i="1"/>
  <c r="CT6" i="1" s="1" a="1"/>
  <c r="CT6" i="1" s="1"/>
  <c r="CL6" i="1"/>
  <c r="CS6" i="1" s="1" a="1"/>
  <c r="CS6" i="1" s="1"/>
  <c r="CQ570" i="1"/>
  <c r="CV570" i="1" s="1" a="1"/>
  <c r="CV570" i="1" s="1"/>
  <c r="CP570" i="1"/>
  <c r="CU570" i="1" s="1" a="1"/>
  <c r="CU570" i="1" s="1"/>
  <c r="CP560" i="1"/>
  <c r="CU560" i="1" s="1" a="1"/>
  <c r="CU560" i="1" s="1"/>
  <c r="CQ560" i="1"/>
  <c r="CV560" i="1" s="1" a="1"/>
  <c r="CV560" i="1" s="1"/>
  <c r="CQ551" i="1"/>
  <c r="CV551" i="1" s="1" a="1"/>
  <c r="CV551" i="1" s="1"/>
  <c r="CP551" i="1"/>
  <c r="CU551" i="1" s="1" a="1"/>
  <c r="CU551" i="1" s="1"/>
  <c r="CQ543" i="1"/>
  <c r="CV543" i="1" s="1" a="1"/>
  <c r="CV543" i="1" s="1"/>
  <c r="CP543" i="1"/>
  <c r="CU543" i="1" s="1" a="1"/>
  <c r="CU543" i="1" s="1"/>
  <c r="CQ535" i="1"/>
  <c r="CV535" i="1" s="1" a="1"/>
  <c r="CV535" i="1" s="1"/>
  <c r="CP535" i="1"/>
  <c r="CU535" i="1" s="1" a="1"/>
  <c r="CU535" i="1" s="1"/>
  <c r="CP526" i="1"/>
  <c r="CU526" i="1" s="1" a="1"/>
  <c r="CU526" i="1" s="1"/>
  <c r="CQ526" i="1"/>
  <c r="CV526" i="1" s="1" a="1"/>
  <c r="CV526" i="1" s="1"/>
  <c r="CQ517" i="1"/>
  <c r="CV517" i="1" s="1" a="1"/>
  <c r="CV517" i="1" s="1"/>
  <c r="CP517" i="1"/>
  <c r="CU517" i="1" s="1" a="1"/>
  <c r="CU517" i="1" s="1"/>
  <c r="CQ508" i="1"/>
  <c r="CV508" i="1" s="1" a="1"/>
  <c r="CV508" i="1" s="1"/>
  <c r="CP508" i="1"/>
  <c r="CU508" i="1" s="1" a="1"/>
  <c r="CU508" i="1" s="1"/>
  <c r="CQ498" i="1"/>
  <c r="CV498" i="1" s="1" a="1"/>
  <c r="CV498" i="1" s="1"/>
  <c r="CP498" i="1"/>
  <c r="CU498" i="1" s="1" a="1"/>
  <c r="CU498" i="1" s="1"/>
  <c r="CQ489" i="1"/>
  <c r="CV489" i="1" s="1" a="1"/>
  <c r="CV489" i="1" s="1"/>
  <c r="CP489" i="1"/>
  <c r="CU489" i="1" s="1" a="1"/>
  <c r="CU489" i="1" s="1"/>
  <c r="CQ481" i="1"/>
  <c r="CV481" i="1" s="1" a="1"/>
  <c r="CV481" i="1" s="1"/>
  <c r="CP481" i="1"/>
  <c r="CU481" i="1" s="1" a="1"/>
  <c r="CU481" i="1" s="1"/>
  <c r="CQ473" i="1"/>
  <c r="CV473" i="1" s="1" a="1"/>
  <c r="CV473" i="1" s="1"/>
  <c r="CP473" i="1"/>
  <c r="CU473" i="1" s="1" a="1"/>
  <c r="CU473" i="1" s="1"/>
  <c r="CQ465" i="1"/>
  <c r="CV465" i="1" s="1" a="1"/>
  <c r="CV465" i="1" s="1"/>
  <c r="CP465" i="1"/>
  <c r="CU465" i="1" s="1" a="1"/>
  <c r="CU465" i="1" s="1"/>
  <c r="CQ456" i="1"/>
  <c r="CV456" i="1" s="1" a="1"/>
  <c r="CV456" i="1" s="1"/>
  <c r="CP456" i="1"/>
  <c r="CU456" i="1" s="1" a="1"/>
  <c r="CU456" i="1" s="1"/>
  <c r="CQ448" i="1"/>
  <c r="CV448" i="1" s="1" a="1"/>
  <c r="CV448" i="1" s="1"/>
  <c r="CP448" i="1"/>
  <c r="CU448" i="1" s="1" a="1"/>
  <c r="CU448" i="1" s="1"/>
  <c r="CQ439" i="1"/>
  <c r="CV439" i="1" s="1" a="1"/>
  <c r="CV439" i="1" s="1"/>
  <c r="CP439" i="1"/>
  <c r="CU439" i="1" s="1" a="1"/>
  <c r="CU439" i="1" s="1"/>
  <c r="CQ427" i="1"/>
  <c r="CV427" i="1" s="1" a="1"/>
  <c r="CV427" i="1" s="1"/>
  <c r="CP427" i="1"/>
  <c r="CU427" i="1" s="1" a="1"/>
  <c r="CU427" i="1" s="1"/>
  <c r="CP419" i="1"/>
  <c r="CU419" i="1" s="1" a="1"/>
  <c r="CU419" i="1" s="1"/>
  <c r="CQ419" i="1"/>
  <c r="CV419" i="1" s="1" a="1"/>
  <c r="CV419" i="1" s="1"/>
  <c r="CQ409" i="1"/>
  <c r="CV409" i="1" s="1" a="1"/>
  <c r="CV409" i="1" s="1"/>
  <c r="CP409" i="1"/>
  <c r="CU409" i="1" s="1" a="1"/>
  <c r="CU409" i="1" s="1"/>
  <c r="CP398" i="1"/>
  <c r="CU398" i="1" s="1" a="1"/>
  <c r="CU398" i="1" s="1"/>
  <c r="CQ398" i="1"/>
  <c r="CV398" i="1" s="1" a="1"/>
  <c r="CV398" i="1" s="1"/>
  <c r="CP390" i="1"/>
  <c r="CU390" i="1" s="1" a="1"/>
  <c r="CU390" i="1" s="1"/>
  <c r="CQ390" i="1"/>
  <c r="CV390" i="1" s="1" a="1"/>
  <c r="CV390" i="1" s="1"/>
  <c r="CQ381" i="1"/>
  <c r="CV381" i="1" s="1" a="1"/>
  <c r="CV381" i="1" s="1"/>
  <c r="CP381" i="1"/>
  <c r="CU381" i="1" s="1" a="1"/>
  <c r="CU381" i="1" s="1"/>
  <c r="CQ372" i="1"/>
  <c r="CV372" i="1" s="1" a="1"/>
  <c r="CV372" i="1" s="1"/>
  <c r="CP372" i="1"/>
  <c r="CU372" i="1" s="1" a="1"/>
  <c r="CU372" i="1" s="1"/>
  <c r="CQ364" i="1"/>
  <c r="CV364" i="1" s="1" a="1"/>
  <c r="CV364" i="1" s="1"/>
  <c r="CP364" i="1"/>
  <c r="CU364" i="1" s="1" a="1"/>
  <c r="CU364" i="1" s="1"/>
  <c r="CP355" i="1"/>
  <c r="CU355" i="1" s="1" a="1"/>
  <c r="CU355" i="1" s="1"/>
  <c r="CQ355" i="1"/>
  <c r="CV355" i="1" s="1" a="1"/>
  <c r="CV355" i="1" s="1"/>
  <c r="CQ346" i="1"/>
  <c r="CV346" i="1" s="1" a="1"/>
  <c r="CV346" i="1" s="1"/>
  <c r="CP346" i="1"/>
  <c r="CU346" i="1" s="1" a="1"/>
  <c r="CU346" i="1" s="1"/>
  <c r="CQ335" i="1"/>
  <c r="CV335" i="1" s="1" a="1"/>
  <c r="CV335" i="1" s="1"/>
  <c r="CP335" i="1"/>
  <c r="CU335" i="1" s="1" a="1"/>
  <c r="CU335" i="1" s="1"/>
  <c r="CQ325" i="1"/>
  <c r="CV325" i="1" s="1" a="1"/>
  <c r="CV325" i="1" s="1"/>
  <c r="CP325" i="1"/>
  <c r="CU325" i="1" s="1" a="1"/>
  <c r="CU325" i="1" s="1"/>
  <c r="CQ315" i="1"/>
  <c r="CV315" i="1" s="1" a="1"/>
  <c r="CV315" i="1" s="1"/>
  <c r="CP315" i="1"/>
  <c r="CU315" i="1" s="1" a="1"/>
  <c r="CU315" i="1" s="1"/>
  <c r="CQ306" i="1"/>
  <c r="CV306" i="1" s="1" a="1"/>
  <c r="CV306" i="1" s="1"/>
  <c r="CP306" i="1"/>
  <c r="CU306" i="1" s="1" a="1"/>
  <c r="CU306" i="1" s="1"/>
  <c r="CQ297" i="1"/>
  <c r="CV297" i="1" s="1" a="1"/>
  <c r="CV297" i="1" s="1"/>
  <c r="CP297" i="1"/>
  <c r="CU297" i="1" s="1" a="1"/>
  <c r="CU297" i="1" s="1"/>
  <c r="CQ288" i="1"/>
  <c r="CV288" i="1" s="1" a="1"/>
  <c r="CV288" i="1" s="1"/>
  <c r="CP288" i="1"/>
  <c r="CU288" i="1" s="1" a="1"/>
  <c r="CU288" i="1" s="1"/>
  <c r="CQ279" i="1"/>
  <c r="CV279" i="1" s="1" a="1"/>
  <c r="CV279" i="1" s="1"/>
  <c r="CP279" i="1"/>
  <c r="CU279" i="1" s="1" a="1"/>
  <c r="CU279" i="1" s="1"/>
  <c r="CQ270" i="1"/>
  <c r="CV270" i="1" s="1" a="1"/>
  <c r="CV270" i="1" s="1"/>
  <c r="CP270" i="1"/>
  <c r="CU270" i="1" s="1" a="1"/>
  <c r="CU270" i="1" s="1"/>
  <c r="CQ259" i="1"/>
  <c r="CV259" i="1" s="1" a="1"/>
  <c r="CV259" i="1" s="1"/>
  <c r="CP259" i="1"/>
  <c r="CU259" i="1" s="1" a="1"/>
  <c r="CU259" i="1" s="1"/>
  <c r="CQ249" i="1"/>
  <c r="CV249" i="1" s="1" a="1"/>
  <c r="CV249" i="1" s="1"/>
  <c r="CP249" i="1"/>
  <c r="CU249" i="1" s="1" a="1"/>
  <c r="CU249" i="1" s="1"/>
  <c r="CQ241" i="1"/>
  <c r="CV241" i="1" s="1" a="1"/>
  <c r="CV241" i="1" s="1"/>
  <c r="CP241" i="1"/>
  <c r="CU241" i="1" s="1" a="1"/>
  <c r="CU241" i="1" s="1"/>
  <c r="CQ233" i="1"/>
  <c r="CV233" i="1" s="1" a="1"/>
  <c r="CV233" i="1" s="1"/>
  <c r="CP233" i="1"/>
  <c r="CU233" i="1" s="1" a="1"/>
  <c r="CU233" i="1" s="1"/>
  <c r="CQ224" i="1"/>
  <c r="CV224" i="1" s="1" a="1"/>
  <c r="CV224" i="1" s="1"/>
  <c r="CP224" i="1"/>
  <c r="CU224" i="1" s="1" a="1"/>
  <c r="CU224" i="1" s="1"/>
  <c r="CQ216" i="1"/>
  <c r="CV216" i="1" s="1" a="1"/>
  <c r="CV216" i="1" s="1"/>
  <c r="CP216" i="1"/>
  <c r="CU216" i="1" s="1" a="1"/>
  <c r="CU216" i="1" s="1"/>
  <c r="CQ208" i="1"/>
  <c r="CV208" i="1" s="1" a="1"/>
  <c r="CV208" i="1" s="1"/>
  <c r="CP208" i="1"/>
  <c r="CU208" i="1" s="1" a="1"/>
  <c r="CU208" i="1" s="1"/>
  <c r="CQ198" i="1"/>
  <c r="CV198" i="1" s="1" a="1"/>
  <c r="CV198" i="1" s="1"/>
  <c r="CP198" i="1"/>
  <c r="CU198" i="1" s="1" a="1"/>
  <c r="CU198" i="1" s="1"/>
  <c r="CQ188" i="1"/>
  <c r="CV188" i="1" s="1" a="1"/>
  <c r="CV188" i="1" s="1"/>
  <c r="CP188" i="1"/>
  <c r="CU188" i="1" s="1" a="1"/>
  <c r="CU188" i="1" s="1"/>
  <c r="CQ178" i="1"/>
  <c r="CV178" i="1" s="1" a="1"/>
  <c r="CV178" i="1" s="1"/>
  <c r="CP178" i="1"/>
  <c r="CU178" i="1" s="1" a="1"/>
  <c r="CU178" i="1" s="1"/>
  <c r="CQ168" i="1"/>
  <c r="CV168" i="1" s="1" a="1"/>
  <c r="CV168" i="1" s="1"/>
  <c r="CP168" i="1"/>
  <c r="CU168" i="1" s="1" a="1"/>
  <c r="CU168" i="1" s="1"/>
  <c r="CQ157" i="1"/>
  <c r="CV157" i="1" s="1" a="1"/>
  <c r="CV157" i="1" s="1"/>
  <c r="CP157" i="1"/>
  <c r="CU157" i="1" s="1" a="1"/>
  <c r="CU157" i="1" s="1"/>
  <c r="CQ147" i="1"/>
  <c r="CV147" i="1" s="1" a="1"/>
  <c r="CV147" i="1" s="1"/>
  <c r="CP147" i="1"/>
  <c r="CU147" i="1" s="1" a="1"/>
  <c r="CU147" i="1" s="1"/>
  <c r="CQ139" i="1"/>
  <c r="CV139" i="1" s="1" a="1"/>
  <c r="CV139" i="1" s="1"/>
  <c r="CP139" i="1"/>
  <c r="CU139" i="1" s="1" a="1"/>
  <c r="CU139" i="1" s="1"/>
  <c r="CQ130" i="1"/>
  <c r="CV130" i="1" s="1" a="1"/>
  <c r="CV130" i="1" s="1"/>
  <c r="CP130" i="1"/>
  <c r="CU130" i="1" s="1" a="1"/>
  <c r="CU130" i="1" s="1"/>
  <c r="CQ122" i="1"/>
  <c r="CV122" i="1" s="1" a="1"/>
  <c r="CV122" i="1" s="1"/>
  <c r="CP122" i="1"/>
  <c r="CU122" i="1" s="1" a="1"/>
  <c r="CU122" i="1" s="1"/>
  <c r="CQ112" i="1"/>
  <c r="CV112" i="1" s="1" a="1"/>
  <c r="CV112" i="1" s="1"/>
  <c r="CP112" i="1"/>
  <c r="CU112" i="1" s="1" a="1"/>
  <c r="CU112" i="1" s="1"/>
  <c r="CQ103" i="1"/>
  <c r="CV103" i="1" s="1" a="1"/>
  <c r="CV103" i="1" s="1"/>
  <c r="CP103" i="1"/>
  <c r="CU103" i="1" s="1" a="1"/>
  <c r="CU103" i="1" s="1"/>
  <c r="CQ95" i="1"/>
  <c r="CV95" i="1" s="1" a="1"/>
  <c r="CV95" i="1" s="1"/>
  <c r="CP95" i="1"/>
  <c r="CU95" i="1" s="1" a="1"/>
  <c r="CU95" i="1" s="1"/>
  <c r="CP86" i="1"/>
  <c r="CU86" i="1" s="1" a="1"/>
  <c r="CU86" i="1" s="1"/>
  <c r="CQ86" i="1"/>
  <c r="CV86" i="1" s="1" a="1"/>
  <c r="CV86" i="1" s="1"/>
  <c r="CQ76" i="1"/>
  <c r="CV76" i="1" s="1" a="1"/>
  <c r="CV76" i="1" s="1"/>
  <c r="CP76" i="1"/>
  <c r="CU76" i="1" s="1" a="1"/>
  <c r="CU76" i="1" s="1"/>
  <c r="CQ67" i="1"/>
  <c r="CV67" i="1" s="1" a="1"/>
  <c r="CV67" i="1" s="1"/>
  <c r="CP67" i="1"/>
  <c r="CU67" i="1" s="1" a="1"/>
  <c r="CU67" i="1" s="1"/>
  <c r="CQ59" i="1"/>
  <c r="CV59" i="1" s="1" a="1"/>
  <c r="CV59" i="1" s="1"/>
  <c r="CP59" i="1"/>
  <c r="CU59" i="1" s="1" a="1"/>
  <c r="CU59" i="1" s="1"/>
  <c r="CQ49" i="1"/>
  <c r="CV49" i="1" s="1" a="1"/>
  <c r="CV49" i="1" s="1"/>
  <c r="CP49" i="1"/>
  <c r="CU49" i="1" s="1" a="1"/>
  <c r="CU49" i="1" s="1"/>
  <c r="CQ41" i="1"/>
  <c r="CV41" i="1" s="1" a="1"/>
  <c r="CV41" i="1" s="1"/>
  <c r="CP41" i="1"/>
  <c r="CU41" i="1" s="1" a="1"/>
  <c r="CU41" i="1" s="1"/>
  <c r="CQ33" i="1"/>
  <c r="CV33" i="1" s="1" a="1"/>
  <c r="CV33" i="1" s="1"/>
  <c r="CP33" i="1"/>
  <c r="CU33" i="1" s="1" a="1"/>
  <c r="CU33" i="1" s="1"/>
  <c r="CP25" i="1"/>
  <c r="CU25" i="1" s="1" a="1"/>
  <c r="CU25" i="1" s="1"/>
  <c r="CQ25" i="1"/>
  <c r="CV25" i="1" s="1" a="1"/>
  <c r="CV25" i="1" s="1"/>
  <c r="CQ13" i="1"/>
  <c r="CV13" i="1" s="1" a="1"/>
  <c r="CV13" i="1" s="1"/>
  <c r="CP13" i="1"/>
  <c r="CU13" i="1" s="1" a="1"/>
  <c r="CU13" i="1" s="1"/>
  <c r="CQ4" i="1"/>
  <c r="CV4" i="1" s="1" a="1"/>
  <c r="CV4" i="1" s="1"/>
  <c r="CP4" i="1"/>
  <c r="CU4" i="1" s="1" a="1"/>
  <c r="CU4" i="1" s="1"/>
  <c r="CQ99" i="1"/>
  <c r="CV99" i="1" s="1" a="1"/>
  <c r="CV99" i="1" s="1"/>
  <c r="CP99" i="1"/>
  <c r="CU99" i="1" s="1" a="1"/>
  <c r="CU99" i="1" s="1"/>
  <c r="CQ63" i="1"/>
  <c r="CV63" i="1" s="1" a="1"/>
  <c r="CV63" i="1" s="1"/>
  <c r="CP63" i="1"/>
  <c r="CU63" i="1" s="1" a="1"/>
  <c r="CU63" i="1" s="1"/>
  <c r="CP37" i="1"/>
  <c r="CU37" i="1" s="1" a="1"/>
  <c r="CU37" i="1" s="1"/>
  <c r="CQ37" i="1"/>
  <c r="CV37" i="1" s="1" a="1"/>
  <c r="CV37" i="1" s="1"/>
  <c r="CP8" i="1"/>
  <c r="CU8" i="1" s="1" a="1"/>
  <c r="CU8" i="1" s="1"/>
  <c r="CQ8" i="1"/>
  <c r="CV8" i="1" s="1" a="1"/>
  <c r="CV8" i="1" s="1"/>
  <c r="CL569" i="1"/>
  <c r="CS569" i="1" s="1" a="1"/>
  <c r="CS569" i="1" s="1"/>
  <c r="CM569" i="1"/>
  <c r="CT569" i="1" s="1" a="1"/>
  <c r="CT569" i="1" s="1"/>
  <c r="CK545" i="1"/>
  <c r="CR545" i="1" s="1" a="1"/>
  <c r="CR545" i="1" s="1"/>
  <c r="CL545" i="1"/>
  <c r="CS545" i="1" s="1" a="1"/>
  <c r="CS545" i="1" s="1"/>
  <c r="CM545" i="1"/>
  <c r="CT545" i="1" s="1" a="1"/>
  <c r="CT545" i="1" s="1"/>
  <c r="CK521" i="1"/>
  <c r="CR521" i="1" s="1" a="1"/>
  <c r="CR521" i="1" s="1"/>
  <c r="CL521" i="1"/>
  <c r="CS521" i="1" s="1" a="1"/>
  <c r="CS521" i="1" s="1"/>
  <c r="CM521" i="1"/>
  <c r="CT521" i="1" s="1" a="1"/>
  <c r="CT521" i="1" s="1"/>
  <c r="CK497" i="1"/>
  <c r="CR497" i="1" s="1" a="1"/>
  <c r="CR497" i="1" s="1"/>
  <c r="CL497" i="1"/>
  <c r="CS497" i="1" s="1" a="1"/>
  <c r="CS497" i="1" s="1"/>
  <c r="CM497" i="1"/>
  <c r="CT497" i="1" s="1" a="1"/>
  <c r="CT497" i="1" s="1"/>
  <c r="CK473" i="1"/>
  <c r="CR473" i="1" s="1" a="1"/>
  <c r="CR473" i="1" s="1"/>
  <c r="CL473" i="1"/>
  <c r="CS473" i="1" s="1" a="1"/>
  <c r="CS473" i="1" s="1"/>
  <c r="CM473" i="1"/>
  <c r="CT473" i="1" s="1" a="1"/>
  <c r="CT473" i="1" s="1"/>
  <c r="CK449" i="1"/>
  <c r="CR449" i="1" s="1" a="1"/>
  <c r="CR449" i="1" s="1"/>
  <c r="CL449" i="1"/>
  <c r="CS449" i="1" s="1" a="1"/>
  <c r="CS449" i="1" s="1"/>
  <c r="CM449" i="1"/>
  <c r="CT449" i="1" s="1" a="1"/>
  <c r="CT449" i="1" s="1"/>
  <c r="CK425" i="1"/>
  <c r="CR425" i="1" s="1" a="1"/>
  <c r="CR425" i="1" s="1"/>
  <c r="CL425" i="1"/>
  <c r="CS425" i="1" s="1" a="1"/>
  <c r="CS425" i="1" s="1"/>
  <c r="CM425" i="1"/>
  <c r="CT425" i="1" s="1" a="1"/>
  <c r="CT425" i="1" s="1"/>
  <c r="CK401" i="1"/>
  <c r="CR401" i="1" s="1" a="1"/>
  <c r="CR401" i="1" s="1"/>
  <c r="CM401" i="1"/>
  <c r="CT401" i="1" s="1" a="1"/>
  <c r="CT401" i="1" s="1"/>
  <c r="CL401" i="1"/>
  <c r="CS401" i="1" s="1" a="1"/>
  <c r="CS401" i="1" s="1"/>
  <c r="CK377" i="1"/>
  <c r="CR377" i="1" s="1" a="1"/>
  <c r="CR377" i="1" s="1"/>
  <c r="CM377" i="1"/>
  <c r="CT377" i="1" s="1" a="1"/>
  <c r="CT377" i="1" s="1"/>
  <c r="CL377" i="1"/>
  <c r="CS377" i="1" s="1" a="1"/>
  <c r="CS377" i="1" s="1"/>
  <c r="CK345" i="1"/>
  <c r="CR345" i="1" s="1" a="1"/>
  <c r="CR345" i="1" s="1"/>
  <c r="CM345" i="1"/>
  <c r="CT345" i="1" s="1" a="1"/>
  <c r="CT345" i="1" s="1"/>
  <c r="CL345" i="1"/>
  <c r="CS345" i="1" s="1" a="1"/>
  <c r="CS345" i="1" s="1"/>
  <c r="CK321" i="1"/>
  <c r="CR321" i="1" s="1" a="1"/>
  <c r="CR321" i="1" s="1"/>
  <c r="CM321" i="1"/>
  <c r="CT321" i="1" s="1" a="1"/>
  <c r="CT321" i="1" s="1"/>
  <c r="CL321" i="1"/>
  <c r="CS321" i="1" s="1" a="1"/>
  <c r="CS321" i="1" s="1"/>
  <c r="CK297" i="1"/>
  <c r="CR297" i="1" s="1" a="1"/>
  <c r="CR297" i="1" s="1"/>
  <c r="CM297" i="1"/>
  <c r="CT297" i="1" s="1" a="1"/>
  <c r="CT297" i="1" s="1"/>
  <c r="CL297" i="1"/>
  <c r="CS297" i="1" s="1" a="1"/>
  <c r="CS297" i="1" s="1"/>
  <c r="CK273" i="1"/>
  <c r="CR273" i="1" s="1" a="1"/>
  <c r="CR273" i="1" s="1"/>
  <c r="CM273" i="1"/>
  <c r="CT273" i="1" s="1" a="1"/>
  <c r="CT273" i="1" s="1"/>
  <c r="CL273" i="1"/>
  <c r="CS273" i="1" s="1" a="1"/>
  <c r="CS273" i="1" s="1"/>
  <c r="CK249" i="1"/>
  <c r="CR249" i="1" s="1" a="1"/>
  <c r="CR249" i="1" s="1"/>
  <c r="CM249" i="1"/>
  <c r="CT249" i="1" s="1" a="1"/>
  <c r="CT249" i="1" s="1"/>
  <c r="CL249" i="1"/>
  <c r="CS249" i="1" s="1" a="1"/>
  <c r="CS249" i="1" s="1"/>
  <c r="CK217" i="1"/>
  <c r="CR217" i="1" s="1" a="1"/>
  <c r="CR217" i="1" s="1"/>
  <c r="CM217" i="1"/>
  <c r="CT217" i="1" s="1" a="1"/>
  <c r="CT217" i="1" s="1"/>
  <c r="CL217" i="1"/>
  <c r="CS217" i="1" s="1" a="1"/>
  <c r="CS217" i="1" s="1"/>
  <c r="CK193" i="1"/>
  <c r="CR193" i="1" s="1" a="1"/>
  <c r="CR193" i="1" s="1"/>
  <c r="CM193" i="1"/>
  <c r="CT193" i="1" s="1" a="1"/>
  <c r="CT193" i="1" s="1"/>
  <c r="CL193" i="1"/>
  <c r="CS193" i="1" s="1" a="1"/>
  <c r="CS193" i="1" s="1"/>
  <c r="CK169" i="1"/>
  <c r="CR169" i="1" s="1" a="1"/>
  <c r="CR169" i="1" s="1"/>
  <c r="CM169" i="1"/>
  <c r="CT169" i="1" s="1" a="1"/>
  <c r="CT169" i="1" s="1"/>
  <c r="CL169" i="1"/>
  <c r="CS169" i="1" s="1" a="1"/>
  <c r="CS169" i="1" s="1"/>
  <c r="CK145" i="1"/>
  <c r="CR145" i="1" s="1" a="1"/>
  <c r="CR145" i="1" s="1"/>
  <c r="CM145" i="1"/>
  <c r="CT145" i="1" s="1" a="1"/>
  <c r="CT145" i="1" s="1"/>
  <c r="CL145" i="1"/>
  <c r="CS145" i="1" s="1" a="1"/>
  <c r="CS145" i="1" s="1"/>
  <c r="CK121" i="1"/>
  <c r="CR121" i="1" s="1" a="1"/>
  <c r="CR121" i="1" s="1"/>
  <c r="CM121" i="1"/>
  <c r="CT121" i="1" s="1" a="1"/>
  <c r="CT121" i="1" s="1"/>
  <c r="CL121" i="1"/>
  <c r="CS121" i="1" s="1" a="1"/>
  <c r="CS121" i="1" s="1"/>
  <c r="CK97" i="1"/>
  <c r="CR97" i="1" s="1" a="1"/>
  <c r="CR97" i="1" s="1"/>
  <c r="CM97" i="1"/>
  <c r="CT97" i="1" s="1" a="1"/>
  <c r="CT97" i="1" s="1"/>
  <c r="CL97" i="1"/>
  <c r="CS97" i="1" s="1" a="1"/>
  <c r="CS97" i="1" s="1"/>
  <c r="CM73" i="1"/>
  <c r="CT73" i="1" s="1" a="1"/>
  <c r="CT73" i="1" s="1"/>
  <c r="CL73" i="1"/>
  <c r="CS73" i="1" s="1" a="1"/>
  <c r="CS73" i="1" s="1"/>
  <c r="CK49" i="1"/>
  <c r="CR49" i="1" s="1" a="1"/>
  <c r="CR49" i="1" s="1"/>
  <c r="CM49" i="1"/>
  <c r="CT49" i="1" s="1" a="1"/>
  <c r="CT49" i="1" s="1"/>
  <c r="CL49" i="1"/>
  <c r="CS49" i="1" s="1" a="1"/>
  <c r="CS49" i="1" s="1"/>
  <c r="CK25" i="1"/>
  <c r="CR25" i="1" s="1" a="1"/>
  <c r="CR25" i="1" s="1"/>
  <c r="CM25" i="1"/>
  <c r="CT25" i="1" s="1" a="1"/>
  <c r="CT25" i="1" s="1"/>
  <c r="CL25" i="1"/>
  <c r="CS25" i="1" s="1" a="1"/>
  <c r="CS25" i="1" s="1"/>
  <c r="CQ572" i="1"/>
  <c r="CV572" i="1" s="1" a="1"/>
  <c r="CV572" i="1" s="1"/>
  <c r="CP572" i="1"/>
  <c r="CU572" i="1" s="1" a="1"/>
  <c r="CU572" i="1" s="1"/>
  <c r="CP545" i="1"/>
  <c r="CU545" i="1" s="1" a="1"/>
  <c r="CU545" i="1" s="1"/>
  <c r="CQ545" i="1"/>
  <c r="CV545" i="1" s="1" a="1"/>
  <c r="CV545" i="1" s="1"/>
  <c r="CQ520" i="1"/>
  <c r="CV520" i="1" s="1" a="1"/>
  <c r="CV520" i="1" s="1"/>
  <c r="CP520" i="1"/>
  <c r="CU520" i="1" s="1" a="1"/>
  <c r="CU520" i="1" s="1"/>
  <c r="CQ492" i="1"/>
  <c r="CV492" i="1" s="1" a="1"/>
  <c r="CV492" i="1" s="1"/>
  <c r="CP492" i="1"/>
  <c r="CU492" i="1" s="1" a="1"/>
  <c r="CU492" i="1" s="1"/>
  <c r="CP467" i="1"/>
  <c r="CU467" i="1" s="1" a="1"/>
  <c r="CU467" i="1" s="1"/>
  <c r="CQ467" i="1"/>
  <c r="CV467" i="1" s="1" a="1"/>
  <c r="CV467" i="1" s="1"/>
  <c r="CQ442" i="1"/>
  <c r="CV442" i="1" s="1" a="1"/>
  <c r="CV442" i="1" s="1"/>
  <c r="CP442" i="1"/>
  <c r="CU442" i="1" s="1" a="1"/>
  <c r="CU442" i="1" s="1"/>
  <c r="CQ413" i="1"/>
  <c r="CV413" i="1" s="1" a="1"/>
  <c r="CV413" i="1" s="1"/>
  <c r="CP413" i="1"/>
  <c r="CU413" i="1" s="1" a="1"/>
  <c r="CU413" i="1" s="1"/>
  <c r="CQ374" i="1"/>
  <c r="CV374" i="1" s="1" a="1"/>
  <c r="CV374" i="1" s="1"/>
  <c r="CP374" i="1"/>
  <c r="CU374" i="1" s="1" a="1"/>
  <c r="CU374" i="1" s="1"/>
  <c r="CQ348" i="1"/>
  <c r="CV348" i="1" s="1" a="1"/>
  <c r="CV348" i="1" s="1"/>
  <c r="CP348" i="1"/>
  <c r="CU348" i="1" s="1" a="1"/>
  <c r="CU348" i="1" s="1"/>
  <c r="CQ317" i="1"/>
  <c r="CV317" i="1" s="1" a="1"/>
  <c r="CV317" i="1" s="1"/>
  <c r="CP317" i="1"/>
  <c r="CU317" i="1" s="1" a="1"/>
  <c r="CU317" i="1" s="1"/>
  <c r="CQ290" i="1"/>
  <c r="CV290" i="1" s="1" a="1"/>
  <c r="CV290" i="1" s="1"/>
  <c r="CP290" i="1"/>
  <c r="CU290" i="1" s="1" a="1"/>
  <c r="CU290" i="1" s="1"/>
  <c r="CQ262" i="1"/>
  <c r="CV262" i="1" s="1" a="1"/>
  <c r="CV262" i="1" s="1"/>
  <c r="CP262" i="1"/>
  <c r="CU262" i="1" s="1" a="1"/>
  <c r="CU262" i="1" s="1"/>
  <c r="CQ235" i="1"/>
  <c r="CV235" i="1" s="1" a="1"/>
  <c r="CV235" i="1" s="1"/>
  <c r="CP235" i="1"/>
  <c r="CU235" i="1" s="1" a="1"/>
  <c r="CU235" i="1" s="1"/>
  <c r="CQ210" i="1"/>
  <c r="CV210" i="1" s="1" a="1"/>
  <c r="CV210" i="1" s="1"/>
  <c r="CP210" i="1"/>
  <c r="CU210" i="1" s="1" a="1"/>
  <c r="CU210" i="1" s="1"/>
  <c r="CQ180" i="1"/>
  <c r="CV180" i="1" s="1" a="1"/>
  <c r="CV180" i="1" s="1"/>
  <c r="CP180" i="1"/>
  <c r="CU180" i="1" s="1" a="1"/>
  <c r="CU180" i="1" s="1"/>
  <c r="CQ160" i="1"/>
  <c r="CV160" i="1" s="1" a="1"/>
  <c r="CV160" i="1" s="1"/>
  <c r="CP160" i="1"/>
  <c r="CU160" i="1" s="1" a="1"/>
  <c r="CU160" i="1" s="1"/>
  <c r="CQ149" i="1"/>
  <c r="CV149" i="1" s="1" a="1"/>
  <c r="CV149" i="1" s="1"/>
  <c r="CP149" i="1"/>
  <c r="CU149" i="1" s="1" a="1"/>
  <c r="CU149" i="1" s="1"/>
  <c r="CQ124" i="1"/>
  <c r="CV124" i="1" s="1" a="1"/>
  <c r="CV124" i="1" s="1"/>
  <c r="CP124" i="1"/>
  <c r="CU124" i="1" s="1" a="1"/>
  <c r="CU124" i="1" s="1"/>
  <c r="CQ97" i="1"/>
  <c r="CV97" i="1" s="1" a="1"/>
  <c r="CV97" i="1" s="1"/>
  <c r="CP97" i="1"/>
  <c r="CU97" i="1" s="1" a="1"/>
  <c r="CU97" i="1" s="1"/>
  <c r="CQ69" i="1"/>
  <c r="CV69" i="1" s="1" a="1"/>
  <c r="CV69" i="1" s="1"/>
  <c r="CP69" i="1"/>
  <c r="CU69" i="1" s="1" a="1"/>
  <c r="CU69" i="1" s="1"/>
  <c r="CQ35" i="1"/>
  <c r="CV35" i="1" s="1" a="1"/>
  <c r="CV35" i="1" s="1"/>
  <c r="CP35" i="1"/>
  <c r="CU35" i="1" s="1" a="1"/>
  <c r="CU35" i="1" s="1"/>
  <c r="CQ6" i="1"/>
  <c r="CV6" i="1" s="1" a="1"/>
  <c r="CV6" i="1" s="1"/>
  <c r="CP6" i="1"/>
  <c r="CU6" i="1" s="1" a="1"/>
  <c r="CU6" i="1" s="1"/>
  <c r="CK566" i="1"/>
  <c r="CR566" i="1" s="1" a="1"/>
  <c r="CR566" i="1" s="1"/>
  <c r="CM566" i="1"/>
  <c r="CT566" i="1" s="1" a="1"/>
  <c r="CT566" i="1" s="1"/>
  <c r="CL566" i="1"/>
  <c r="CS566" i="1" s="1" a="1"/>
  <c r="CS566" i="1" s="1"/>
  <c r="CK558" i="1"/>
  <c r="CR558" i="1" s="1" a="1"/>
  <c r="CR558" i="1" s="1"/>
  <c r="CM558" i="1"/>
  <c r="CT558" i="1" s="1" a="1"/>
  <c r="CT558" i="1" s="1"/>
  <c r="CL558" i="1"/>
  <c r="CS558" i="1" s="1" a="1"/>
  <c r="CS558" i="1" s="1"/>
  <c r="CK550" i="1"/>
  <c r="CR550" i="1" s="1" a="1"/>
  <c r="CR550" i="1" s="1"/>
  <c r="CM550" i="1"/>
  <c r="CT550" i="1" s="1" a="1"/>
  <c r="CT550" i="1" s="1"/>
  <c r="CL550" i="1"/>
  <c r="CS550" i="1" s="1" a="1"/>
  <c r="CS550" i="1" s="1"/>
  <c r="CK542" i="1"/>
  <c r="CR542" i="1" s="1" a="1"/>
  <c r="CR542" i="1" s="1"/>
  <c r="CM542" i="1"/>
  <c r="CT542" i="1" s="1" a="1"/>
  <c r="CT542" i="1" s="1"/>
  <c r="CL542" i="1"/>
  <c r="CS542" i="1" s="1" a="1"/>
  <c r="CS542" i="1" s="1"/>
  <c r="CM534" i="1"/>
  <c r="CT534" i="1" s="1" a="1"/>
  <c r="CT534" i="1" s="1"/>
  <c r="CL534" i="1"/>
  <c r="CS534" i="1" s="1" a="1"/>
  <c r="CS534" i="1" s="1"/>
  <c r="CK526" i="1"/>
  <c r="CR526" i="1" s="1" a="1"/>
  <c r="CR526" i="1" s="1"/>
  <c r="CM526" i="1"/>
  <c r="CT526" i="1" s="1" a="1"/>
  <c r="CT526" i="1" s="1"/>
  <c r="CL526" i="1"/>
  <c r="CS526" i="1" s="1" a="1"/>
  <c r="CS526" i="1" s="1"/>
  <c r="CK518" i="1"/>
  <c r="CR518" i="1" s="1" a="1"/>
  <c r="CR518" i="1" s="1"/>
  <c r="CM518" i="1"/>
  <c r="CT518" i="1" s="1" a="1"/>
  <c r="CT518" i="1" s="1"/>
  <c r="CL518" i="1"/>
  <c r="CS518" i="1" s="1" a="1"/>
  <c r="CS518" i="1" s="1"/>
  <c r="CK510" i="1"/>
  <c r="CR510" i="1" s="1" a="1"/>
  <c r="CR510" i="1" s="1"/>
  <c r="CM510" i="1"/>
  <c r="CT510" i="1" s="1" a="1"/>
  <c r="CT510" i="1" s="1"/>
  <c r="CL510" i="1"/>
  <c r="CS510" i="1" s="1" a="1"/>
  <c r="CS510" i="1" s="1"/>
  <c r="CK502" i="1"/>
  <c r="CR502" i="1" s="1" a="1"/>
  <c r="CR502" i="1" s="1"/>
  <c r="CM502" i="1"/>
  <c r="CT502" i="1" s="1" a="1"/>
  <c r="CT502" i="1" s="1"/>
  <c r="CL502" i="1"/>
  <c r="CS502" i="1" s="1" a="1"/>
  <c r="CS502" i="1" s="1"/>
  <c r="CK494" i="1"/>
  <c r="CR494" i="1" s="1" a="1"/>
  <c r="CR494" i="1" s="1"/>
  <c r="CM494" i="1"/>
  <c r="CT494" i="1" s="1" a="1"/>
  <c r="CT494" i="1" s="1"/>
  <c r="CL494" i="1"/>
  <c r="CS494" i="1" s="1" a="1"/>
  <c r="CS494" i="1" s="1"/>
  <c r="CK486" i="1"/>
  <c r="CR486" i="1" s="1" a="1"/>
  <c r="CR486" i="1" s="1"/>
  <c r="CM486" i="1"/>
  <c r="CT486" i="1" s="1" a="1"/>
  <c r="CT486" i="1" s="1"/>
  <c r="CL486" i="1"/>
  <c r="CS486" i="1" s="1" a="1"/>
  <c r="CS486" i="1" s="1"/>
  <c r="CK478" i="1"/>
  <c r="CR478" i="1" s="1" a="1"/>
  <c r="CR478" i="1" s="1"/>
  <c r="CM478" i="1"/>
  <c r="CT478" i="1" s="1" a="1"/>
  <c r="CT478" i="1" s="1"/>
  <c r="CL478" i="1"/>
  <c r="CS478" i="1" s="1" a="1"/>
  <c r="CS478" i="1" s="1"/>
  <c r="CK470" i="1"/>
  <c r="CR470" i="1" s="1" a="1"/>
  <c r="CR470" i="1" s="1"/>
  <c r="CM470" i="1"/>
  <c r="CT470" i="1" s="1" a="1"/>
  <c r="CT470" i="1" s="1"/>
  <c r="CL470" i="1"/>
  <c r="CS470" i="1" s="1" a="1"/>
  <c r="CS470" i="1" s="1"/>
  <c r="CM462" i="1"/>
  <c r="CT462" i="1" s="1" a="1"/>
  <c r="CT462" i="1" s="1"/>
  <c r="CL462" i="1"/>
  <c r="CS462" i="1" s="1" a="1"/>
  <c r="CS462" i="1" s="1"/>
  <c r="CK454" i="1"/>
  <c r="CR454" i="1" s="1" a="1"/>
  <c r="CR454" i="1" s="1"/>
  <c r="CM454" i="1"/>
  <c r="CT454" i="1" s="1" a="1"/>
  <c r="CT454" i="1" s="1"/>
  <c r="CL454" i="1"/>
  <c r="CS454" i="1" s="1" a="1"/>
  <c r="CS454" i="1" s="1"/>
  <c r="CK446" i="1"/>
  <c r="CR446" i="1" s="1" a="1"/>
  <c r="CR446" i="1" s="1"/>
  <c r="CM446" i="1"/>
  <c r="CT446" i="1" s="1" a="1"/>
  <c r="CT446" i="1" s="1"/>
  <c r="CL446" i="1"/>
  <c r="CS446" i="1" s="1" a="1"/>
  <c r="CS446" i="1" s="1"/>
  <c r="CM438" i="1"/>
  <c r="CT438" i="1" s="1" a="1"/>
  <c r="CT438" i="1" s="1"/>
  <c r="CL438" i="1"/>
  <c r="CS438" i="1" s="1" a="1"/>
  <c r="CS438" i="1" s="1"/>
  <c r="CM430" i="1"/>
  <c r="CT430" i="1" s="1" a="1"/>
  <c r="CT430" i="1" s="1"/>
  <c r="CL430" i="1"/>
  <c r="CS430" i="1" s="1" a="1"/>
  <c r="CS430" i="1" s="1"/>
  <c r="CK422" i="1"/>
  <c r="CR422" i="1" s="1" a="1"/>
  <c r="CR422" i="1" s="1"/>
  <c r="CM422" i="1"/>
  <c r="CT422" i="1" s="1" a="1"/>
  <c r="CT422" i="1" s="1"/>
  <c r="CL422" i="1"/>
  <c r="CS422" i="1" s="1" a="1"/>
  <c r="CS422" i="1" s="1"/>
  <c r="CK414" i="1"/>
  <c r="CR414" i="1" s="1" a="1"/>
  <c r="CR414" i="1" s="1"/>
  <c r="CM414" i="1"/>
  <c r="CT414" i="1" s="1" a="1"/>
  <c r="CT414" i="1" s="1"/>
  <c r="CL414" i="1"/>
  <c r="CS414" i="1" s="1" a="1"/>
  <c r="CS414" i="1" s="1"/>
  <c r="CK406" i="1"/>
  <c r="CR406" i="1" s="1" a="1"/>
  <c r="CR406" i="1" s="1"/>
  <c r="CM406" i="1"/>
  <c r="CT406" i="1" s="1" a="1"/>
  <c r="CT406" i="1" s="1"/>
  <c r="CL406" i="1"/>
  <c r="CS406" i="1" s="1" a="1"/>
  <c r="CS406" i="1" s="1"/>
  <c r="CK398" i="1"/>
  <c r="CR398" i="1" s="1" a="1"/>
  <c r="CR398" i="1" s="1"/>
  <c r="CM398" i="1"/>
  <c r="CT398" i="1" s="1" a="1"/>
  <c r="CT398" i="1" s="1"/>
  <c r="CL398" i="1"/>
  <c r="CS398" i="1" s="1" a="1"/>
  <c r="CS398" i="1" s="1"/>
  <c r="CK390" i="1"/>
  <c r="CR390" i="1" s="1" a="1"/>
  <c r="CR390" i="1" s="1"/>
  <c r="CM390" i="1"/>
  <c r="CT390" i="1" s="1" a="1"/>
  <c r="CT390" i="1" s="1"/>
  <c r="CL390" i="1"/>
  <c r="CS390" i="1" s="1" a="1"/>
  <c r="CS390" i="1" s="1"/>
  <c r="CK382" i="1"/>
  <c r="CR382" i="1" s="1" a="1"/>
  <c r="CR382" i="1" s="1"/>
  <c r="CM382" i="1"/>
  <c r="CT382" i="1" s="1" a="1"/>
  <c r="CT382" i="1" s="1"/>
  <c r="CL382" i="1"/>
  <c r="CS382" i="1" s="1" a="1"/>
  <c r="CS382" i="1" s="1"/>
  <c r="CK374" i="1"/>
  <c r="CR374" i="1" s="1" a="1"/>
  <c r="CR374" i="1" s="1"/>
  <c r="CM374" i="1"/>
  <c r="CT374" i="1" s="1" a="1"/>
  <c r="CT374" i="1" s="1"/>
  <c r="CL374" i="1"/>
  <c r="CS374" i="1" s="1" a="1"/>
  <c r="CS374" i="1" s="1"/>
  <c r="CK366" i="1"/>
  <c r="CR366" i="1" s="1" a="1"/>
  <c r="CR366" i="1" s="1"/>
  <c r="CM366" i="1"/>
  <c r="CT366" i="1" s="1" a="1"/>
  <c r="CT366" i="1" s="1"/>
  <c r="CL366" i="1"/>
  <c r="CS366" i="1" s="1" a="1"/>
  <c r="CS366" i="1" s="1"/>
  <c r="CK358" i="1"/>
  <c r="CR358" i="1" s="1" a="1"/>
  <c r="CR358" i="1" s="1"/>
  <c r="CM358" i="1"/>
  <c r="CT358" i="1" s="1" a="1"/>
  <c r="CT358" i="1" s="1"/>
  <c r="CL358" i="1"/>
  <c r="CS358" i="1" s="1" a="1"/>
  <c r="CS358" i="1" s="1"/>
  <c r="CK350" i="1"/>
  <c r="CR350" i="1" s="1" a="1"/>
  <c r="CR350" i="1" s="1"/>
  <c r="CM350" i="1"/>
  <c r="CT350" i="1" s="1" a="1"/>
  <c r="CT350" i="1" s="1"/>
  <c r="CL350" i="1"/>
  <c r="CS350" i="1" s="1" a="1"/>
  <c r="CS350" i="1" s="1"/>
  <c r="CK342" i="1"/>
  <c r="CR342" i="1" s="1" a="1"/>
  <c r="CR342" i="1" s="1"/>
  <c r="CM342" i="1"/>
  <c r="CT342" i="1" s="1" a="1"/>
  <c r="CT342" i="1" s="1"/>
  <c r="CL342" i="1"/>
  <c r="CS342" i="1" s="1" a="1"/>
  <c r="CS342" i="1" s="1"/>
  <c r="CK334" i="1"/>
  <c r="CR334" i="1" s="1" a="1"/>
  <c r="CR334" i="1" s="1"/>
  <c r="CM334" i="1"/>
  <c r="CT334" i="1" s="1" a="1"/>
  <c r="CT334" i="1" s="1"/>
  <c r="CL334" i="1"/>
  <c r="CS334" i="1" s="1" a="1"/>
  <c r="CS334" i="1" s="1"/>
  <c r="CK326" i="1"/>
  <c r="CR326" i="1" s="1" a="1"/>
  <c r="CR326" i="1" s="1"/>
  <c r="CM326" i="1"/>
  <c r="CT326" i="1" s="1" a="1"/>
  <c r="CT326" i="1" s="1"/>
  <c r="CL326" i="1"/>
  <c r="CS326" i="1" s="1" a="1"/>
  <c r="CS326" i="1" s="1"/>
  <c r="CM318" i="1"/>
  <c r="CT318" i="1" s="1" a="1"/>
  <c r="CT318" i="1" s="1"/>
  <c r="CL318" i="1"/>
  <c r="CS318" i="1" s="1" a="1"/>
  <c r="CS318" i="1" s="1"/>
  <c r="CK310" i="1"/>
  <c r="CR310" i="1" s="1" a="1"/>
  <c r="CR310" i="1" s="1"/>
  <c r="CM310" i="1"/>
  <c r="CT310" i="1" s="1" a="1"/>
  <c r="CT310" i="1" s="1"/>
  <c r="CL310" i="1"/>
  <c r="CS310" i="1" s="1" a="1"/>
  <c r="CS310" i="1" s="1"/>
  <c r="CK302" i="1"/>
  <c r="CR302" i="1" s="1" a="1"/>
  <c r="CR302" i="1" s="1"/>
  <c r="CM302" i="1"/>
  <c r="CT302" i="1" s="1" a="1"/>
  <c r="CT302" i="1" s="1"/>
  <c r="CL302" i="1"/>
  <c r="CS302" i="1" s="1" a="1"/>
  <c r="CS302" i="1" s="1"/>
  <c r="CK294" i="1"/>
  <c r="CR294" i="1" s="1" a="1"/>
  <c r="CR294" i="1" s="1"/>
  <c r="CM294" i="1"/>
  <c r="CT294" i="1" s="1" a="1"/>
  <c r="CT294" i="1" s="1"/>
  <c r="CL294" i="1"/>
  <c r="CS294" i="1" s="1" a="1"/>
  <c r="CS294" i="1" s="1"/>
  <c r="CK286" i="1"/>
  <c r="CR286" i="1" s="1" a="1"/>
  <c r="CR286" i="1" s="1"/>
  <c r="CM286" i="1"/>
  <c r="CT286" i="1" s="1" a="1"/>
  <c r="CT286" i="1" s="1"/>
  <c r="CL286" i="1"/>
  <c r="CS286" i="1" s="1" a="1"/>
  <c r="CS286" i="1" s="1"/>
  <c r="CK278" i="1"/>
  <c r="CR278" i="1" s="1" a="1"/>
  <c r="CR278" i="1" s="1"/>
  <c r="CM278" i="1"/>
  <c r="CT278" i="1" s="1" a="1"/>
  <c r="CT278" i="1" s="1"/>
  <c r="CL278" i="1"/>
  <c r="CS278" i="1" s="1" a="1"/>
  <c r="CS278" i="1" s="1"/>
  <c r="CK270" i="1"/>
  <c r="CR270" i="1" s="1" a="1"/>
  <c r="CR270" i="1" s="1"/>
  <c r="CM270" i="1"/>
  <c r="CT270" i="1" s="1" a="1"/>
  <c r="CT270" i="1" s="1"/>
  <c r="CL270" i="1"/>
  <c r="CS270" i="1" s="1" a="1"/>
  <c r="CS270" i="1" s="1"/>
  <c r="CK262" i="1"/>
  <c r="CR262" i="1" s="1" a="1"/>
  <c r="CR262" i="1" s="1"/>
  <c r="CM262" i="1"/>
  <c r="CT262" i="1" s="1" a="1"/>
  <c r="CT262" i="1" s="1"/>
  <c r="CL262" i="1"/>
  <c r="CS262" i="1" s="1" a="1"/>
  <c r="CS262" i="1" s="1"/>
  <c r="CK254" i="1"/>
  <c r="CR254" i="1" s="1" a="1"/>
  <c r="CR254" i="1" s="1"/>
  <c r="CM254" i="1"/>
  <c r="CT254" i="1" s="1" a="1"/>
  <c r="CT254" i="1" s="1"/>
  <c r="CL254" i="1"/>
  <c r="CS254" i="1" s="1" a="1"/>
  <c r="CS254" i="1" s="1"/>
  <c r="CK246" i="1"/>
  <c r="CR246" i="1" s="1" a="1"/>
  <c r="CR246" i="1" s="1"/>
  <c r="CM246" i="1"/>
  <c r="CT246" i="1" s="1" a="1"/>
  <c r="CT246" i="1" s="1"/>
  <c r="CL246" i="1"/>
  <c r="CS246" i="1" s="1" a="1"/>
  <c r="CS246" i="1" s="1"/>
  <c r="CK238" i="1"/>
  <c r="CR238" i="1" s="1" a="1"/>
  <c r="CR238" i="1" s="1"/>
  <c r="CM238" i="1"/>
  <c r="CT238" i="1" s="1" a="1"/>
  <c r="CT238" i="1" s="1"/>
  <c r="CL238" i="1"/>
  <c r="CS238" i="1" s="1" a="1"/>
  <c r="CS238" i="1" s="1"/>
  <c r="CM230" i="1"/>
  <c r="CT230" i="1" s="1" a="1"/>
  <c r="CT230" i="1" s="1"/>
  <c r="CL230" i="1"/>
  <c r="CS230" i="1" s="1" a="1"/>
  <c r="CS230" i="1" s="1"/>
  <c r="CK222" i="1"/>
  <c r="CR222" i="1" s="1" a="1"/>
  <c r="CR222" i="1" s="1"/>
  <c r="CM222" i="1"/>
  <c r="CT222" i="1" s="1" a="1"/>
  <c r="CT222" i="1" s="1"/>
  <c r="CL222" i="1"/>
  <c r="CS222" i="1" s="1" a="1"/>
  <c r="CS222" i="1" s="1"/>
  <c r="CK214" i="1"/>
  <c r="CR214" i="1" s="1" a="1"/>
  <c r="CR214" i="1" s="1"/>
  <c r="CM214" i="1"/>
  <c r="CT214" i="1" s="1" a="1"/>
  <c r="CT214" i="1" s="1"/>
  <c r="CL214" i="1"/>
  <c r="CS214" i="1" s="1" a="1"/>
  <c r="CS214" i="1" s="1"/>
  <c r="CM206" i="1"/>
  <c r="CT206" i="1" s="1" a="1"/>
  <c r="CT206" i="1" s="1"/>
  <c r="CL206" i="1"/>
  <c r="CS206" i="1" s="1" a="1"/>
  <c r="CS206" i="1" s="1"/>
  <c r="CK198" i="1"/>
  <c r="CR198" i="1" s="1" a="1"/>
  <c r="CR198" i="1" s="1"/>
  <c r="CM198" i="1"/>
  <c r="CT198" i="1" s="1" a="1"/>
  <c r="CT198" i="1" s="1"/>
  <c r="CL198" i="1"/>
  <c r="CS198" i="1" s="1" a="1"/>
  <c r="CS198" i="1" s="1"/>
  <c r="CK190" i="1"/>
  <c r="CR190" i="1" s="1" a="1"/>
  <c r="CR190" i="1" s="1"/>
  <c r="CM190" i="1"/>
  <c r="CT190" i="1" s="1" a="1"/>
  <c r="CT190" i="1" s="1"/>
  <c r="CL190" i="1"/>
  <c r="CS190" i="1" s="1" a="1"/>
  <c r="CS190" i="1" s="1"/>
  <c r="CK182" i="1"/>
  <c r="CR182" i="1" s="1" a="1"/>
  <c r="CR182" i="1" s="1"/>
  <c r="CM182" i="1"/>
  <c r="CT182" i="1" s="1" a="1"/>
  <c r="CT182" i="1" s="1"/>
  <c r="CL182" i="1"/>
  <c r="CS182" i="1" s="1" a="1"/>
  <c r="CS182" i="1" s="1"/>
  <c r="CM174" i="1"/>
  <c r="CT174" i="1" s="1" a="1"/>
  <c r="CT174" i="1" s="1"/>
  <c r="CL174" i="1"/>
  <c r="CS174" i="1" s="1" a="1"/>
  <c r="CS174" i="1" s="1"/>
  <c r="CK166" i="1"/>
  <c r="CR166" i="1" s="1" a="1"/>
  <c r="CR166" i="1" s="1"/>
  <c r="CM166" i="1"/>
  <c r="CT166" i="1" s="1" a="1"/>
  <c r="CT166" i="1" s="1"/>
  <c r="CL166" i="1"/>
  <c r="CS166" i="1" s="1" a="1"/>
  <c r="CS166" i="1" s="1"/>
  <c r="CM158" i="1"/>
  <c r="CT158" i="1" s="1" a="1"/>
  <c r="CT158" i="1" s="1"/>
  <c r="CL158" i="1"/>
  <c r="CS158" i="1" s="1" a="1"/>
  <c r="CS158" i="1" s="1"/>
  <c r="CK150" i="1"/>
  <c r="CR150" i="1" s="1" a="1"/>
  <c r="CR150" i="1" s="1"/>
  <c r="CM150" i="1"/>
  <c r="CT150" i="1" s="1" a="1"/>
  <c r="CT150" i="1" s="1"/>
  <c r="CL150" i="1"/>
  <c r="CS150" i="1" s="1" a="1"/>
  <c r="CS150" i="1" s="1"/>
  <c r="CK142" i="1"/>
  <c r="CR142" i="1" s="1" a="1"/>
  <c r="CR142" i="1" s="1"/>
  <c r="CM142" i="1"/>
  <c r="CT142" i="1" s="1" a="1"/>
  <c r="CT142" i="1" s="1"/>
  <c r="CL142" i="1"/>
  <c r="CS142" i="1" s="1" a="1"/>
  <c r="CS142" i="1" s="1"/>
  <c r="CK134" i="1"/>
  <c r="CR134" i="1" s="1" a="1"/>
  <c r="CR134" i="1" s="1"/>
  <c r="CM134" i="1"/>
  <c r="CT134" i="1" s="1" a="1"/>
  <c r="CT134" i="1" s="1"/>
  <c r="CL134" i="1"/>
  <c r="CS134" i="1" s="1" a="1"/>
  <c r="CS134" i="1" s="1"/>
  <c r="CK126" i="1"/>
  <c r="CR126" i="1" s="1" a="1"/>
  <c r="CR126" i="1" s="1"/>
  <c r="CM126" i="1"/>
  <c r="CT126" i="1" s="1" a="1"/>
  <c r="CT126" i="1" s="1"/>
  <c r="CL126" i="1"/>
  <c r="CS126" i="1" s="1" a="1"/>
  <c r="CS126" i="1" s="1"/>
  <c r="CK118" i="1"/>
  <c r="CR118" i="1" s="1" a="1"/>
  <c r="CR118" i="1" s="1"/>
  <c r="CM118" i="1"/>
  <c r="CT118" i="1" s="1" a="1"/>
  <c r="CT118" i="1" s="1"/>
  <c r="CL118" i="1"/>
  <c r="CS118" i="1" s="1" a="1"/>
  <c r="CS118" i="1" s="1"/>
  <c r="CM110" i="1"/>
  <c r="CT110" i="1" s="1" a="1"/>
  <c r="CT110" i="1" s="1"/>
  <c r="CL110" i="1"/>
  <c r="CS110" i="1" s="1" a="1"/>
  <c r="CS110" i="1" s="1"/>
  <c r="CK102" i="1"/>
  <c r="CR102" i="1" s="1" a="1"/>
  <c r="CR102" i="1" s="1"/>
  <c r="CM102" i="1"/>
  <c r="CT102" i="1" s="1" a="1"/>
  <c r="CT102" i="1" s="1"/>
  <c r="CL102" i="1"/>
  <c r="CS102" i="1" s="1" a="1"/>
  <c r="CS102" i="1" s="1"/>
  <c r="CK94" i="1"/>
  <c r="CR94" i="1" s="1" a="1"/>
  <c r="CR94" i="1" s="1"/>
  <c r="CM94" i="1"/>
  <c r="CT94" i="1" s="1" a="1"/>
  <c r="CT94" i="1" s="1"/>
  <c r="CL94" i="1"/>
  <c r="CS94" i="1" s="1" a="1"/>
  <c r="CS94" i="1" s="1"/>
  <c r="CK86" i="1"/>
  <c r="CR86" i="1" s="1" a="1"/>
  <c r="CR86" i="1" s="1"/>
  <c r="CM86" i="1"/>
  <c r="CT86" i="1" s="1" a="1"/>
  <c r="CT86" i="1" s="1"/>
  <c r="CL86" i="1"/>
  <c r="CS86" i="1" s="1" a="1"/>
  <c r="CS86" i="1" s="1"/>
  <c r="CM78" i="1"/>
  <c r="CT78" i="1" s="1" a="1"/>
  <c r="CT78" i="1" s="1"/>
  <c r="CL78" i="1"/>
  <c r="CS78" i="1" s="1" a="1"/>
  <c r="CS78" i="1" s="1"/>
  <c r="CK70" i="1"/>
  <c r="CR70" i="1" s="1" a="1"/>
  <c r="CR70" i="1" s="1"/>
  <c r="CM70" i="1"/>
  <c r="CT70" i="1" s="1" a="1"/>
  <c r="CT70" i="1" s="1"/>
  <c r="CL70" i="1"/>
  <c r="CS70" i="1" s="1" a="1"/>
  <c r="CS70" i="1" s="1"/>
  <c r="CK62" i="1"/>
  <c r="CR62" i="1" s="1" a="1"/>
  <c r="CR62" i="1" s="1"/>
  <c r="CM62" i="1"/>
  <c r="CT62" i="1" s="1" a="1"/>
  <c r="CT62" i="1" s="1"/>
  <c r="CL62" i="1"/>
  <c r="CS62" i="1" s="1" a="1"/>
  <c r="CS62" i="1" s="1"/>
  <c r="CK54" i="1"/>
  <c r="CR54" i="1" s="1" a="1"/>
  <c r="CR54" i="1" s="1"/>
  <c r="CM54" i="1"/>
  <c r="CT54" i="1" s="1" a="1"/>
  <c r="CT54" i="1" s="1"/>
  <c r="CL54" i="1"/>
  <c r="CS54" i="1" s="1" a="1"/>
  <c r="CS54" i="1" s="1"/>
  <c r="CK46" i="1"/>
  <c r="CR46" i="1" s="1" a="1"/>
  <c r="CR46" i="1" s="1"/>
  <c r="CM46" i="1"/>
  <c r="CT46" i="1" s="1" a="1"/>
  <c r="CT46" i="1" s="1"/>
  <c r="CL46" i="1"/>
  <c r="CS46" i="1" s="1" a="1"/>
  <c r="CS46" i="1" s="1"/>
  <c r="CK38" i="1"/>
  <c r="CR38" i="1" s="1" a="1"/>
  <c r="CR38" i="1" s="1"/>
  <c r="CM38" i="1"/>
  <c r="CT38" i="1" s="1" a="1"/>
  <c r="CT38" i="1" s="1"/>
  <c r="CL38" i="1"/>
  <c r="CS38" i="1" s="1" a="1"/>
  <c r="CS38" i="1" s="1"/>
  <c r="CK30" i="1"/>
  <c r="CR30" i="1" s="1" a="1"/>
  <c r="CR30" i="1" s="1"/>
  <c r="CM30" i="1"/>
  <c r="CT30" i="1" s="1" a="1"/>
  <c r="CT30" i="1" s="1"/>
  <c r="CL30" i="1"/>
  <c r="CS30" i="1" s="1" a="1"/>
  <c r="CS30" i="1" s="1"/>
  <c r="CK22" i="1"/>
  <c r="CR22" i="1" s="1" a="1"/>
  <c r="CR22" i="1" s="1"/>
  <c r="CL22" i="1"/>
  <c r="CS22" i="1" s="1" a="1"/>
  <c r="CS22" i="1" s="1"/>
  <c r="CM22" i="1"/>
  <c r="CT22" i="1" s="1" a="1"/>
  <c r="CT22" i="1" s="1"/>
  <c r="CK14" i="1"/>
  <c r="CR14" i="1" s="1" a="1"/>
  <c r="CR14" i="1" s="1"/>
  <c r="CM14" i="1"/>
  <c r="CT14" i="1" s="1" a="1"/>
  <c r="CT14" i="1" s="1"/>
  <c r="CL14" i="1"/>
  <c r="CS14" i="1" s="1" a="1"/>
  <c r="CS14" i="1" s="1"/>
  <c r="CK5" i="1"/>
  <c r="CR5" i="1" s="1" a="1"/>
  <c r="CR5" i="1" s="1"/>
  <c r="CM5" i="1"/>
  <c r="CT5" i="1" s="1" a="1"/>
  <c r="CT5" i="1" s="1"/>
  <c r="CL5" i="1"/>
  <c r="CS5" i="1" s="1" a="1"/>
  <c r="CS5" i="1" s="1"/>
  <c r="CQ568" i="1"/>
  <c r="CV568" i="1" s="1" a="1"/>
  <c r="CV568" i="1" s="1"/>
  <c r="CP568" i="1"/>
  <c r="CU568" i="1" s="1" a="1"/>
  <c r="CU568" i="1" s="1"/>
  <c r="CQ559" i="1"/>
  <c r="CV559" i="1" s="1" a="1"/>
  <c r="CV559" i="1" s="1"/>
  <c r="CP559" i="1"/>
  <c r="CU559" i="1" s="1" a="1"/>
  <c r="CU559" i="1" s="1"/>
  <c r="CQ550" i="1"/>
  <c r="CV550" i="1" s="1" a="1"/>
  <c r="CV550" i="1" s="1"/>
  <c r="CP550" i="1"/>
  <c r="CU550" i="1" s="1" a="1"/>
  <c r="CU550" i="1" s="1"/>
  <c r="CQ542" i="1"/>
  <c r="CV542" i="1" s="1" a="1"/>
  <c r="CV542" i="1" s="1"/>
  <c r="CP542" i="1"/>
  <c r="CU542" i="1" s="1" a="1"/>
  <c r="CU542" i="1" s="1"/>
  <c r="CQ533" i="1"/>
  <c r="CV533" i="1" s="1" a="1"/>
  <c r="CV533" i="1" s="1"/>
  <c r="CP533" i="1"/>
  <c r="CU533" i="1" s="1" a="1"/>
  <c r="CU533" i="1" s="1"/>
  <c r="CQ525" i="1"/>
  <c r="CV525" i="1" s="1" a="1"/>
  <c r="CV525" i="1" s="1"/>
  <c r="CP525" i="1"/>
  <c r="CU525" i="1" s="1" a="1"/>
  <c r="CU525" i="1" s="1"/>
  <c r="CQ516" i="1"/>
  <c r="CV516" i="1" s="1" a="1"/>
  <c r="CV516" i="1" s="1"/>
  <c r="CP516" i="1"/>
  <c r="CU516" i="1" s="1" a="1"/>
  <c r="CU516" i="1" s="1"/>
  <c r="CQ507" i="1"/>
  <c r="CV507" i="1" s="1" a="1"/>
  <c r="CV507" i="1" s="1"/>
  <c r="CP507" i="1"/>
  <c r="CU507" i="1" s="1" a="1"/>
  <c r="CU507" i="1" s="1"/>
  <c r="CQ497" i="1"/>
  <c r="CV497" i="1" s="1" a="1"/>
  <c r="CV497" i="1" s="1"/>
  <c r="CP497" i="1"/>
  <c r="CU497" i="1" s="1" a="1"/>
  <c r="CU497" i="1" s="1"/>
  <c r="CQ488" i="1"/>
  <c r="CV488" i="1" s="1" a="1"/>
  <c r="CV488" i="1" s="1"/>
  <c r="CP488" i="1"/>
  <c r="CU488" i="1" s="1" a="1"/>
  <c r="CU488" i="1" s="1"/>
  <c r="CQ480" i="1"/>
  <c r="CV480" i="1" s="1" a="1"/>
  <c r="CV480" i="1" s="1"/>
  <c r="CP480" i="1"/>
  <c r="CU480" i="1" s="1" a="1"/>
  <c r="CU480" i="1" s="1"/>
  <c r="CQ472" i="1"/>
  <c r="CV472" i="1" s="1" a="1"/>
  <c r="CV472" i="1" s="1"/>
  <c r="CP472" i="1"/>
  <c r="CU472" i="1" s="1" a="1"/>
  <c r="CU472" i="1" s="1"/>
  <c r="CQ464" i="1"/>
  <c r="CV464" i="1" s="1" a="1"/>
  <c r="CV464" i="1" s="1"/>
  <c r="CP464" i="1"/>
  <c r="CU464" i="1" s="1" a="1"/>
  <c r="CU464" i="1" s="1"/>
  <c r="CQ455" i="1"/>
  <c r="CV455" i="1" s="1" a="1"/>
  <c r="CV455" i="1" s="1"/>
  <c r="CP455" i="1"/>
  <c r="CU455" i="1" s="1" a="1"/>
  <c r="CU455" i="1" s="1"/>
  <c r="CQ447" i="1"/>
  <c r="CV447" i="1" s="1" a="1"/>
  <c r="CV447" i="1" s="1"/>
  <c r="CP447" i="1"/>
  <c r="CU447" i="1" s="1" a="1"/>
  <c r="CU447" i="1" s="1"/>
  <c r="CQ437" i="1"/>
  <c r="CV437" i="1" s="1" a="1"/>
  <c r="CV437" i="1" s="1"/>
  <c r="CP437" i="1"/>
  <c r="CU437" i="1" s="1" a="1"/>
  <c r="CU437" i="1" s="1"/>
  <c r="CQ426" i="1"/>
  <c r="CV426" i="1" s="1" a="1"/>
  <c r="CV426" i="1" s="1"/>
  <c r="CP426" i="1"/>
  <c r="CU426" i="1" s="1" a="1"/>
  <c r="CU426" i="1" s="1"/>
  <c r="CQ418" i="1"/>
  <c r="CV418" i="1" s="1" a="1"/>
  <c r="CV418" i="1" s="1"/>
  <c r="CP418" i="1"/>
  <c r="CU418" i="1" s="1" a="1"/>
  <c r="CU418" i="1" s="1"/>
  <c r="CP407" i="1"/>
  <c r="CU407" i="1" s="1" a="1"/>
  <c r="CU407" i="1" s="1"/>
  <c r="CQ407" i="1"/>
  <c r="CV407" i="1" s="1" a="1"/>
  <c r="CV407" i="1" s="1"/>
  <c r="CQ397" i="1"/>
  <c r="CV397" i="1" s="1" a="1"/>
  <c r="CV397" i="1" s="1"/>
  <c r="CP397" i="1"/>
  <c r="CU397" i="1" s="1" a="1"/>
  <c r="CU397" i="1" s="1"/>
  <c r="CQ389" i="1"/>
  <c r="CV389" i="1" s="1" a="1"/>
  <c r="CV389" i="1" s="1"/>
  <c r="CP389" i="1"/>
  <c r="CU389" i="1" s="1" a="1"/>
  <c r="CU389" i="1" s="1"/>
  <c r="CQ380" i="1"/>
  <c r="CV380" i="1" s="1" a="1"/>
  <c r="CV380" i="1" s="1"/>
  <c r="CP380" i="1"/>
  <c r="CU380" i="1" s="1" a="1"/>
  <c r="CU380" i="1" s="1"/>
  <c r="CP371" i="1"/>
  <c r="CU371" i="1" s="1" a="1"/>
  <c r="CU371" i="1" s="1"/>
  <c r="CQ371" i="1"/>
  <c r="CV371" i="1" s="1" a="1"/>
  <c r="CV371" i="1" s="1"/>
  <c r="CQ363" i="1"/>
  <c r="CV363" i="1" s="1" a="1"/>
  <c r="CV363" i="1" s="1"/>
  <c r="CP363" i="1"/>
  <c r="CU363" i="1" s="1" a="1"/>
  <c r="CU363" i="1" s="1"/>
  <c r="CQ354" i="1"/>
  <c r="CV354" i="1" s="1" a="1"/>
  <c r="CV354" i="1" s="1"/>
  <c r="CP354" i="1"/>
  <c r="CU354" i="1" s="1" a="1"/>
  <c r="CU354" i="1" s="1"/>
  <c r="CQ345" i="1"/>
  <c r="CV345" i="1" s="1" a="1"/>
  <c r="CV345" i="1" s="1"/>
  <c r="CP345" i="1"/>
  <c r="CU345" i="1" s="1" a="1"/>
  <c r="CU345" i="1" s="1"/>
  <c r="CQ334" i="1"/>
  <c r="CV334" i="1" s="1" a="1"/>
  <c r="CV334" i="1" s="1"/>
  <c r="CP334" i="1"/>
  <c r="CU334" i="1" s="1" a="1"/>
  <c r="CU334" i="1" s="1"/>
  <c r="CQ324" i="1"/>
  <c r="CV324" i="1" s="1" a="1"/>
  <c r="CV324" i="1" s="1"/>
  <c r="CP324" i="1"/>
  <c r="CU324" i="1" s="1" a="1"/>
  <c r="CU324" i="1" s="1"/>
  <c r="CQ314" i="1"/>
  <c r="CV314" i="1" s="1" a="1"/>
  <c r="CV314" i="1" s="1"/>
  <c r="CP314" i="1"/>
  <c r="CU314" i="1" s="1" a="1"/>
  <c r="CU314" i="1" s="1"/>
  <c r="CQ304" i="1"/>
  <c r="CV304" i="1" s="1" a="1"/>
  <c r="CV304" i="1" s="1"/>
  <c r="CP304" i="1"/>
  <c r="CU304" i="1" s="1" a="1"/>
  <c r="CU304" i="1" s="1"/>
  <c r="CQ296" i="1"/>
  <c r="CV296" i="1" s="1" a="1"/>
  <c r="CV296" i="1" s="1"/>
  <c r="CP296" i="1"/>
  <c r="CU296" i="1" s="1" a="1"/>
  <c r="CU296" i="1" s="1"/>
  <c r="CQ287" i="1"/>
  <c r="CV287" i="1" s="1" a="1"/>
  <c r="CV287" i="1" s="1"/>
  <c r="CP287" i="1"/>
  <c r="CU287" i="1" s="1" a="1"/>
  <c r="CU287" i="1" s="1"/>
  <c r="CP278" i="1"/>
  <c r="CU278" i="1" s="1" a="1"/>
  <c r="CU278" i="1" s="1"/>
  <c r="CQ278" i="1"/>
  <c r="CV278" i="1" s="1" a="1"/>
  <c r="CV278" i="1" s="1"/>
  <c r="CQ269" i="1"/>
  <c r="CV269" i="1" s="1" a="1"/>
  <c r="CV269" i="1" s="1"/>
  <c r="CP269" i="1"/>
  <c r="CU269" i="1" s="1" a="1"/>
  <c r="CU269" i="1" s="1"/>
  <c r="CQ258" i="1"/>
  <c r="CV258" i="1" s="1" a="1"/>
  <c r="CV258" i="1" s="1"/>
  <c r="CP258" i="1"/>
  <c r="CU258" i="1" s="1" a="1"/>
  <c r="CU258" i="1" s="1"/>
  <c r="CQ248" i="1"/>
  <c r="CV248" i="1" s="1" a="1"/>
  <c r="CV248" i="1" s="1"/>
  <c r="CP248" i="1"/>
  <c r="CU248" i="1" s="1" a="1"/>
  <c r="CU248" i="1" s="1"/>
  <c r="CQ240" i="1"/>
  <c r="CV240" i="1" s="1" a="1"/>
  <c r="CV240" i="1" s="1"/>
  <c r="CP240" i="1"/>
  <c r="CU240" i="1" s="1" a="1"/>
  <c r="CU240" i="1" s="1"/>
  <c r="CQ232" i="1"/>
  <c r="CV232" i="1" s="1" a="1"/>
  <c r="CV232" i="1" s="1"/>
  <c r="CP232" i="1"/>
  <c r="CU232" i="1" s="1" a="1"/>
  <c r="CU232" i="1" s="1"/>
  <c r="CQ223" i="1"/>
  <c r="CV223" i="1" s="1" a="1"/>
  <c r="CV223" i="1" s="1"/>
  <c r="CP223" i="1"/>
  <c r="CU223" i="1" s="1" a="1"/>
  <c r="CU223" i="1" s="1"/>
  <c r="CQ215" i="1"/>
  <c r="CV215" i="1" s="1" a="1"/>
  <c r="CV215" i="1" s="1"/>
  <c r="CP215" i="1"/>
  <c r="CU215" i="1" s="1" a="1"/>
  <c r="CU215" i="1" s="1"/>
  <c r="CQ207" i="1"/>
  <c r="CV207" i="1" s="1" a="1"/>
  <c r="CV207" i="1" s="1"/>
  <c r="CP207" i="1"/>
  <c r="CU207" i="1" s="1" a="1"/>
  <c r="CU207" i="1" s="1"/>
  <c r="CQ197" i="1"/>
  <c r="CV197" i="1" s="1" a="1"/>
  <c r="CV197" i="1" s="1"/>
  <c r="CP197" i="1"/>
  <c r="CU197" i="1" s="1" a="1"/>
  <c r="CU197" i="1" s="1"/>
  <c r="CQ186" i="1"/>
  <c r="CV186" i="1" s="1" a="1"/>
  <c r="CV186" i="1" s="1"/>
  <c r="CP186" i="1"/>
  <c r="CU186" i="1" s="1" a="1"/>
  <c r="CU186" i="1" s="1"/>
  <c r="CQ177" i="1"/>
  <c r="CV177" i="1" s="1" a="1"/>
  <c r="CV177" i="1" s="1"/>
  <c r="CP177" i="1"/>
  <c r="CU177" i="1" s="1" a="1"/>
  <c r="CU177" i="1" s="1"/>
  <c r="CQ167" i="1"/>
  <c r="CV167" i="1" s="1" a="1"/>
  <c r="CV167" i="1" s="1"/>
  <c r="CP167" i="1"/>
  <c r="CU167" i="1" s="1" a="1"/>
  <c r="CU167" i="1" s="1"/>
  <c r="CQ156" i="1"/>
  <c r="CV156" i="1" s="1" a="1"/>
  <c r="CV156" i="1" s="1"/>
  <c r="CP156" i="1"/>
  <c r="CU156" i="1" s="1" a="1"/>
  <c r="CU156" i="1" s="1"/>
  <c r="CQ146" i="1"/>
  <c r="CV146" i="1" s="1" a="1"/>
  <c r="CV146" i="1" s="1"/>
  <c r="CP146" i="1"/>
  <c r="CU146" i="1" s="1" a="1"/>
  <c r="CU146" i="1" s="1"/>
  <c r="CQ138" i="1"/>
  <c r="CV138" i="1" s="1" a="1"/>
  <c r="CV138" i="1" s="1"/>
  <c r="CP138" i="1"/>
  <c r="CU138" i="1" s="1" a="1"/>
  <c r="CU138" i="1" s="1"/>
  <c r="CQ129" i="1"/>
  <c r="CV129" i="1" s="1" a="1"/>
  <c r="CV129" i="1" s="1"/>
  <c r="CP129" i="1"/>
  <c r="CU129" i="1" s="1" a="1"/>
  <c r="CU129" i="1" s="1"/>
  <c r="CQ121" i="1"/>
  <c r="CV121" i="1" s="1" a="1"/>
  <c r="CV121" i="1" s="1"/>
  <c r="CP121" i="1"/>
  <c r="CU121" i="1" s="1" a="1"/>
  <c r="CU121" i="1" s="1"/>
  <c r="CQ111" i="1"/>
  <c r="CV111" i="1" s="1" a="1"/>
  <c r="CV111" i="1" s="1"/>
  <c r="CP111" i="1"/>
  <c r="CU111" i="1" s="1" a="1"/>
  <c r="CU111" i="1" s="1"/>
  <c r="CQ102" i="1"/>
  <c r="CV102" i="1" s="1" a="1"/>
  <c r="CV102" i="1" s="1"/>
  <c r="CP102" i="1"/>
  <c r="CU102" i="1" s="1" a="1"/>
  <c r="CU102" i="1" s="1"/>
  <c r="CQ94" i="1"/>
  <c r="CV94" i="1" s="1" a="1"/>
  <c r="CV94" i="1" s="1"/>
  <c r="CP94" i="1"/>
  <c r="CU94" i="1" s="1" a="1"/>
  <c r="CU94" i="1" s="1"/>
  <c r="CP85" i="1"/>
  <c r="CU85" i="1" s="1" a="1"/>
  <c r="CU85" i="1" s="1"/>
  <c r="CQ85" i="1"/>
  <c r="CV85" i="1" s="1" a="1"/>
  <c r="CV85" i="1" s="1"/>
  <c r="CQ75" i="1"/>
  <c r="CV75" i="1" s="1" a="1"/>
  <c r="CV75" i="1" s="1"/>
  <c r="CP75" i="1"/>
  <c r="CU75" i="1" s="1" a="1"/>
  <c r="CU75" i="1" s="1"/>
  <c r="CQ66" i="1"/>
  <c r="CV66" i="1" s="1" a="1"/>
  <c r="CV66" i="1" s="1"/>
  <c r="CP66" i="1"/>
  <c r="CU66" i="1" s="1" a="1"/>
  <c r="CU66" i="1" s="1"/>
  <c r="CQ58" i="1"/>
  <c r="CV58" i="1" s="1" a="1"/>
  <c r="CV58" i="1" s="1"/>
  <c r="CP58" i="1"/>
  <c r="CU58" i="1" s="1" a="1"/>
  <c r="CU58" i="1" s="1"/>
  <c r="CQ48" i="1"/>
  <c r="CV48" i="1" s="1" a="1"/>
  <c r="CV48" i="1" s="1"/>
  <c r="CP48" i="1"/>
  <c r="CU48" i="1" s="1" a="1"/>
  <c r="CU48" i="1" s="1"/>
  <c r="CQ40" i="1"/>
  <c r="CV40" i="1" s="1" a="1"/>
  <c r="CV40" i="1" s="1"/>
  <c r="CP40" i="1"/>
  <c r="CU40" i="1" s="1" a="1"/>
  <c r="CU40" i="1" s="1"/>
  <c r="CQ32" i="1"/>
  <c r="CV32" i="1" s="1" a="1"/>
  <c r="CV32" i="1" s="1"/>
  <c r="CP32" i="1"/>
  <c r="CU32" i="1" s="1" a="1"/>
  <c r="CU32" i="1" s="1"/>
  <c r="CQ23" i="1"/>
  <c r="CV23" i="1" s="1" a="1"/>
  <c r="CV23" i="1" s="1"/>
  <c r="CP23" i="1"/>
  <c r="CU23" i="1" s="1" a="1"/>
  <c r="CU23" i="1" s="1"/>
  <c r="CQ12" i="1"/>
  <c r="CV12" i="1" s="1" a="1"/>
  <c r="CV12" i="1" s="1"/>
  <c r="CP12" i="1"/>
  <c r="CU12" i="1" s="1" a="1"/>
  <c r="CU12" i="1" s="1"/>
  <c r="CQ3" i="1"/>
  <c r="CV3" i="1" s="1" a="1"/>
  <c r="CV3" i="1" s="1"/>
  <c r="CP3" i="1"/>
  <c r="CU3" i="1" s="1" a="1"/>
  <c r="CU3" i="1" s="1"/>
  <c r="CQ118" i="1"/>
  <c r="CV118" i="1" s="1" a="1"/>
  <c r="CV118" i="1" s="1"/>
  <c r="CP118" i="1"/>
  <c r="CU118" i="1" s="1" a="1"/>
  <c r="CU118" i="1" s="1"/>
  <c r="CQ90" i="1"/>
  <c r="CV90" i="1" s="1" a="1"/>
  <c r="CV90" i="1" s="1"/>
  <c r="CP90" i="1"/>
  <c r="CU90" i="1" s="1" a="1"/>
  <c r="CU90" i="1" s="1"/>
  <c r="CQ54" i="1"/>
  <c r="CV54" i="1" s="1" a="1"/>
  <c r="CV54" i="1" s="1"/>
  <c r="CP54" i="1"/>
  <c r="CU54" i="1" s="1" a="1"/>
  <c r="CU54" i="1" s="1"/>
  <c r="CQ29" i="1"/>
  <c r="CV29" i="1" s="1" a="1"/>
  <c r="CV29" i="1" s="1"/>
  <c r="CP29" i="1"/>
  <c r="CU29" i="1" s="1" a="1"/>
  <c r="CU29" i="1" s="1"/>
  <c r="CL561" i="1"/>
  <c r="CS561" i="1" s="1" a="1"/>
  <c r="CS561" i="1" s="1"/>
  <c r="CM561" i="1"/>
  <c r="CT561" i="1" s="1" a="1"/>
  <c r="CT561" i="1" s="1"/>
  <c r="CK537" i="1"/>
  <c r="CR537" i="1" s="1" a="1"/>
  <c r="CR537" i="1" s="1"/>
  <c r="CL537" i="1"/>
  <c r="CS537" i="1" s="1" a="1"/>
  <c r="CS537" i="1" s="1"/>
  <c r="CM537" i="1"/>
  <c r="CT537" i="1" s="1" a="1"/>
  <c r="CT537" i="1" s="1"/>
  <c r="CL513" i="1"/>
  <c r="CS513" i="1" s="1" a="1"/>
  <c r="CS513" i="1" s="1"/>
  <c r="CM513" i="1"/>
  <c r="CT513" i="1" s="1" a="1"/>
  <c r="CT513" i="1" s="1"/>
  <c r="CK489" i="1"/>
  <c r="CR489" i="1" s="1" a="1"/>
  <c r="CR489" i="1" s="1"/>
  <c r="CL489" i="1"/>
  <c r="CS489" i="1" s="1" a="1"/>
  <c r="CS489" i="1" s="1"/>
  <c r="CM489" i="1"/>
  <c r="CT489" i="1" s="1" a="1"/>
  <c r="CT489" i="1" s="1"/>
  <c r="CK465" i="1"/>
  <c r="CR465" i="1" s="1" a="1"/>
  <c r="CR465" i="1" s="1"/>
  <c r="CL465" i="1"/>
  <c r="CS465" i="1" s="1" a="1"/>
  <c r="CS465" i="1" s="1"/>
  <c r="CM465" i="1"/>
  <c r="CT465" i="1" s="1" a="1"/>
  <c r="CT465" i="1" s="1"/>
  <c r="CL441" i="1"/>
  <c r="CS441" i="1" s="1" a="1"/>
  <c r="CS441" i="1" s="1"/>
  <c r="CM441" i="1"/>
  <c r="CT441" i="1" s="1" a="1"/>
  <c r="CT441" i="1" s="1"/>
  <c r="CK417" i="1"/>
  <c r="CR417" i="1" s="1" a="1"/>
  <c r="CR417" i="1" s="1"/>
  <c r="CM417" i="1"/>
  <c r="CT417" i="1" s="1" a="1"/>
  <c r="CT417" i="1" s="1"/>
  <c r="CL417" i="1"/>
  <c r="CS417" i="1" s="1" a="1"/>
  <c r="CS417" i="1" s="1"/>
  <c r="CK393" i="1"/>
  <c r="CR393" i="1" s="1" a="1"/>
  <c r="CR393" i="1" s="1"/>
  <c r="CM393" i="1"/>
  <c r="CT393" i="1" s="1" a="1"/>
  <c r="CT393" i="1" s="1"/>
  <c r="CL393" i="1"/>
  <c r="CS393" i="1" s="1" a="1"/>
  <c r="CS393" i="1" s="1"/>
  <c r="CK369" i="1"/>
  <c r="CR369" i="1" s="1" a="1"/>
  <c r="CR369" i="1" s="1"/>
  <c r="CM369" i="1"/>
  <c r="CT369" i="1" s="1" a="1"/>
  <c r="CT369" i="1" s="1"/>
  <c r="CL369" i="1"/>
  <c r="CS369" i="1" s="1" a="1"/>
  <c r="CS369" i="1" s="1"/>
  <c r="CK353" i="1"/>
  <c r="CR353" i="1" s="1" a="1"/>
  <c r="CR353" i="1" s="1"/>
  <c r="CM353" i="1"/>
  <c r="CT353" i="1" s="1" a="1"/>
  <c r="CT353" i="1" s="1"/>
  <c r="CL353" i="1"/>
  <c r="CS353" i="1" s="1" a="1"/>
  <c r="CS353" i="1" s="1"/>
  <c r="CK313" i="1"/>
  <c r="CR313" i="1" s="1" a="1"/>
  <c r="CR313" i="1" s="1"/>
  <c r="CM313" i="1"/>
  <c r="CT313" i="1" s="1" a="1"/>
  <c r="CT313" i="1" s="1"/>
  <c r="CL313" i="1"/>
  <c r="CS313" i="1" s="1" a="1"/>
  <c r="CS313" i="1" s="1"/>
  <c r="CK289" i="1"/>
  <c r="CR289" i="1" s="1" a="1"/>
  <c r="CR289" i="1" s="1"/>
  <c r="CM289" i="1"/>
  <c r="CT289" i="1" s="1" a="1"/>
  <c r="CT289" i="1" s="1"/>
  <c r="CL289" i="1"/>
  <c r="CS289" i="1" s="1" a="1"/>
  <c r="CS289" i="1" s="1"/>
  <c r="CK265" i="1"/>
  <c r="CR265" i="1" s="1" a="1"/>
  <c r="CR265" i="1" s="1"/>
  <c r="CM265" i="1"/>
  <c r="CT265" i="1" s="1" a="1"/>
  <c r="CT265" i="1" s="1"/>
  <c r="CL265" i="1"/>
  <c r="CS265" i="1" s="1" a="1"/>
  <c r="CS265" i="1" s="1"/>
  <c r="CK241" i="1"/>
  <c r="CR241" i="1" s="1" a="1"/>
  <c r="CR241" i="1" s="1"/>
  <c r="CM241" i="1"/>
  <c r="CT241" i="1" s="1" a="1"/>
  <c r="CT241" i="1" s="1"/>
  <c r="CL241" i="1"/>
  <c r="CS241" i="1" s="1" a="1"/>
  <c r="CS241" i="1" s="1"/>
  <c r="CK225" i="1"/>
  <c r="CR225" i="1" s="1" a="1"/>
  <c r="CR225" i="1" s="1"/>
  <c r="CM225" i="1"/>
  <c r="CT225" i="1" s="1" a="1"/>
  <c r="CT225" i="1" s="1"/>
  <c r="CL225" i="1"/>
  <c r="CS225" i="1" s="1" a="1"/>
  <c r="CS225" i="1" s="1"/>
  <c r="CK209" i="1"/>
  <c r="CR209" i="1" s="1" a="1"/>
  <c r="CR209" i="1" s="1"/>
  <c r="CM209" i="1"/>
  <c r="CT209" i="1" s="1" a="1"/>
  <c r="CT209" i="1" s="1"/>
  <c r="CL209" i="1"/>
  <c r="CS209" i="1" s="1" a="1"/>
  <c r="CS209" i="1" s="1"/>
  <c r="CK185" i="1"/>
  <c r="CR185" i="1" s="1" a="1"/>
  <c r="CR185" i="1" s="1"/>
  <c r="CM185" i="1"/>
  <c r="CT185" i="1" s="1" a="1"/>
  <c r="CT185" i="1" s="1"/>
  <c r="CL185" i="1"/>
  <c r="CS185" i="1" s="1" a="1"/>
  <c r="CS185" i="1" s="1"/>
  <c r="CK161" i="1"/>
  <c r="CR161" i="1" s="1" a="1"/>
  <c r="CR161" i="1" s="1"/>
  <c r="CM161" i="1"/>
  <c r="CT161" i="1" s="1" a="1"/>
  <c r="CT161" i="1" s="1"/>
  <c r="CL161" i="1"/>
  <c r="CS161" i="1" s="1" a="1"/>
  <c r="CS161" i="1" s="1"/>
  <c r="CK137" i="1"/>
  <c r="CR137" i="1" s="1" a="1"/>
  <c r="CR137" i="1" s="1"/>
  <c r="CM137" i="1"/>
  <c r="CT137" i="1" s="1" a="1"/>
  <c r="CT137" i="1" s="1"/>
  <c r="CL137" i="1"/>
  <c r="CS137" i="1" s="1" a="1"/>
  <c r="CS137" i="1" s="1"/>
  <c r="CK105" i="1"/>
  <c r="CR105" i="1" s="1" a="1"/>
  <c r="CR105" i="1" s="1"/>
  <c r="CM105" i="1"/>
  <c r="CT105" i="1" s="1" a="1"/>
  <c r="CT105" i="1" s="1"/>
  <c r="CL105" i="1"/>
  <c r="CS105" i="1" s="1" a="1"/>
  <c r="CS105" i="1" s="1"/>
  <c r="CK81" i="1"/>
  <c r="CR81" i="1" s="1" a="1"/>
  <c r="CR81" i="1" s="1"/>
  <c r="CM81" i="1"/>
  <c r="CT81" i="1" s="1" a="1"/>
  <c r="CT81" i="1" s="1"/>
  <c r="CL81" i="1"/>
  <c r="CS81" i="1" s="1" a="1"/>
  <c r="CS81" i="1" s="1"/>
  <c r="CK57" i="1"/>
  <c r="CR57" i="1" s="1" a="1"/>
  <c r="CR57" i="1" s="1"/>
  <c r="CM57" i="1"/>
  <c r="CT57" i="1" s="1" a="1"/>
  <c r="CT57" i="1" s="1"/>
  <c r="CL57" i="1"/>
  <c r="CS57" i="1" s="1" a="1"/>
  <c r="CS57" i="1" s="1"/>
  <c r="CK33" i="1"/>
  <c r="CR33" i="1" s="1" a="1"/>
  <c r="CR33" i="1" s="1"/>
  <c r="CM33" i="1"/>
  <c r="CT33" i="1" s="1" a="1"/>
  <c r="CT33" i="1" s="1"/>
  <c r="CL33" i="1"/>
  <c r="CS33" i="1" s="1" a="1"/>
  <c r="CS33" i="1" s="1"/>
  <c r="CK8" i="1"/>
  <c r="CR8" i="1" s="1" a="1"/>
  <c r="CR8" i="1" s="1"/>
  <c r="CM8" i="1"/>
  <c r="CT8" i="1" s="1" a="1"/>
  <c r="CT8" i="1" s="1"/>
  <c r="CL8" i="1"/>
  <c r="CS8" i="1" s="1" a="1"/>
  <c r="CS8" i="1" s="1"/>
  <c r="CP553" i="1"/>
  <c r="CU553" i="1" s="1" a="1"/>
  <c r="CU553" i="1" s="1"/>
  <c r="CQ553" i="1"/>
  <c r="CV553" i="1" s="1" a="1"/>
  <c r="CV553" i="1" s="1"/>
  <c r="CP528" i="1"/>
  <c r="CU528" i="1" s="1" a="1"/>
  <c r="CU528" i="1" s="1"/>
  <c r="CQ528" i="1"/>
  <c r="CV528" i="1" s="1" a="1"/>
  <c r="CV528" i="1" s="1"/>
  <c r="CQ510" i="1"/>
  <c r="CV510" i="1" s="1" a="1"/>
  <c r="CV510" i="1" s="1"/>
  <c r="CP510" i="1"/>
  <c r="CU510" i="1" s="1" a="1"/>
  <c r="CU510" i="1" s="1"/>
  <c r="CQ475" i="1"/>
  <c r="CV475" i="1" s="1" a="1"/>
  <c r="CV475" i="1" s="1"/>
  <c r="CP475" i="1"/>
  <c r="CU475" i="1" s="1" a="1"/>
  <c r="CU475" i="1" s="1"/>
  <c r="CQ458" i="1"/>
  <c r="CV458" i="1" s="1" a="1"/>
  <c r="CV458" i="1" s="1"/>
  <c r="CP458" i="1"/>
  <c r="CU458" i="1" s="1" a="1"/>
  <c r="CU458" i="1" s="1"/>
  <c r="CQ429" i="1"/>
  <c r="CV429" i="1" s="1" a="1"/>
  <c r="CV429" i="1" s="1"/>
  <c r="CP429" i="1"/>
  <c r="CU429" i="1" s="1" a="1"/>
  <c r="CU429" i="1" s="1"/>
  <c r="CQ400" i="1"/>
  <c r="CV400" i="1" s="1" a="1"/>
  <c r="CV400" i="1" s="1"/>
  <c r="CP400" i="1"/>
  <c r="CU400" i="1" s="1" a="1"/>
  <c r="CU400" i="1" s="1"/>
  <c r="CP383" i="1"/>
  <c r="CU383" i="1" s="1" a="1"/>
  <c r="CU383" i="1" s="1"/>
  <c r="CQ383" i="1"/>
  <c r="CV383" i="1" s="1" a="1"/>
  <c r="CV383" i="1" s="1"/>
  <c r="CQ366" i="1"/>
  <c r="CV366" i="1" s="1" a="1"/>
  <c r="CV366" i="1" s="1"/>
  <c r="CP366" i="1"/>
  <c r="CU366" i="1" s="1" a="1"/>
  <c r="CU366" i="1" s="1"/>
  <c r="CQ340" i="1"/>
  <c r="CV340" i="1" s="1" a="1"/>
  <c r="CV340" i="1" s="1"/>
  <c r="CP340" i="1"/>
  <c r="CU340" i="1" s="1" a="1"/>
  <c r="CU340" i="1" s="1"/>
  <c r="CQ308" i="1"/>
  <c r="CV308" i="1" s="1" a="1"/>
  <c r="CV308" i="1" s="1"/>
  <c r="CP308" i="1"/>
  <c r="CU308" i="1" s="1" a="1"/>
  <c r="CU308" i="1" s="1"/>
  <c r="CQ282" i="1"/>
  <c r="CV282" i="1" s="1" a="1"/>
  <c r="CV282" i="1" s="1"/>
  <c r="CP282" i="1"/>
  <c r="CU282" i="1" s="1" a="1"/>
  <c r="CU282" i="1" s="1"/>
  <c r="CQ252" i="1"/>
  <c r="CV252" i="1" s="1" a="1"/>
  <c r="CV252" i="1" s="1"/>
  <c r="CP252" i="1"/>
  <c r="CU252" i="1" s="1" a="1"/>
  <c r="CU252" i="1" s="1"/>
  <c r="CQ226" i="1"/>
  <c r="CV226" i="1" s="1" a="1"/>
  <c r="CV226" i="1" s="1"/>
  <c r="CP226" i="1"/>
  <c r="CU226" i="1" s="1" a="1"/>
  <c r="CU226" i="1" s="1"/>
  <c r="CP190" i="1"/>
  <c r="CU190" i="1" s="1" a="1"/>
  <c r="CU190" i="1" s="1"/>
  <c r="CQ190" i="1"/>
  <c r="CV190" i="1" s="1" a="1"/>
  <c r="CV190" i="1" s="1"/>
  <c r="CQ170" i="1"/>
  <c r="CV170" i="1" s="1" a="1"/>
  <c r="CV170" i="1" s="1"/>
  <c r="CP170" i="1"/>
  <c r="CU170" i="1" s="1" a="1"/>
  <c r="CU170" i="1" s="1"/>
  <c r="CQ141" i="1"/>
  <c r="CV141" i="1" s="1" a="1"/>
  <c r="CV141" i="1" s="1"/>
  <c r="CP141" i="1"/>
  <c r="CU141" i="1" s="1" a="1"/>
  <c r="CU141" i="1" s="1"/>
  <c r="CQ105" i="1"/>
  <c r="CV105" i="1" s="1" a="1"/>
  <c r="CV105" i="1" s="1"/>
  <c r="CP105" i="1"/>
  <c r="CU105" i="1" s="1" a="1"/>
  <c r="CU105" i="1" s="1"/>
  <c r="CQ80" i="1"/>
  <c r="CV80" i="1" s="1" a="1"/>
  <c r="CV80" i="1" s="1"/>
  <c r="CP80" i="1"/>
  <c r="CU80" i="1" s="1" a="1"/>
  <c r="CU80" i="1" s="1"/>
  <c r="CQ52" i="1"/>
  <c r="CV52" i="1" s="1" a="1"/>
  <c r="CV52" i="1" s="1"/>
  <c r="CP52" i="1"/>
  <c r="CU52" i="1" s="1" a="1"/>
  <c r="CU52" i="1" s="1"/>
  <c r="CQ27" i="1"/>
  <c r="CV27" i="1" s="1" a="1"/>
  <c r="CV27" i="1" s="1"/>
  <c r="CP27" i="1"/>
  <c r="CU27" i="1" s="1" a="1"/>
  <c r="CU27" i="1" s="1"/>
  <c r="CK2" i="1"/>
  <c r="CR2" i="1" s="1" a="1"/>
  <c r="CR2" i="1" s="1"/>
  <c r="CM2" i="1"/>
  <c r="CT2" i="1" s="1" a="1"/>
  <c r="CT2" i="1" s="1"/>
  <c r="CL2" i="1"/>
  <c r="CS2" i="1" s="1" a="1"/>
  <c r="CS2" i="1" s="1"/>
  <c r="CK565" i="1"/>
  <c r="CR565" i="1" s="1" a="1"/>
  <c r="CR565" i="1" s="1"/>
  <c r="CM565" i="1"/>
  <c r="CT565" i="1" s="1" a="1"/>
  <c r="CT565" i="1" s="1"/>
  <c r="CL565" i="1"/>
  <c r="CS565" i="1" s="1" a="1"/>
  <c r="CS565" i="1" s="1"/>
  <c r="CK557" i="1"/>
  <c r="CR557" i="1" s="1" a="1"/>
  <c r="CR557" i="1" s="1"/>
  <c r="CM557" i="1"/>
  <c r="CT557" i="1" s="1" a="1"/>
  <c r="CT557" i="1" s="1"/>
  <c r="CL557" i="1"/>
  <c r="CS557" i="1" s="1" a="1"/>
  <c r="CS557" i="1" s="1"/>
  <c r="CK549" i="1"/>
  <c r="CR549" i="1" s="1" a="1"/>
  <c r="CR549" i="1" s="1"/>
  <c r="CM549" i="1"/>
  <c r="CT549" i="1" s="1" a="1"/>
  <c r="CT549" i="1" s="1"/>
  <c r="CL549" i="1"/>
  <c r="CS549" i="1" s="1" a="1"/>
  <c r="CS549" i="1" s="1"/>
  <c r="CK541" i="1"/>
  <c r="CR541" i="1" s="1" a="1"/>
  <c r="CR541" i="1" s="1"/>
  <c r="CM541" i="1"/>
  <c r="CT541" i="1" s="1" a="1"/>
  <c r="CT541" i="1" s="1"/>
  <c r="CL541" i="1"/>
  <c r="CS541" i="1" s="1" a="1"/>
  <c r="CS541" i="1" s="1"/>
  <c r="CK533" i="1"/>
  <c r="CR533" i="1" s="1" a="1"/>
  <c r="CR533" i="1" s="1"/>
  <c r="CM533" i="1"/>
  <c r="CT533" i="1" s="1" a="1"/>
  <c r="CT533" i="1" s="1"/>
  <c r="CL533" i="1"/>
  <c r="CS533" i="1" s="1" a="1"/>
  <c r="CS533" i="1" s="1"/>
  <c r="CK525" i="1"/>
  <c r="CR525" i="1" s="1" a="1"/>
  <c r="CR525" i="1" s="1"/>
  <c r="CM525" i="1"/>
  <c r="CT525" i="1" s="1" a="1"/>
  <c r="CT525" i="1" s="1"/>
  <c r="CL525" i="1"/>
  <c r="CS525" i="1" s="1" a="1"/>
  <c r="CS525" i="1" s="1"/>
  <c r="CK517" i="1"/>
  <c r="CR517" i="1" s="1" a="1"/>
  <c r="CR517" i="1" s="1"/>
  <c r="CM517" i="1"/>
  <c r="CT517" i="1" s="1" a="1"/>
  <c r="CT517" i="1" s="1"/>
  <c r="CL517" i="1"/>
  <c r="CS517" i="1" s="1" a="1"/>
  <c r="CS517" i="1" s="1"/>
  <c r="CK509" i="1"/>
  <c r="CR509" i="1" s="1" a="1"/>
  <c r="CR509" i="1" s="1"/>
  <c r="CM509" i="1"/>
  <c r="CT509" i="1" s="1" a="1"/>
  <c r="CT509" i="1" s="1"/>
  <c r="CL509" i="1"/>
  <c r="CS509" i="1" s="1" a="1"/>
  <c r="CS509" i="1" s="1"/>
  <c r="CM501" i="1"/>
  <c r="CT501" i="1" s="1" a="1"/>
  <c r="CT501" i="1" s="1"/>
  <c r="CL501" i="1"/>
  <c r="CS501" i="1" s="1" a="1"/>
  <c r="CS501" i="1" s="1"/>
  <c r="CK493" i="1"/>
  <c r="CR493" i="1" s="1" a="1"/>
  <c r="CR493" i="1" s="1"/>
  <c r="CM493" i="1"/>
  <c r="CT493" i="1" s="1" a="1"/>
  <c r="CT493" i="1" s="1"/>
  <c r="CL493" i="1"/>
  <c r="CS493" i="1" s="1" a="1"/>
  <c r="CS493" i="1" s="1"/>
  <c r="CK485" i="1"/>
  <c r="CR485" i="1" s="1" a="1"/>
  <c r="CR485" i="1" s="1"/>
  <c r="CM485" i="1"/>
  <c r="CT485" i="1" s="1" a="1"/>
  <c r="CT485" i="1" s="1"/>
  <c r="CL485" i="1"/>
  <c r="CS485" i="1" s="1" a="1"/>
  <c r="CS485" i="1" s="1"/>
  <c r="CK477" i="1"/>
  <c r="CR477" i="1" s="1" a="1"/>
  <c r="CR477" i="1" s="1"/>
  <c r="CM477" i="1"/>
  <c r="CT477" i="1" s="1" a="1"/>
  <c r="CT477" i="1" s="1"/>
  <c r="CL477" i="1"/>
  <c r="CS477" i="1" s="1" a="1"/>
  <c r="CS477" i="1" s="1"/>
  <c r="CK469" i="1"/>
  <c r="CR469" i="1" s="1" a="1"/>
  <c r="CR469" i="1" s="1"/>
  <c r="CM469" i="1"/>
  <c r="CT469" i="1" s="1" a="1"/>
  <c r="CT469" i="1" s="1"/>
  <c r="CL469" i="1"/>
  <c r="CS469" i="1" s="1" a="1"/>
  <c r="CS469" i="1" s="1"/>
  <c r="CK461" i="1"/>
  <c r="CR461" i="1" s="1" a="1"/>
  <c r="CR461" i="1" s="1"/>
  <c r="CM461" i="1"/>
  <c r="CT461" i="1" s="1" a="1"/>
  <c r="CT461" i="1" s="1"/>
  <c r="CL461" i="1"/>
  <c r="CS461" i="1" s="1" a="1"/>
  <c r="CS461" i="1" s="1"/>
  <c r="CK453" i="1"/>
  <c r="CR453" i="1" s="1" a="1"/>
  <c r="CR453" i="1" s="1"/>
  <c r="CM453" i="1"/>
  <c r="CT453" i="1" s="1" a="1"/>
  <c r="CT453" i="1" s="1"/>
  <c r="CL453" i="1"/>
  <c r="CS453" i="1" s="1" a="1"/>
  <c r="CS453" i="1" s="1"/>
  <c r="CK445" i="1"/>
  <c r="CR445" i="1" s="1" a="1"/>
  <c r="CR445" i="1" s="1"/>
  <c r="CM445" i="1"/>
  <c r="CT445" i="1" s="1" a="1"/>
  <c r="CT445" i="1" s="1"/>
  <c r="CL445" i="1"/>
  <c r="CS445" i="1" s="1" a="1"/>
  <c r="CS445" i="1" s="1"/>
  <c r="CK437" i="1"/>
  <c r="CR437" i="1" s="1" a="1"/>
  <c r="CR437" i="1" s="1"/>
  <c r="CM437" i="1"/>
  <c r="CT437" i="1" s="1" a="1"/>
  <c r="CT437" i="1" s="1"/>
  <c r="CL437" i="1"/>
  <c r="CS437" i="1" s="1" a="1"/>
  <c r="CS437" i="1" s="1"/>
  <c r="CK429" i="1"/>
  <c r="CR429" i="1" s="1" a="1"/>
  <c r="CR429" i="1" s="1"/>
  <c r="CM429" i="1"/>
  <c r="CT429" i="1" s="1" a="1"/>
  <c r="CT429" i="1" s="1"/>
  <c r="CL429" i="1"/>
  <c r="CS429" i="1" s="1" a="1"/>
  <c r="CS429" i="1" s="1"/>
  <c r="CK421" i="1"/>
  <c r="CR421" i="1" s="1" a="1"/>
  <c r="CR421" i="1" s="1"/>
  <c r="CM421" i="1"/>
  <c r="CT421" i="1" s="1" a="1"/>
  <c r="CT421" i="1" s="1"/>
  <c r="CL421" i="1"/>
  <c r="CS421" i="1" s="1" a="1"/>
  <c r="CS421" i="1" s="1"/>
  <c r="CK413" i="1"/>
  <c r="CR413" i="1" s="1" a="1"/>
  <c r="CR413" i="1" s="1"/>
  <c r="CM413" i="1"/>
  <c r="CT413" i="1" s="1" a="1"/>
  <c r="CT413" i="1" s="1"/>
  <c r="CL413" i="1"/>
  <c r="CS413" i="1" s="1" a="1"/>
  <c r="CS413" i="1" s="1"/>
  <c r="CM405" i="1"/>
  <c r="CT405" i="1" s="1" a="1"/>
  <c r="CT405" i="1" s="1"/>
  <c r="CL405" i="1"/>
  <c r="CS405" i="1" s="1" a="1"/>
  <c r="CS405" i="1" s="1"/>
  <c r="CK397" i="1"/>
  <c r="CR397" i="1" s="1" a="1"/>
  <c r="CR397" i="1" s="1"/>
  <c r="CM397" i="1"/>
  <c r="CT397" i="1" s="1" a="1"/>
  <c r="CT397" i="1" s="1"/>
  <c r="CL397" i="1"/>
  <c r="CS397" i="1" s="1" a="1"/>
  <c r="CS397" i="1" s="1"/>
  <c r="CK389" i="1"/>
  <c r="CR389" i="1" s="1" a="1"/>
  <c r="CR389" i="1" s="1"/>
  <c r="CM389" i="1"/>
  <c r="CT389" i="1" s="1" a="1"/>
  <c r="CT389" i="1" s="1"/>
  <c r="CL389" i="1"/>
  <c r="CS389" i="1" s="1" a="1"/>
  <c r="CS389" i="1" s="1"/>
  <c r="CK381" i="1"/>
  <c r="CR381" i="1" s="1" a="1"/>
  <c r="CR381" i="1" s="1"/>
  <c r="CM381" i="1"/>
  <c r="CT381" i="1" s="1" a="1"/>
  <c r="CT381" i="1" s="1"/>
  <c r="CL381" i="1"/>
  <c r="CS381" i="1" s="1" a="1"/>
  <c r="CS381" i="1" s="1"/>
  <c r="CK373" i="1"/>
  <c r="CR373" i="1" s="1" a="1"/>
  <c r="CR373" i="1" s="1"/>
  <c r="CM373" i="1"/>
  <c r="CT373" i="1" s="1" a="1"/>
  <c r="CT373" i="1" s="1"/>
  <c r="CL373" i="1"/>
  <c r="CS373" i="1" s="1" a="1"/>
  <c r="CS373" i="1" s="1"/>
  <c r="CK365" i="1"/>
  <c r="CR365" i="1" s="1" a="1"/>
  <c r="CR365" i="1" s="1"/>
  <c r="CM365" i="1"/>
  <c r="CT365" i="1" s="1" a="1"/>
  <c r="CT365" i="1" s="1"/>
  <c r="CL365" i="1"/>
  <c r="CS365" i="1" s="1" a="1"/>
  <c r="CS365" i="1" s="1"/>
  <c r="CK357" i="1"/>
  <c r="CR357" i="1" s="1" a="1"/>
  <c r="CR357" i="1" s="1"/>
  <c r="CM357" i="1"/>
  <c r="CT357" i="1" s="1" a="1"/>
  <c r="CT357" i="1" s="1"/>
  <c r="CL357" i="1"/>
  <c r="CS357" i="1" s="1" a="1"/>
  <c r="CS357" i="1" s="1"/>
  <c r="CK349" i="1"/>
  <c r="CR349" i="1" s="1" a="1"/>
  <c r="CR349" i="1" s="1"/>
  <c r="CM349" i="1"/>
  <c r="CT349" i="1" s="1" a="1"/>
  <c r="CT349" i="1" s="1"/>
  <c r="CL349" i="1"/>
  <c r="CS349" i="1" s="1" a="1"/>
  <c r="CS349" i="1" s="1"/>
  <c r="CK341" i="1"/>
  <c r="CR341" i="1" s="1" a="1"/>
  <c r="CR341" i="1" s="1"/>
  <c r="CM341" i="1"/>
  <c r="CT341" i="1" s="1" a="1"/>
  <c r="CT341" i="1" s="1"/>
  <c r="CL341" i="1"/>
  <c r="CS341" i="1" s="1" a="1"/>
  <c r="CS341" i="1" s="1"/>
  <c r="CK333" i="1"/>
  <c r="CR333" i="1" s="1" a="1"/>
  <c r="CR333" i="1" s="1"/>
  <c r="CM333" i="1"/>
  <c r="CT333" i="1" s="1" a="1"/>
  <c r="CT333" i="1" s="1"/>
  <c r="CL333" i="1"/>
  <c r="CS333" i="1" s="1" a="1"/>
  <c r="CS333" i="1" s="1"/>
  <c r="CK325" i="1"/>
  <c r="CR325" i="1" s="1" a="1"/>
  <c r="CR325" i="1" s="1"/>
  <c r="CM325" i="1"/>
  <c r="CT325" i="1" s="1" a="1"/>
  <c r="CT325" i="1" s="1"/>
  <c r="CL325" i="1"/>
  <c r="CS325" i="1" s="1" a="1"/>
  <c r="CS325" i="1" s="1"/>
  <c r="CK317" i="1"/>
  <c r="CR317" i="1" s="1" a="1"/>
  <c r="CR317" i="1" s="1"/>
  <c r="CM317" i="1"/>
  <c r="CT317" i="1" s="1" a="1"/>
  <c r="CT317" i="1" s="1"/>
  <c r="CL317" i="1"/>
  <c r="CS317" i="1" s="1" a="1"/>
  <c r="CS317" i="1" s="1"/>
  <c r="CK309" i="1"/>
  <c r="CR309" i="1" s="1" a="1"/>
  <c r="CR309" i="1" s="1"/>
  <c r="CM309" i="1"/>
  <c r="CT309" i="1" s="1" a="1"/>
  <c r="CT309" i="1" s="1"/>
  <c r="CL309" i="1"/>
  <c r="CS309" i="1" s="1" a="1"/>
  <c r="CS309" i="1" s="1"/>
  <c r="CK301" i="1"/>
  <c r="CR301" i="1" s="1" a="1"/>
  <c r="CR301" i="1" s="1"/>
  <c r="CM301" i="1"/>
  <c r="CT301" i="1" s="1" a="1"/>
  <c r="CT301" i="1" s="1"/>
  <c r="CL301" i="1"/>
  <c r="CS301" i="1" s="1" a="1"/>
  <c r="CS301" i="1" s="1"/>
  <c r="CK293" i="1"/>
  <c r="CR293" i="1" s="1" a="1"/>
  <c r="CR293" i="1" s="1"/>
  <c r="CM293" i="1"/>
  <c r="CT293" i="1" s="1" a="1"/>
  <c r="CT293" i="1" s="1"/>
  <c r="CL293" i="1"/>
  <c r="CS293" i="1" s="1" a="1"/>
  <c r="CS293" i="1" s="1"/>
  <c r="CK285" i="1"/>
  <c r="CR285" i="1" s="1" a="1"/>
  <c r="CR285" i="1" s="1"/>
  <c r="CM285" i="1"/>
  <c r="CT285" i="1" s="1" a="1"/>
  <c r="CT285" i="1" s="1"/>
  <c r="CL285" i="1"/>
  <c r="CS285" i="1" s="1" a="1"/>
  <c r="CS285" i="1" s="1"/>
  <c r="CK277" i="1"/>
  <c r="CR277" i="1" s="1" a="1"/>
  <c r="CR277" i="1" s="1"/>
  <c r="CM277" i="1"/>
  <c r="CT277" i="1" s="1" a="1"/>
  <c r="CT277" i="1" s="1"/>
  <c r="CL277" i="1"/>
  <c r="CS277" i="1" s="1" a="1"/>
  <c r="CS277" i="1" s="1"/>
  <c r="CK269" i="1"/>
  <c r="CR269" i="1" s="1" a="1"/>
  <c r="CR269" i="1" s="1"/>
  <c r="CM269" i="1"/>
  <c r="CT269" i="1" s="1" a="1"/>
  <c r="CT269" i="1" s="1"/>
  <c r="CL269" i="1"/>
  <c r="CS269" i="1" s="1" a="1"/>
  <c r="CS269" i="1" s="1"/>
  <c r="CK261" i="1"/>
  <c r="CR261" i="1" s="1" a="1"/>
  <c r="CR261" i="1" s="1"/>
  <c r="CM261" i="1"/>
  <c r="CT261" i="1" s="1" a="1"/>
  <c r="CT261" i="1" s="1"/>
  <c r="CL261" i="1"/>
  <c r="CS261" i="1" s="1" a="1"/>
  <c r="CS261" i="1" s="1"/>
  <c r="CK253" i="1"/>
  <c r="CR253" i="1" s="1" a="1"/>
  <c r="CR253" i="1" s="1"/>
  <c r="CM253" i="1"/>
  <c r="CT253" i="1" s="1" a="1"/>
  <c r="CT253" i="1" s="1"/>
  <c r="CL253" i="1"/>
  <c r="CS253" i="1" s="1" a="1"/>
  <c r="CS253" i="1" s="1"/>
  <c r="CK245" i="1"/>
  <c r="CR245" i="1" s="1" a="1"/>
  <c r="CR245" i="1" s="1"/>
  <c r="CM245" i="1"/>
  <c r="CT245" i="1" s="1" a="1"/>
  <c r="CT245" i="1" s="1"/>
  <c r="CL245" i="1"/>
  <c r="CS245" i="1" s="1" a="1"/>
  <c r="CS245" i="1" s="1"/>
  <c r="CK237" i="1"/>
  <c r="CR237" i="1" s="1" a="1"/>
  <c r="CR237" i="1" s="1"/>
  <c r="CM237" i="1"/>
  <c r="CT237" i="1" s="1" a="1"/>
  <c r="CT237" i="1" s="1"/>
  <c r="CL237" i="1"/>
  <c r="CS237" i="1" s="1" a="1"/>
  <c r="CS237" i="1" s="1"/>
  <c r="CK229" i="1"/>
  <c r="CR229" i="1" s="1" a="1"/>
  <c r="CR229" i="1" s="1"/>
  <c r="CM229" i="1"/>
  <c r="CT229" i="1" s="1" a="1"/>
  <c r="CT229" i="1" s="1"/>
  <c r="CL229" i="1"/>
  <c r="CS229" i="1" s="1" a="1"/>
  <c r="CS229" i="1" s="1"/>
  <c r="CK221" i="1"/>
  <c r="CR221" i="1" s="1" a="1"/>
  <c r="CR221" i="1" s="1"/>
  <c r="CM221" i="1"/>
  <c r="CT221" i="1" s="1" a="1"/>
  <c r="CT221" i="1" s="1"/>
  <c r="CL221" i="1"/>
  <c r="CS221" i="1" s="1" a="1"/>
  <c r="CS221" i="1" s="1"/>
  <c r="CK213" i="1"/>
  <c r="CR213" i="1" s="1" a="1"/>
  <c r="CR213" i="1" s="1"/>
  <c r="CM213" i="1"/>
  <c r="CT213" i="1" s="1" a="1"/>
  <c r="CT213" i="1" s="1"/>
  <c r="CL213" i="1"/>
  <c r="CS213" i="1" s="1" a="1"/>
  <c r="CS213" i="1" s="1"/>
  <c r="CK205" i="1"/>
  <c r="CR205" i="1" s="1" a="1"/>
  <c r="CR205" i="1" s="1"/>
  <c r="CM205" i="1"/>
  <c r="CT205" i="1" s="1" a="1"/>
  <c r="CT205" i="1" s="1"/>
  <c r="CL205" i="1"/>
  <c r="CS205" i="1" s="1" a="1"/>
  <c r="CS205" i="1" s="1"/>
  <c r="CK197" i="1"/>
  <c r="CR197" i="1" s="1" a="1"/>
  <c r="CR197" i="1" s="1"/>
  <c r="CM197" i="1"/>
  <c r="CT197" i="1" s="1" a="1"/>
  <c r="CT197" i="1" s="1"/>
  <c r="CL197" i="1"/>
  <c r="CS197" i="1" s="1" a="1"/>
  <c r="CS197" i="1" s="1"/>
  <c r="CK189" i="1"/>
  <c r="CR189" i="1" s="1" a="1"/>
  <c r="CR189" i="1" s="1"/>
  <c r="CM189" i="1"/>
  <c r="CT189" i="1" s="1" a="1"/>
  <c r="CT189" i="1" s="1"/>
  <c r="CL189" i="1"/>
  <c r="CS189" i="1" s="1" a="1"/>
  <c r="CS189" i="1" s="1"/>
  <c r="CM181" i="1"/>
  <c r="CT181" i="1" s="1" a="1"/>
  <c r="CT181" i="1" s="1"/>
  <c r="CL181" i="1"/>
  <c r="CS181" i="1" s="1" a="1"/>
  <c r="CS181" i="1" s="1"/>
  <c r="CK173" i="1"/>
  <c r="CR173" i="1" s="1" a="1"/>
  <c r="CR173" i="1" s="1"/>
  <c r="CM173" i="1"/>
  <c r="CT173" i="1" s="1" a="1"/>
  <c r="CT173" i="1" s="1"/>
  <c r="CL173" i="1"/>
  <c r="CS173" i="1" s="1" a="1"/>
  <c r="CS173" i="1" s="1"/>
  <c r="CK165" i="1"/>
  <c r="CR165" i="1" s="1" a="1"/>
  <c r="CR165" i="1" s="1"/>
  <c r="CM165" i="1"/>
  <c r="CT165" i="1" s="1" a="1"/>
  <c r="CT165" i="1" s="1"/>
  <c r="CL165" i="1"/>
  <c r="CS165" i="1" s="1" a="1"/>
  <c r="CS165" i="1" s="1"/>
  <c r="CK157" i="1"/>
  <c r="CR157" i="1" s="1" a="1"/>
  <c r="CR157" i="1" s="1"/>
  <c r="CM157" i="1"/>
  <c r="CT157" i="1" s="1" a="1"/>
  <c r="CT157" i="1" s="1"/>
  <c r="CL157" i="1"/>
  <c r="CS157" i="1" s="1" a="1"/>
  <c r="CS157" i="1" s="1"/>
  <c r="CK149" i="1"/>
  <c r="CR149" i="1" s="1" a="1"/>
  <c r="CR149" i="1" s="1"/>
  <c r="CM149" i="1"/>
  <c r="CT149" i="1" s="1" a="1"/>
  <c r="CT149" i="1" s="1"/>
  <c r="CL149" i="1"/>
  <c r="CS149" i="1" s="1" a="1"/>
  <c r="CS149" i="1" s="1"/>
  <c r="CK141" i="1"/>
  <c r="CR141" i="1" s="1" a="1"/>
  <c r="CR141" i="1" s="1"/>
  <c r="CM141" i="1"/>
  <c r="CT141" i="1" s="1" a="1"/>
  <c r="CT141" i="1" s="1"/>
  <c r="CL141" i="1"/>
  <c r="CS141" i="1" s="1" a="1"/>
  <c r="CS141" i="1" s="1"/>
  <c r="CK133" i="1"/>
  <c r="CR133" i="1" s="1" a="1"/>
  <c r="CR133" i="1" s="1"/>
  <c r="CM133" i="1"/>
  <c r="CT133" i="1" s="1" a="1"/>
  <c r="CT133" i="1" s="1"/>
  <c r="CL133" i="1"/>
  <c r="CS133" i="1" s="1" a="1"/>
  <c r="CS133" i="1" s="1"/>
  <c r="CK125" i="1"/>
  <c r="CR125" i="1" s="1" a="1"/>
  <c r="CR125" i="1" s="1"/>
  <c r="CM125" i="1"/>
  <c r="CT125" i="1" s="1" a="1"/>
  <c r="CT125" i="1" s="1"/>
  <c r="CL125" i="1"/>
  <c r="CS125" i="1" s="1" a="1"/>
  <c r="CS125" i="1" s="1"/>
  <c r="CM117" i="1"/>
  <c r="CT117" i="1" s="1" a="1"/>
  <c r="CT117" i="1" s="1"/>
  <c r="CL117" i="1"/>
  <c r="CS117" i="1" s="1" a="1"/>
  <c r="CS117" i="1" s="1"/>
  <c r="CK109" i="1"/>
  <c r="CR109" i="1" s="1" a="1"/>
  <c r="CR109" i="1" s="1"/>
  <c r="CM109" i="1"/>
  <c r="CT109" i="1" s="1" a="1"/>
  <c r="CT109" i="1" s="1"/>
  <c r="CL109" i="1"/>
  <c r="CS109" i="1" s="1" a="1"/>
  <c r="CS109" i="1" s="1"/>
  <c r="CK101" i="1"/>
  <c r="CR101" i="1" s="1" a="1"/>
  <c r="CR101" i="1" s="1"/>
  <c r="CM101" i="1"/>
  <c r="CT101" i="1" s="1" a="1"/>
  <c r="CT101" i="1" s="1"/>
  <c r="CL101" i="1"/>
  <c r="CS101" i="1" s="1" a="1"/>
  <c r="CS101" i="1" s="1"/>
  <c r="CM93" i="1"/>
  <c r="CT93" i="1" s="1" a="1"/>
  <c r="CT93" i="1" s="1"/>
  <c r="CL93" i="1"/>
  <c r="CS93" i="1" s="1" a="1"/>
  <c r="CS93" i="1" s="1"/>
  <c r="CK85" i="1"/>
  <c r="CR85" i="1" s="1" a="1"/>
  <c r="CR85" i="1" s="1"/>
  <c r="CM85" i="1"/>
  <c r="CT85" i="1" s="1" a="1"/>
  <c r="CT85" i="1" s="1"/>
  <c r="CL85" i="1"/>
  <c r="CS85" i="1" s="1" a="1"/>
  <c r="CS85" i="1" s="1"/>
  <c r="CM77" i="1"/>
  <c r="CT77" i="1" s="1" a="1"/>
  <c r="CT77" i="1" s="1"/>
  <c r="CL77" i="1"/>
  <c r="CS77" i="1" s="1" a="1"/>
  <c r="CS77" i="1" s="1"/>
  <c r="CK69" i="1"/>
  <c r="CR69" i="1" s="1" a="1"/>
  <c r="CR69" i="1" s="1"/>
  <c r="CM69" i="1"/>
  <c r="CT69" i="1" s="1" a="1"/>
  <c r="CT69" i="1" s="1"/>
  <c r="CL69" i="1"/>
  <c r="CS69" i="1" s="1" a="1"/>
  <c r="CS69" i="1" s="1"/>
  <c r="CK61" i="1"/>
  <c r="CR61" i="1" s="1" a="1"/>
  <c r="CR61" i="1" s="1"/>
  <c r="CM61" i="1"/>
  <c r="CT61" i="1" s="1" a="1"/>
  <c r="CT61" i="1" s="1"/>
  <c r="CL61" i="1"/>
  <c r="CS61" i="1" s="1" a="1"/>
  <c r="CS61" i="1" s="1"/>
  <c r="CK53" i="1"/>
  <c r="CR53" i="1" s="1" a="1"/>
  <c r="CR53" i="1" s="1"/>
  <c r="CL53" i="1"/>
  <c r="CS53" i="1" s="1" a="1"/>
  <c r="CS53" i="1" s="1"/>
  <c r="CM53" i="1"/>
  <c r="CT53" i="1" s="1" a="1"/>
  <c r="CT53" i="1" s="1"/>
  <c r="CK45" i="1"/>
  <c r="CR45" i="1" s="1" a="1"/>
  <c r="CR45" i="1" s="1"/>
  <c r="CM45" i="1"/>
  <c r="CT45" i="1" s="1" a="1"/>
  <c r="CT45" i="1" s="1"/>
  <c r="CL45" i="1"/>
  <c r="CS45" i="1" s="1" a="1"/>
  <c r="CS45" i="1" s="1"/>
  <c r="CK37" i="1"/>
  <c r="CR37" i="1" s="1" a="1"/>
  <c r="CR37" i="1" s="1"/>
  <c r="CM37" i="1"/>
  <c r="CT37" i="1" s="1" a="1"/>
  <c r="CT37" i="1" s="1"/>
  <c r="CL37" i="1"/>
  <c r="CS37" i="1" s="1" a="1"/>
  <c r="CS37" i="1" s="1"/>
  <c r="CK29" i="1"/>
  <c r="CR29" i="1" s="1" a="1"/>
  <c r="CR29" i="1" s="1"/>
  <c r="CM29" i="1"/>
  <c r="CT29" i="1" s="1" a="1"/>
  <c r="CT29" i="1" s="1"/>
  <c r="CL29" i="1"/>
  <c r="CS29" i="1" s="1" a="1"/>
  <c r="CS29" i="1" s="1"/>
  <c r="CL21" i="1"/>
  <c r="CS21" i="1" s="1" a="1"/>
  <c r="CS21" i="1" s="1"/>
  <c r="CM21" i="1"/>
  <c r="CT21" i="1" s="1" a="1"/>
  <c r="CT21" i="1" s="1"/>
  <c r="CK13" i="1"/>
  <c r="CR13" i="1" s="1" a="1"/>
  <c r="CR13" i="1" s="1"/>
  <c r="CM13" i="1"/>
  <c r="CT13" i="1" s="1" a="1"/>
  <c r="CT13" i="1" s="1"/>
  <c r="CL13" i="1"/>
  <c r="CS13" i="1" s="1" a="1"/>
  <c r="CS13" i="1" s="1"/>
  <c r="CK4" i="1"/>
  <c r="CR4" i="1" s="1" a="1"/>
  <c r="CR4" i="1" s="1"/>
  <c r="CM4" i="1"/>
  <c r="CT4" i="1" s="1" a="1"/>
  <c r="CT4" i="1" s="1"/>
  <c r="CL4" i="1"/>
  <c r="CS4" i="1" s="1" a="1"/>
  <c r="CS4" i="1" s="1"/>
  <c r="CQ567" i="1"/>
  <c r="CV567" i="1" s="1" a="1"/>
  <c r="CV567" i="1" s="1"/>
  <c r="CP567" i="1"/>
  <c r="CU567" i="1" s="1" a="1"/>
  <c r="CU567" i="1" s="1"/>
  <c r="CQ558" i="1"/>
  <c r="CV558" i="1" s="1" a="1"/>
  <c r="CV558" i="1" s="1"/>
  <c r="CP558" i="1"/>
  <c r="CU558" i="1" s="1" a="1"/>
  <c r="CU558" i="1" s="1"/>
  <c r="CQ549" i="1"/>
  <c r="CV549" i="1" s="1" a="1"/>
  <c r="CV549" i="1" s="1"/>
  <c r="CP549" i="1"/>
  <c r="CU549" i="1" s="1" a="1"/>
  <c r="CU549" i="1" s="1"/>
  <c r="CQ541" i="1"/>
  <c r="CV541" i="1" s="1" a="1"/>
  <c r="CV541" i="1" s="1"/>
  <c r="CP541" i="1"/>
  <c r="CU541" i="1" s="1" a="1"/>
  <c r="CU541" i="1" s="1"/>
  <c r="CQ532" i="1"/>
  <c r="CV532" i="1" s="1" a="1"/>
  <c r="CV532" i="1" s="1"/>
  <c r="CP532" i="1"/>
  <c r="CU532" i="1" s="1" a="1"/>
  <c r="CU532" i="1" s="1"/>
  <c r="CQ524" i="1"/>
  <c r="CV524" i="1" s="1" a="1"/>
  <c r="CV524" i="1" s="1"/>
  <c r="CP524" i="1"/>
  <c r="CU524" i="1" s="1" a="1"/>
  <c r="CU524" i="1" s="1"/>
  <c r="CP515" i="1"/>
  <c r="CU515" i="1" s="1" a="1"/>
  <c r="CU515" i="1" s="1"/>
  <c r="CQ515" i="1"/>
  <c r="CV515" i="1" s="1" a="1"/>
  <c r="CV515" i="1" s="1"/>
  <c r="CQ506" i="1"/>
  <c r="CV506" i="1" s="1" a="1"/>
  <c r="CV506" i="1" s="1"/>
  <c r="CP506" i="1"/>
  <c r="CU506" i="1" s="1" a="1"/>
  <c r="CU506" i="1" s="1"/>
  <c r="CQ496" i="1"/>
  <c r="CV496" i="1" s="1" a="1"/>
  <c r="CV496" i="1" s="1"/>
  <c r="CP496" i="1"/>
  <c r="CU496" i="1" s="1" a="1"/>
  <c r="CU496" i="1" s="1"/>
  <c r="CQ487" i="1"/>
  <c r="CV487" i="1" s="1" a="1"/>
  <c r="CV487" i="1" s="1"/>
  <c r="CP487" i="1"/>
  <c r="CU487" i="1" s="1" a="1"/>
  <c r="CU487" i="1" s="1"/>
  <c r="CQ479" i="1"/>
  <c r="CV479" i="1" s="1" a="1"/>
  <c r="CV479" i="1" s="1"/>
  <c r="CP479" i="1"/>
  <c r="CU479" i="1" s="1" a="1"/>
  <c r="CU479" i="1" s="1"/>
  <c r="CQ471" i="1"/>
  <c r="CV471" i="1" s="1" a="1"/>
  <c r="CV471" i="1" s="1"/>
  <c r="CP471" i="1"/>
  <c r="CU471" i="1" s="1" a="1"/>
  <c r="CU471" i="1" s="1"/>
  <c r="CQ463" i="1"/>
  <c r="CV463" i="1" s="1" a="1"/>
  <c r="CV463" i="1" s="1"/>
  <c r="CP463" i="1"/>
  <c r="CU463" i="1" s="1" a="1"/>
  <c r="CU463" i="1" s="1"/>
  <c r="CQ454" i="1"/>
  <c r="CV454" i="1" s="1" a="1"/>
  <c r="CV454" i="1" s="1"/>
  <c r="CP454" i="1"/>
  <c r="CU454" i="1" s="1" a="1"/>
  <c r="CU454" i="1" s="1"/>
  <c r="CQ446" i="1"/>
  <c r="CV446" i="1" s="1" a="1"/>
  <c r="CV446" i="1" s="1"/>
  <c r="CP446" i="1"/>
  <c r="CU446" i="1" s="1" a="1"/>
  <c r="CU446" i="1" s="1"/>
  <c r="CQ435" i="1"/>
  <c r="CV435" i="1" s="1" a="1"/>
  <c r="CV435" i="1" s="1"/>
  <c r="CP435" i="1"/>
  <c r="CU435" i="1" s="1" a="1"/>
  <c r="CU435" i="1" s="1"/>
  <c r="CQ425" i="1"/>
  <c r="CV425" i="1" s="1" a="1"/>
  <c r="CV425" i="1" s="1"/>
  <c r="CP425" i="1"/>
  <c r="CU425" i="1" s="1" a="1"/>
  <c r="CU425" i="1" s="1"/>
  <c r="CQ417" i="1"/>
  <c r="CV417" i="1" s="1" a="1"/>
  <c r="CV417" i="1" s="1"/>
  <c r="CP417" i="1"/>
  <c r="CU417" i="1" s="1" a="1"/>
  <c r="CU417" i="1" s="1"/>
  <c r="CP406" i="1"/>
  <c r="CU406" i="1" s="1" a="1"/>
  <c r="CU406" i="1" s="1"/>
  <c r="CQ406" i="1"/>
  <c r="CV406" i="1" s="1" a="1"/>
  <c r="CV406" i="1" s="1"/>
  <c r="CQ396" i="1"/>
  <c r="CV396" i="1" s="1" a="1"/>
  <c r="CV396" i="1" s="1"/>
  <c r="CP396" i="1"/>
  <c r="CU396" i="1" s="1" a="1"/>
  <c r="CU396" i="1" s="1"/>
  <c r="CP387" i="1"/>
  <c r="CU387" i="1" s="1" a="1"/>
  <c r="CU387" i="1" s="1"/>
  <c r="CQ387" i="1"/>
  <c r="CV387" i="1" s="1" a="1"/>
  <c r="CV387" i="1" s="1"/>
  <c r="CQ379" i="1"/>
  <c r="CV379" i="1" s="1" a="1"/>
  <c r="CV379" i="1" s="1"/>
  <c r="CP379" i="1"/>
  <c r="CU379" i="1" s="1" a="1"/>
  <c r="CU379" i="1" s="1"/>
  <c r="CQ370" i="1"/>
  <c r="CV370" i="1" s="1" a="1"/>
  <c r="CV370" i="1" s="1"/>
  <c r="CP370" i="1"/>
  <c r="CU370" i="1" s="1" a="1"/>
  <c r="CU370" i="1" s="1"/>
  <c r="CQ362" i="1"/>
  <c r="CV362" i="1" s="1" a="1"/>
  <c r="CV362" i="1" s="1"/>
  <c r="CP362" i="1"/>
  <c r="CU362" i="1" s="1" a="1"/>
  <c r="CU362" i="1" s="1"/>
  <c r="CQ353" i="1"/>
  <c r="CV353" i="1" s="1" a="1"/>
  <c r="CV353" i="1" s="1"/>
  <c r="CP353" i="1"/>
  <c r="CU353" i="1" s="1" a="1"/>
  <c r="CU353" i="1" s="1"/>
  <c r="CQ344" i="1"/>
  <c r="CV344" i="1" s="1" a="1"/>
  <c r="CV344" i="1" s="1"/>
  <c r="CP344" i="1"/>
  <c r="CU344" i="1" s="1" a="1"/>
  <c r="CU344" i="1" s="1"/>
  <c r="CQ333" i="1"/>
  <c r="CV333" i="1" s="1" a="1"/>
  <c r="CV333" i="1" s="1"/>
  <c r="CP333" i="1"/>
  <c r="CU333" i="1" s="1" a="1"/>
  <c r="CU333" i="1" s="1"/>
  <c r="CP323" i="1"/>
  <c r="CU323" i="1" s="1" a="1"/>
  <c r="CU323" i="1" s="1"/>
  <c r="CQ323" i="1"/>
  <c r="CV323" i="1" s="1" a="1"/>
  <c r="CV323" i="1" s="1"/>
  <c r="CQ313" i="1"/>
  <c r="CV313" i="1" s="1" a="1"/>
  <c r="CV313" i="1" s="1"/>
  <c r="CP313" i="1"/>
  <c r="CU313" i="1" s="1" a="1"/>
  <c r="CU313" i="1" s="1"/>
  <c r="CP303" i="1"/>
  <c r="CU303" i="1" s="1" a="1"/>
  <c r="CU303" i="1" s="1"/>
  <c r="CQ303" i="1"/>
  <c r="CV303" i="1" s="1" a="1"/>
  <c r="CV303" i="1" s="1"/>
  <c r="CQ294" i="1"/>
  <c r="CV294" i="1" s="1" a="1"/>
  <c r="CV294" i="1" s="1"/>
  <c r="CP294" i="1"/>
  <c r="CU294" i="1" s="1" a="1"/>
  <c r="CU294" i="1" s="1"/>
  <c r="CQ286" i="1"/>
  <c r="CV286" i="1" s="1" a="1"/>
  <c r="CV286" i="1" s="1"/>
  <c r="CP286" i="1"/>
  <c r="CU286" i="1" s="1" a="1"/>
  <c r="CU286" i="1" s="1"/>
  <c r="CQ277" i="1"/>
  <c r="CV277" i="1" s="1" a="1"/>
  <c r="CV277" i="1" s="1"/>
  <c r="CP277" i="1"/>
  <c r="CU277" i="1" s="1" a="1"/>
  <c r="CU277" i="1" s="1"/>
  <c r="CQ268" i="1"/>
  <c r="CV268" i="1" s="1" a="1"/>
  <c r="CV268" i="1" s="1"/>
  <c r="CP268" i="1"/>
  <c r="CU268" i="1" s="1" a="1"/>
  <c r="CU268" i="1" s="1"/>
  <c r="CQ257" i="1"/>
  <c r="CV257" i="1" s="1" a="1"/>
  <c r="CV257" i="1" s="1"/>
  <c r="CP257" i="1"/>
  <c r="CU257" i="1" s="1" a="1"/>
  <c r="CU257" i="1" s="1"/>
  <c r="CQ247" i="1"/>
  <c r="CV247" i="1" s="1" a="1"/>
  <c r="CV247" i="1" s="1"/>
  <c r="CP247" i="1"/>
  <c r="CU247" i="1" s="1" a="1"/>
  <c r="CU247" i="1" s="1"/>
  <c r="CQ239" i="1"/>
  <c r="CV239" i="1" s="1" a="1"/>
  <c r="CV239" i="1" s="1"/>
  <c r="CP239" i="1"/>
  <c r="CU239" i="1" s="1" a="1"/>
  <c r="CU239" i="1" s="1"/>
  <c r="CQ231" i="1"/>
  <c r="CV231" i="1" s="1" a="1"/>
  <c r="CV231" i="1" s="1"/>
  <c r="CP231" i="1"/>
  <c r="CU231" i="1" s="1" a="1"/>
  <c r="CU231" i="1" s="1"/>
  <c r="CQ222" i="1"/>
  <c r="CV222" i="1" s="1" a="1"/>
  <c r="CV222" i="1" s="1"/>
  <c r="CP222" i="1"/>
  <c r="CU222" i="1" s="1" a="1"/>
  <c r="CU222" i="1" s="1"/>
  <c r="CP214" i="1"/>
  <c r="CU214" i="1" s="1" a="1"/>
  <c r="CU214" i="1" s="1"/>
  <c r="CQ214" i="1"/>
  <c r="CV214" i="1" s="1" a="1"/>
  <c r="CV214" i="1" s="1"/>
  <c r="CQ205" i="1"/>
  <c r="CV205" i="1" s="1" a="1"/>
  <c r="CV205" i="1" s="1"/>
  <c r="CP205" i="1"/>
  <c r="CU205" i="1" s="1" a="1"/>
  <c r="CU205" i="1" s="1"/>
  <c r="CQ196" i="1"/>
  <c r="CV196" i="1" s="1" a="1"/>
  <c r="CV196" i="1" s="1"/>
  <c r="CP196" i="1"/>
  <c r="CU196" i="1" s="1" a="1"/>
  <c r="CU196" i="1" s="1"/>
  <c r="CQ185" i="1"/>
  <c r="CV185" i="1" s="1" a="1"/>
  <c r="CV185" i="1" s="1"/>
  <c r="CP185" i="1"/>
  <c r="CU185" i="1" s="1" a="1"/>
  <c r="CU185" i="1" s="1"/>
  <c r="CQ175" i="1"/>
  <c r="CV175" i="1" s="1" a="1"/>
  <c r="CV175" i="1" s="1"/>
  <c r="CP175" i="1"/>
  <c r="CU175" i="1" s="1" a="1"/>
  <c r="CU175" i="1" s="1"/>
  <c r="CQ166" i="1"/>
  <c r="CV166" i="1" s="1" a="1"/>
  <c r="CV166" i="1" s="1"/>
  <c r="CP166" i="1"/>
  <c r="CU166" i="1" s="1" a="1"/>
  <c r="CU166" i="1" s="1"/>
  <c r="CQ154" i="1"/>
  <c r="CV154" i="1" s="1" a="1"/>
  <c r="CV154" i="1" s="1"/>
  <c r="CP154" i="1"/>
  <c r="CU154" i="1" s="1" a="1"/>
  <c r="CU154" i="1" s="1"/>
  <c r="CQ145" i="1"/>
  <c r="CV145" i="1" s="1" a="1"/>
  <c r="CV145" i="1" s="1"/>
  <c r="CP145" i="1"/>
  <c r="CU145" i="1" s="1" a="1"/>
  <c r="CU145" i="1" s="1"/>
  <c r="CQ137" i="1"/>
  <c r="CV137" i="1" s="1" a="1"/>
  <c r="CV137" i="1" s="1"/>
  <c r="CP137" i="1"/>
  <c r="CU137" i="1" s="1" a="1"/>
  <c r="CU137" i="1" s="1"/>
  <c r="CQ128" i="1"/>
  <c r="CV128" i="1" s="1" a="1"/>
  <c r="CV128" i="1" s="1"/>
  <c r="CP128" i="1"/>
  <c r="CU128" i="1" s="1" a="1"/>
  <c r="CU128" i="1" s="1"/>
  <c r="CQ120" i="1"/>
  <c r="CV120" i="1" s="1" a="1"/>
  <c r="CV120" i="1" s="1"/>
  <c r="CP120" i="1"/>
  <c r="CU120" i="1" s="1" a="1"/>
  <c r="CU120" i="1" s="1"/>
  <c r="CQ109" i="1"/>
  <c r="CV109" i="1" s="1" a="1"/>
  <c r="CV109" i="1" s="1"/>
  <c r="CP109" i="1"/>
  <c r="CU109" i="1" s="1" a="1"/>
  <c r="CU109" i="1" s="1"/>
  <c r="CQ101" i="1"/>
  <c r="CV101" i="1" s="1" a="1"/>
  <c r="CV101" i="1" s="1"/>
  <c r="CP101" i="1"/>
  <c r="CU101" i="1" s="1" a="1"/>
  <c r="CU101" i="1" s="1"/>
  <c r="CQ92" i="1"/>
  <c r="CV92" i="1" s="1" a="1"/>
  <c r="CV92" i="1" s="1"/>
  <c r="CP92" i="1"/>
  <c r="CU92" i="1" s="1" a="1"/>
  <c r="CU92" i="1" s="1"/>
  <c r="CQ84" i="1"/>
  <c r="CV84" i="1" s="1" a="1"/>
  <c r="CV84" i="1" s="1"/>
  <c r="CP84" i="1"/>
  <c r="CU84" i="1" s="1" a="1"/>
  <c r="CU84" i="1" s="1"/>
  <c r="CQ74" i="1"/>
  <c r="CV74" i="1" s="1" a="1"/>
  <c r="CV74" i="1" s="1"/>
  <c r="CP74" i="1"/>
  <c r="CU74" i="1" s="1" a="1"/>
  <c r="CU74" i="1" s="1"/>
  <c r="CQ65" i="1"/>
  <c r="CV65" i="1" s="1" a="1"/>
  <c r="CV65" i="1" s="1"/>
  <c r="CP65" i="1"/>
  <c r="CU65" i="1" s="1" a="1"/>
  <c r="CU65" i="1" s="1"/>
  <c r="CQ57" i="1"/>
  <c r="CV57" i="1" s="1" a="1"/>
  <c r="CV57" i="1" s="1"/>
  <c r="CP57" i="1"/>
  <c r="CU57" i="1" s="1" a="1"/>
  <c r="CU57" i="1" s="1"/>
  <c r="CQ47" i="1"/>
  <c r="CV47" i="1" s="1" a="1"/>
  <c r="CV47" i="1" s="1"/>
  <c r="CP47" i="1"/>
  <c r="CU47" i="1" s="1" a="1"/>
  <c r="CU47" i="1" s="1"/>
  <c r="CQ39" i="1"/>
  <c r="CV39" i="1" s="1" a="1"/>
  <c r="CV39" i="1" s="1"/>
  <c r="CP39" i="1"/>
  <c r="CU39" i="1" s="1" a="1"/>
  <c r="CU39" i="1" s="1"/>
  <c r="CQ31" i="1"/>
  <c r="CV31" i="1" s="1" a="1"/>
  <c r="CV31" i="1" s="1"/>
  <c r="CP31" i="1"/>
  <c r="CU31" i="1" s="1" a="1"/>
  <c r="CU31" i="1" s="1"/>
  <c r="CQ22" i="1"/>
  <c r="CV22" i="1" s="1" a="1"/>
  <c r="CV22" i="1" s="1"/>
  <c r="CP22" i="1"/>
  <c r="CU22" i="1" s="1" a="1"/>
  <c r="CU22" i="1" s="1"/>
  <c r="CQ10" i="1"/>
  <c r="CV10" i="1" s="1" a="1"/>
  <c r="CV10" i="1" s="1"/>
  <c r="CP10" i="1"/>
  <c r="CU10" i="1" s="1" a="1"/>
  <c r="CU10" i="1" s="1"/>
  <c r="CR516" i="1" a="1"/>
  <c r="CR516" i="1" s="1"/>
  <c r="CR220" i="1" a="1"/>
  <c r="CR220" i="1" s="1"/>
  <c r="CR100" i="1" a="1"/>
  <c r="CR100" i="1" s="1"/>
  <c r="CR44" i="1" a="1"/>
  <c r="CR44" i="1" s="1"/>
  <c r="CO436" i="1"/>
  <c r="CK436" i="1"/>
  <c r="CR436" i="1" s="1" a="1"/>
  <c r="CR436" i="1" s="1"/>
  <c r="CO412" i="1"/>
  <c r="CK412" i="1"/>
  <c r="CR412" i="1" s="1" a="1"/>
  <c r="CR412" i="1" s="1"/>
  <c r="CO388" i="1"/>
  <c r="CK388" i="1"/>
  <c r="CR388" i="1" s="1" a="1"/>
  <c r="CR388" i="1" s="1"/>
  <c r="CO332" i="1"/>
  <c r="CK332" i="1"/>
  <c r="CR332" i="1" s="1" a="1"/>
  <c r="CR332" i="1" s="1"/>
  <c r="CO260" i="1"/>
  <c r="CK260" i="1"/>
  <c r="CR260" i="1" s="1" a="1"/>
  <c r="CR260" i="1" s="1"/>
  <c r="CO164" i="1"/>
  <c r="CK164" i="1"/>
  <c r="CR164" i="1" s="1" a="1"/>
  <c r="CR164" i="1" s="1"/>
  <c r="CO20" i="1"/>
  <c r="CK20" i="1"/>
  <c r="CR20" i="1" s="1" a="1"/>
  <c r="CR20" i="1" s="1"/>
  <c r="CO403" i="1"/>
  <c r="CK403" i="1"/>
  <c r="CR403" i="1" s="1" a="1"/>
  <c r="CR403" i="1" s="1"/>
  <c r="CO195" i="1"/>
  <c r="CK195" i="1"/>
  <c r="CR195" i="1" s="1" a="1"/>
  <c r="CR195" i="1" s="1"/>
  <c r="CO490" i="1"/>
  <c r="CK490" i="1"/>
  <c r="CR490" i="1" s="1" a="1"/>
  <c r="CR490" i="1" s="1"/>
  <c r="CO410" i="1"/>
  <c r="CK410" i="1"/>
  <c r="CR410" i="1" s="1" a="1"/>
  <c r="CR410" i="1" s="1"/>
  <c r="CO338" i="1"/>
  <c r="CK338" i="1"/>
  <c r="CR338" i="1" s="1" a="1"/>
  <c r="CR338" i="1" s="1"/>
  <c r="CO250" i="1"/>
  <c r="CK250" i="1"/>
  <c r="CR250" i="1" s="1" a="1"/>
  <c r="CR250" i="1" s="1"/>
  <c r="CO194" i="1"/>
  <c r="CK194" i="1"/>
  <c r="CR194" i="1" s="1" a="1"/>
  <c r="CR194" i="1" s="1"/>
  <c r="CO50" i="1"/>
  <c r="CK50" i="1"/>
  <c r="CR50" i="1" s="1" a="1"/>
  <c r="CR50" i="1" s="1"/>
  <c r="CO18" i="1"/>
  <c r="CK18" i="1"/>
  <c r="CR18" i="1" s="1" a="1"/>
  <c r="CR18" i="1" s="1"/>
  <c r="CO569" i="1"/>
  <c r="CK569" i="1"/>
  <c r="CR569" i="1" s="1" a="1"/>
  <c r="CR569" i="1" s="1"/>
  <c r="CO561" i="1"/>
  <c r="CK561" i="1"/>
  <c r="CR561" i="1" s="1" a="1"/>
  <c r="CR561" i="1" s="1"/>
  <c r="CO513" i="1"/>
  <c r="CK513" i="1"/>
  <c r="CR513" i="1" s="1" a="1"/>
  <c r="CR513" i="1" s="1"/>
  <c r="CO441" i="1"/>
  <c r="CK441" i="1"/>
  <c r="CR441" i="1" s="1" a="1"/>
  <c r="CR441" i="1" s="1"/>
  <c r="CO337" i="1"/>
  <c r="CK337" i="1"/>
  <c r="CR337" i="1" s="1" a="1"/>
  <c r="CR337" i="1" s="1"/>
  <c r="CO305" i="1"/>
  <c r="CK305" i="1"/>
  <c r="CR305" i="1" s="1" a="1"/>
  <c r="CR305" i="1" s="1"/>
  <c r="CO153" i="1"/>
  <c r="CK153" i="1"/>
  <c r="CR153" i="1" s="1" a="1"/>
  <c r="CR153" i="1" s="1"/>
  <c r="CO73" i="1"/>
  <c r="CK73" i="1"/>
  <c r="CR73" i="1" s="1" a="1"/>
  <c r="CR73" i="1" s="1"/>
  <c r="CO555" i="1"/>
  <c r="CK555" i="1"/>
  <c r="CR555" i="1" s="1" a="1"/>
  <c r="CR555" i="1" s="1"/>
  <c r="CO499" i="1"/>
  <c r="CK499" i="1"/>
  <c r="CR499" i="1" s="1" a="1"/>
  <c r="CR499" i="1" s="1"/>
  <c r="CO203" i="1"/>
  <c r="CK203" i="1"/>
  <c r="CR203" i="1" s="1" a="1"/>
  <c r="CR203" i="1" s="1"/>
  <c r="CO115" i="1"/>
  <c r="CK115" i="1"/>
  <c r="CR115" i="1" s="1" a="1"/>
  <c r="CR115" i="1" s="1"/>
  <c r="CO11" i="1"/>
  <c r="CK11" i="1"/>
  <c r="CR11" i="1" s="1" a="1"/>
  <c r="CR11" i="1" s="1"/>
  <c r="CO432" i="1"/>
  <c r="CK432" i="1"/>
  <c r="CR432" i="1" s="1" a="1"/>
  <c r="CR432" i="1" s="1"/>
  <c r="CO408" i="1"/>
  <c r="CK408" i="1"/>
  <c r="CR408" i="1" s="1" a="1"/>
  <c r="CR408" i="1" s="1"/>
  <c r="CO360" i="1"/>
  <c r="CK360" i="1"/>
  <c r="CR360" i="1" s="1" a="1"/>
  <c r="CR360" i="1" s="1"/>
  <c r="CO352" i="1"/>
  <c r="CK352" i="1"/>
  <c r="CR352" i="1" s="1" a="1"/>
  <c r="CR352" i="1" s="1"/>
  <c r="CO336" i="1"/>
  <c r="CK336" i="1"/>
  <c r="CR336" i="1" s="1" a="1"/>
  <c r="CR336" i="1" s="1"/>
  <c r="CO280" i="1"/>
  <c r="CK280" i="1"/>
  <c r="CR280" i="1" s="1" a="1"/>
  <c r="CR280" i="1" s="1"/>
  <c r="CO176" i="1"/>
  <c r="CK176" i="1"/>
  <c r="CR176" i="1" s="1" a="1"/>
  <c r="CR176" i="1" s="1"/>
  <c r="CO56" i="1"/>
  <c r="CK56" i="1"/>
  <c r="CR56" i="1" s="1" a="1"/>
  <c r="CR56" i="1" s="1"/>
  <c r="CO24" i="1"/>
  <c r="CK24" i="1"/>
  <c r="CR24" i="1" s="1" a="1"/>
  <c r="CR24" i="1" s="1"/>
  <c r="CO267" i="1"/>
  <c r="CK267" i="1"/>
  <c r="CR267" i="1" s="1" a="1"/>
  <c r="CR267" i="1" s="1"/>
  <c r="CO155" i="1"/>
  <c r="CK155" i="1"/>
  <c r="CR155" i="1" s="1" a="1"/>
  <c r="CR155" i="1" s="1"/>
  <c r="CO519" i="1"/>
  <c r="CK519" i="1"/>
  <c r="CR519" i="1" s="1" a="1"/>
  <c r="CR519" i="1" s="1"/>
  <c r="CO375" i="1"/>
  <c r="CK375" i="1"/>
  <c r="CR375" i="1" s="1" a="1"/>
  <c r="CR375" i="1" s="1"/>
  <c r="CO327" i="1"/>
  <c r="CK327" i="1"/>
  <c r="CR327" i="1" s="1" a="1"/>
  <c r="CR327" i="1" s="1"/>
  <c r="CO319" i="1"/>
  <c r="CK319" i="1"/>
  <c r="CR319" i="1" s="1" a="1"/>
  <c r="CR319" i="1" s="1"/>
  <c r="CO311" i="1"/>
  <c r="CK311" i="1"/>
  <c r="CR311" i="1" s="1" a="1"/>
  <c r="CR311" i="1" s="1"/>
  <c r="CO263" i="1"/>
  <c r="CK263" i="1"/>
  <c r="CR263" i="1" s="1" a="1"/>
  <c r="CR263" i="1" s="1"/>
  <c r="CO255" i="1"/>
  <c r="CK255" i="1"/>
  <c r="CR255" i="1" s="1" a="1"/>
  <c r="CR255" i="1" s="1"/>
  <c r="CO187" i="1"/>
  <c r="CK187" i="1"/>
  <c r="CR187" i="1" s="1" a="1"/>
  <c r="CR187" i="1" s="1"/>
  <c r="CO131" i="1"/>
  <c r="CK131" i="1"/>
  <c r="CR131" i="1" s="1" a="1"/>
  <c r="CR131" i="1" s="1"/>
  <c r="CO534" i="1"/>
  <c r="CK534" i="1"/>
  <c r="CR534" i="1" s="1" a="1"/>
  <c r="CR534" i="1" s="1"/>
  <c r="CO462" i="1"/>
  <c r="CK462" i="1"/>
  <c r="CR462" i="1" s="1" a="1"/>
  <c r="CR462" i="1" s="1"/>
  <c r="CO438" i="1"/>
  <c r="CK438" i="1"/>
  <c r="CR438" i="1" s="1" a="1"/>
  <c r="CR438" i="1" s="1"/>
  <c r="CO430" i="1"/>
  <c r="CK430" i="1"/>
  <c r="CR430" i="1" s="1" a="1"/>
  <c r="CR430" i="1" s="1"/>
  <c r="CO318" i="1"/>
  <c r="CK318" i="1"/>
  <c r="CR318" i="1" s="1" a="1"/>
  <c r="CR318" i="1" s="1"/>
  <c r="CO230" i="1"/>
  <c r="CK230" i="1"/>
  <c r="CR230" i="1" s="1" a="1"/>
  <c r="CR230" i="1" s="1"/>
  <c r="CO206" i="1"/>
  <c r="CK206" i="1"/>
  <c r="CR206" i="1" s="1" a="1"/>
  <c r="CR206" i="1" s="1"/>
  <c r="CO174" i="1"/>
  <c r="CK174" i="1"/>
  <c r="CR174" i="1" s="1" a="1"/>
  <c r="CR174" i="1" s="1"/>
  <c r="CO158" i="1"/>
  <c r="CK158" i="1"/>
  <c r="CR158" i="1" s="1" a="1"/>
  <c r="CR158" i="1" s="1"/>
  <c r="CO110" i="1"/>
  <c r="CK110" i="1"/>
  <c r="CR110" i="1" s="1" a="1"/>
  <c r="CR110" i="1" s="1"/>
  <c r="CO78" i="1"/>
  <c r="CK78" i="1"/>
  <c r="CR78" i="1" s="1" a="1"/>
  <c r="CR78" i="1" s="1"/>
  <c r="CO275" i="1"/>
  <c r="CK275" i="1"/>
  <c r="CR275" i="1" s="1" a="1"/>
  <c r="CR275" i="1" s="1"/>
  <c r="CO163" i="1"/>
  <c r="CK163" i="1"/>
  <c r="CR163" i="1" s="1" a="1"/>
  <c r="CR163" i="1" s="1"/>
  <c r="CO501" i="1"/>
  <c r="CK501" i="1"/>
  <c r="CR501" i="1" s="1" a="1"/>
  <c r="CR501" i="1" s="1"/>
  <c r="CO405" i="1"/>
  <c r="CK405" i="1"/>
  <c r="CR405" i="1" s="1" a="1"/>
  <c r="CR405" i="1" s="1"/>
  <c r="CO181" i="1"/>
  <c r="CK181" i="1"/>
  <c r="CR181" i="1" s="1" a="1"/>
  <c r="CR181" i="1" s="1"/>
  <c r="CO117" i="1"/>
  <c r="CK117" i="1"/>
  <c r="CR117" i="1" s="1" a="1"/>
  <c r="CR117" i="1" s="1"/>
  <c r="CO93" i="1"/>
  <c r="CK93" i="1"/>
  <c r="CR93" i="1" s="1" a="1"/>
  <c r="CR93" i="1" s="1"/>
  <c r="CO77" i="1"/>
  <c r="CK77" i="1"/>
  <c r="CR77" i="1" s="1" a="1"/>
  <c r="CR77" i="1" s="1"/>
  <c r="CO21" i="1"/>
  <c r="CK21" i="1"/>
  <c r="CR21" i="1" s="1" a="1"/>
  <c r="CR21" i="1" s="1"/>
  <c r="CQ93" i="1" l="1"/>
  <c r="CV93" i="1" s="1" a="1"/>
  <c r="CV93" i="1" s="1"/>
  <c r="CP93" i="1"/>
  <c r="CU93" i="1" s="1" a="1"/>
  <c r="CU93" i="1" s="1"/>
  <c r="CQ501" i="1"/>
  <c r="CV501" i="1" s="1" a="1"/>
  <c r="CV501" i="1" s="1"/>
  <c r="CP501" i="1"/>
  <c r="CU501" i="1" s="1" a="1"/>
  <c r="CU501" i="1" s="1"/>
  <c r="CQ110" i="1"/>
  <c r="CV110" i="1" s="1" a="1"/>
  <c r="CV110" i="1" s="1"/>
  <c r="CP110" i="1"/>
  <c r="CU110" i="1" s="1" a="1"/>
  <c r="CU110" i="1" s="1"/>
  <c r="CQ230" i="1"/>
  <c r="CV230" i="1" s="1" a="1"/>
  <c r="CV230" i="1" s="1"/>
  <c r="CP230" i="1"/>
  <c r="CU230" i="1" s="1" a="1"/>
  <c r="CU230" i="1" s="1"/>
  <c r="CQ462" i="1"/>
  <c r="CV462" i="1" s="1" a="1"/>
  <c r="CV462" i="1" s="1"/>
  <c r="CP462" i="1"/>
  <c r="CU462" i="1" s="1" a="1"/>
  <c r="CU462" i="1" s="1"/>
  <c r="CQ255" i="1"/>
  <c r="CV255" i="1" s="1" a="1"/>
  <c r="CV255" i="1" s="1"/>
  <c r="CP255" i="1"/>
  <c r="CU255" i="1" s="1" a="1"/>
  <c r="CU255" i="1" s="1"/>
  <c r="CQ327" i="1"/>
  <c r="CV327" i="1" s="1" a="1"/>
  <c r="CV327" i="1" s="1"/>
  <c r="CP327" i="1"/>
  <c r="CU327" i="1" s="1" a="1"/>
  <c r="CU327" i="1" s="1"/>
  <c r="CQ267" i="1"/>
  <c r="CV267" i="1" s="1" a="1"/>
  <c r="CV267" i="1" s="1"/>
  <c r="CP267" i="1"/>
  <c r="CU267" i="1" s="1" a="1"/>
  <c r="CU267" i="1" s="1"/>
  <c r="CQ280" i="1"/>
  <c r="CV280" i="1" s="1" a="1"/>
  <c r="CV280" i="1" s="1"/>
  <c r="CP280" i="1"/>
  <c r="CU280" i="1" s="1" a="1"/>
  <c r="CU280" i="1" s="1"/>
  <c r="CQ408" i="1"/>
  <c r="CV408" i="1" s="1" a="1"/>
  <c r="CV408" i="1" s="1"/>
  <c r="CP408" i="1"/>
  <c r="CU408" i="1" s="1" a="1"/>
  <c r="CU408" i="1" s="1"/>
  <c r="CQ203" i="1"/>
  <c r="CV203" i="1" s="1" a="1"/>
  <c r="CV203" i="1" s="1"/>
  <c r="CP203" i="1"/>
  <c r="CU203" i="1" s="1" a="1"/>
  <c r="CU203" i="1" s="1"/>
  <c r="CQ153" i="1"/>
  <c r="CV153" i="1" s="1" a="1"/>
  <c r="CV153" i="1" s="1"/>
  <c r="CP153" i="1"/>
  <c r="CU153" i="1" s="1" a="1"/>
  <c r="CU153" i="1" s="1"/>
  <c r="CQ513" i="1"/>
  <c r="CV513" i="1" s="1" a="1"/>
  <c r="CV513" i="1" s="1"/>
  <c r="CP513" i="1"/>
  <c r="CU513" i="1" s="1" a="1"/>
  <c r="CU513" i="1" s="1"/>
  <c r="CQ50" i="1"/>
  <c r="CV50" i="1" s="1" a="1"/>
  <c r="CV50" i="1" s="1"/>
  <c r="CP50" i="1"/>
  <c r="CU50" i="1" s="1" a="1"/>
  <c r="CU50" i="1" s="1"/>
  <c r="CQ410" i="1"/>
  <c r="CV410" i="1" s="1" a="1"/>
  <c r="CV410" i="1" s="1"/>
  <c r="CP410" i="1"/>
  <c r="CU410" i="1" s="1" a="1"/>
  <c r="CU410" i="1" s="1"/>
  <c r="CQ20" i="1"/>
  <c r="CV20" i="1" s="1" a="1"/>
  <c r="CV20" i="1" s="1"/>
  <c r="CP20" i="1"/>
  <c r="CU20" i="1" s="1" a="1"/>
  <c r="CU20" i="1" s="1"/>
  <c r="CQ388" i="1"/>
  <c r="CV388" i="1" s="1" a="1"/>
  <c r="CV388" i="1" s="1"/>
  <c r="CP388" i="1"/>
  <c r="CU388" i="1" s="1" a="1"/>
  <c r="CU388" i="1" s="1"/>
  <c r="CQ187" i="1"/>
  <c r="CV187" i="1" s="1" a="1"/>
  <c r="CV187" i="1" s="1"/>
  <c r="CP187" i="1"/>
  <c r="CU187" i="1" s="1" a="1"/>
  <c r="CU187" i="1" s="1"/>
  <c r="CQ441" i="1"/>
  <c r="CV441" i="1" s="1" a="1"/>
  <c r="CV441" i="1" s="1"/>
  <c r="CP441" i="1"/>
  <c r="CU441" i="1" s="1" a="1"/>
  <c r="CU441" i="1" s="1"/>
  <c r="CQ405" i="1"/>
  <c r="CV405" i="1" s="1" a="1"/>
  <c r="CV405" i="1" s="1"/>
  <c r="CP405" i="1"/>
  <c r="CU405" i="1" s="1" a="1"/>
  <c r="CU405" i="1" s="1"/>
  <c r="CQ360" i="1"/>
  <c r="CV360" i="1" s="1" a="1"/>
  <c r="CV360" i="1" s="1"/>
  <c r="CP360" i="1"/>
  <c r="CU360" i="1" s="1" a="1"/>
  <c r="CU360" i="1" s="1"/>
  <c r="CQ263" i="1"/>
  <c r="CV263" i="1" s="1" a="1"/>
  <c r="CV263" i="1" s="1"/>
  <c r="CP263" i="1"/>
  <c r="CU263" i="1" s="1" a="1"/>
  <c r="CU263" i="1" s="1"/>
  <c r="CP561" i="1"/>
  <c r="CU561" i="1" s="1" a="1"/>
  <c r="CU561" i="1" s="1"/>
  <c r="CQ561" i="1"/>
  <c r="CV561" i="1" s="1" a="1"/>
  <c r="CV561" i="1" s="1"/>
  <c r="CQ77" i="1"/>
  <c r="CV77" i="1" s="1" a="1"/>
  <c r="CV77" i="1" s="1"/>
  <c r="CP77" i="1"/>
  <c r="CU77" i="1" s="1" a="1"/>
  <c r="CU77" i="1" s="1"/>
  <c r="CQ206" i="1"/>
  <c r="CV206" i="1" s="1" a="1"/>
  <c r="CV206" i="1" s="1"/>
  <c r="CP206" i="1"/>
  <c r="CU206" i="1" s="1" a="1"/>
  <c r="CU206" i="1" s="1"/>
  <c r="CP319" i="1"/>
  <c r="CU319" i="1" s="1" a="1"/>
  <c r="CU319" i="1" s="1"/>
  <c r="CQ319" i="1"/>
  <c r="CV319" i="1" s="1" a="1"/>
  <c r="CV319" i="1" s="1"/>
  <c r="CQ176" i="1"/>
  <c r="CV176" i="1" s="1" a="1"/>
  <c r="CV176" i="1" s="1"/>
  <c r="CP176" i="1"/>
  <c r="CU176" i="1" s="1" a="1"/>
  <c r="CU176" i="1" s="1"/>
  <c r="CQ73" i="1"/>
  <c r="CV73" i="1" s="1" a="1"/>
  <c r="CV73" i="1" s="1"/>
  <c r="CP73" i="1"/>
  <c r="CU73" i="1" s="1" a="1"/>
  <c r="CU73" i="1" s="1"/>
  <c r="CQ338" i="1"/>
  <c r="CV338" i="1" s="1" a="1"/>
  <c r="CV338" i="1" s="1"/>
  <c r="CP338" i="1"/>
  <c r="CU338" i="1" s="1" a="1"/>
  <c r="CU338" i="1" s="1"/>
  <c r="CQ332" i="1"/>
  <c r="CV332" i="1" s="1" a="1"/>
  <c r="CV332" i="1" s="1"/>
  <c r="CP332" i="1"/>
  <c r="CU332" i="1" s="1" a="1"/>
  <c r="CU332" i="1" s="1"/>
  <c r="CQ163" i="1"/>
  <c r="CV163" i="1" s="1" a="1"/>
  <c r="CV163" i="1" s="1"/>
  <c r="CP163" i="1"/>
  <c r="CU163" i="1" s="1" a="1"/>
  <c r="CU163" i="1" s="1"/>
  <c r="CP318" i="1"/>
  <c r="CU318" i="1" s="1" a="1"/>
  <c r="CU318" i="1" s="1"/>
  <c r="CQ318" i="1"/>
  <c r="CV318" i="1" s="1" a="1"/>
  <c r="CV318" i="1" s="1"/>
  <c r="CQ375" i="1"/>
  <c r="CV375" i="1" s="1" a="1"/>
  <c r="CV375" i="1" s="1"/>
  <c r="CP375" i="1"/>
  <c r="CU375" i="1" s="1" a="1"/>
  <c r="CU375" i="1" s="1"/>
  <c r="CQ336" i="1"/>
  <c r="CV336" i="1" s="1" a="1"/>
  <c r="CV336" i="1" s="1"/>
  <c r="CP336" i="1"/>
  <c r="CU336" i="1" s="1" a="1"/>
  <c r="CU336" i="1" s="1"/>
  <c r="CP499" i="1"/>
  <c r="CU499" i="1" s="1" a="1"/>
  <c r="CU499" i="1" s="1"/>
  <c r="CQ499" i="1"/>
  <c r="CV499" i="1" s="1" a="1"/>
  <c r="CV499" i="1" s="1"/>
  <c r="CQ194" i="1"/>
  <c r="CV194" i="1" s="1" a="1"/>
  <c r="CV194" i="1" s="1"/>
  <c r="CP194" i="1"/>
  <c r="CU194" i="1" s="1" a="1"/>
  <c r="CU194" i="1" s="1"/>
  <c r="CQ164" i="1"/>
  <c r="CV164" i="1" s="1" a="1"/>
  <c r="CV164" i="1" s="1"/>
  <c r="CP164" i="1"/>
  <c r="CU164" i="1" s="1" a="1"/>
  <c r="CU164" i="1" s="1"/>
  <c r="CQ412" i="1"/>
  <c r="CV412" i="1" s="1" a="1"/>
  <c r="CV412" i="1" s="1"/>
  <c r="CP412" i="1"/>
  <c r="CU412" i="1" s="1" a="1"/>
  <c r="CU412" i="1" s="1"/>
  <c r="CP78" i="1"/>
  <c r="CU78" i="1" s="1" a="1"/>
  <c r="CU78" i="1" s="1"/>
  <c r="CQ78" i="1"/>
  <c r="CV78" i="1" s="1" a="1"/>
  <c r="CV78" i="1" s="1"/>
  <c r="CQ438" i="1"/>
  <c r="CV438" i="1" s="1" a="1"/>
  <c r="CV438" i="1" s="1"/>
  <c r="CP438" i="1"/>
  <c r="CU438" i="1" s="1" a="1"/>
  <c r="CU438" i="1" s="1"/>
  <c r="CQ155" i="1"/>
  <c r="CV155" i="1" s="1" a="1"/>
  <c r="CV155" i="1" s="1"/>
  <c r="CP155" i="1"/>
  <c r="CU155" i="1" s="1" a="1"/>
  <c r="CU155" i="1" s="1"/>
  <c r="CQ115" i="1"/>
  <c r="CV115" i="1" s="1" a="1"/>
  <c r="CV115" i="1" s="1"/>
  <c r="CP115" i="1"/>
  <c r="CU115" i="1" s="1" a="1"/>
  <c r="CU115" i="1" s="1"/>
  <c r="CQ18" i="1"/>
  <c r="CV18" i="1" s="1" a="1"/>
  <c r="CV18" i="1" s="1"/>
  <c r="CP18" i="1"/>
  <c r="CU18" i="1" s="1" a="1"/>
  <c r="CU18" i="1" s="1"/>
  <c r="CQ403" i="1"/>
  <c r="CV403" i="1" s="1" a="1"/>
  <c r="CV403" i="1" s="1"/>
  <c r="CP403" i="1"/>
  <c r="CU403" i="1" s="1" a="1"/>
  <c r="CU403" i="1" s="1"/>
  <c r="CQ117" i="1"/>
  <c r="CV117" i="1" s="1" a="1"/>
  <c r="CV117" i="1" s="1"/>
  <c r="CP117" i="1"/>
  <c r="CU117" i="1" s="1" a="1"/>
  <c r="CU117" i="1" s="1"/>
  <c r="CQ158" i="1"/>
  <c r="CV158" i="1" s="1" a="1"/>
  <c r="CV158" i="1" s="1"/>
  <c r="CP158" i="1"/>
  <c r="CU158" i="1" s="1" a="1"/>
  <c r="CU158" i="1" s="1"/>
  <c r="CQ534" i="1"/>
  <c r="CV534" i="1" s="1" a="1"/>
  <c r="CV534" i="1" s="1"/>
  <c r="CP534" i="1"/>
  <c r="CU534" i="1" s="1" a="1"/>
  <c r="CU534" i="1" s="1"/>
  <c r="CQ24" i="1"/>
  <c r="CV24" i="1" s="1" a="1"/>
  <c r="CV24" i="1" s="1"/>
  <c r="CP24" i="1"/>
  <c r="CU24" i="1" s="1" a="1"/>
  <c r="CU24" i="1" s="1"/>
  <c r="CQ432" i="1"/>
  <c r="CV432" i="1" s="1" a="1"/>
  <c r="CV432" i="1" s="1"/>
  <c r="CP432" i="1"/>
  <c r="CU432" i="1" s="1" a="1"/>
  <c r="CU432" i="1" s="1"/>
  <c r="CQ305" i="1"/>
  <c r="CV305" i="1" s="1" a="1"/>
  <c r="CV305" i="1" s="1"/>
  <c r="CP305" i="1"/>
  <c r="CU305" i="1" s="1" a="1"/>
  <c r="CU305" i="1" s="1"/>
  <c r="CQ490" i="1"/>
  <c r="CV490" i="1" s="1" a="1"/>
  <c r="CV490" i="1" s="1"/>
  <c r="CP490" i="1"/>
  <c r="CU490" i="1" s="1" a="1"/>
  <c r="CU490" i="1" s="1"/>
  <c r="CQ21" i="1"/>
  <c r="CV21" i="1" s="1" a="1"/>
  <c r="CV21" i="1" s="1"/>
  <c r="CP21" i="1"/>
  <c r="CU21" i="1" s="1" a="1"/>
  <c r="CU21" i="1" s="1"/>
  <c r="CP181" i="1"/>
  <c r="CU181" i="1" s="1" a="1"/>
  <c r="CU181" i="1" s="1"/>
  <c r="CQ181" i="1"/>
  <c r="CV181" i="1" s="1" a="1"/>
  <c r="CV181" i="1" s="1"/>
  <c r="CQ275" i="1"/>
  <c r="CV275" i="1" s="1" a="1"/>
  <c r="CV275" i="1" s="1"/>
  <c r="CP275" i="1"/>
  <c r="CU275" i="1" s="1" a="1"/>
  <c r="CU275" i="1" s="1"/>
  <c r="CQ174" i="1"/>
  <c r="CV174" i="1" s="1" a="1"/>
  <c r="CV174" i="1" s="1"/>
  <c r="CP174" i="1"/>
  <c r="CU174" i="1" s="1" a="1"/>
  <c r="CU174" i="1" s="1"/>
  <c r="CQ430" i="1"/>
  <c r="CV430" i="1" s="1" a="1"/>
  <c r="CV430" i="1" s="1"/>
  <c r="CP430" i="1"/>
  <c r="CU430" i="1" s="1" a="1"/>
  <c r="CU430" i="1" s="1"/>
  <c r="CQ131" i="1"/>
  <c r="CV131" i="1" s="1" a="1"/>
  <c r="CV131" i="1" s="1"/>
  <c r="CP131" i="1"/>
  <c r="CU131" i="1" s="1" a="1"/>
  <c r="CU131" i="1" s="1"/>
  <c r="CP311" i="1"/>
  <c r="CU311" i="1" s="1" a="1"/>
  <c r="CU311" i="1" s="1"/>
  <c r="CQ311" i="1"/>
  <c r="CV311" i="1" s="1" a="1"/>
  <c r="CV311" i="1" s="1"/>
  <c r="CP519" i="1"/>
  <c r="CU519" i="1" s="1" a="1"/>
  <c r="CU519" i="1" s="1"/>
  <c r="CQ519" i="1"/>
  <c r="CV519" i="1" s="1" a="1"/>
  <c r="CV519" i="1" s="1"/>
  <c r="CQ56" i="1"/>
  <c r="CV56" i="1" s="1" a="1"/>
  <c r="CV56" i="1" s="1"/>
  <c r="CP56" i="1"/>
  <c r="CU56" i="1" s="1" a="1"/>
  <c r="CU56" i="1" s="1"/>
  <c r="CQ352" i="1"/>
  <c r="CV352" i="1" s="1" a="1"/>
  <c r="CV352" i="1" s="1"/>
  <c r="CP352" i="1"/>
  <c r="CU352" i="1" s="1" a="1"/>
  <c r="CU352" i="1" s="1"/>
  <c r="CQ11" i="1"/>
  <c r="CV11" i="1" s="1" a="1"/>
  <c r="CV11" i="1" s="1"/>
  <c r="CP11" i="1"/>
  <c r="CU11" i="1" s="1" a="1"/>
  <c r="CU11" i="1" s="1"/>
  <c r="CQ555" i="1"/>
  <c r="CV555" i="1" s="1" a="1"/>
  <c r="CV555" i="1" s="1"/>
  <c r="CP555" i="1"/>
  <c r="CU555" i="1" s="1" a="1"/>
  <c r="CU555" i="1" s="1"/>
  <c r="CQ337" i="1"/>
  <c r="CV337" i="1" s="1" a="1"/>
  <c r="CV337" i="1" s="1"/>
  <c r="CP337" i="1"/>
  <c r="CU337" i="1" s="1" a="1"/>
  <c r="CU337" i="1" s="1"/>
  <c r="CQ569" i="1"/>
  <c r="CV569" i="1" s="1" a="1"/>
  <c r="CV569" i="1" s="1"/>
  <c r="CP569" i="1"/>
  <c r="CU569" i="1" s="1" a="1"/>
  <c r="CU569" i="1" s="1"/>
  <c r="CQ250" i="1"/>
  <c r="CV250" i="1" s="1" a="1"/>
  <c r="CV250" i="1" s="1"/>
  <c r="CP250" i="1"/>
  <c r="CU250" i="1" s="1" a="1"/>
  <c r="CU250" i="1" s="1"/>
  <c r="CQ195" i="1"/>
  <c r="CV195" i="1" s="1" a="1"/>
  <c r="CV195" i="1" s="1"/>
  <c r="CP195" i="1"/>
  <c r="CU195" i="1" s="1" a="1"/>
  <c r="CU195" i="1" s="1"/>
  <c r="CQ260" i="1"/>
  <c r="CV260" i="1" s="1" a="1"/>
  <c r="CV260" i="1" s="1"/>
  <c r="CP260" i="1"/>
  <c r="CU260" i="1" s="1" a="1"/>
  <c r="CU260" i="1" s="1"/>
  <c r="CQ436" i="1"/>
  <c r="CV436" i="1" s="1" a="1"/>
  <c r="CV436" i="1" s="1"/>
  <c r="CP436" i="1"/>
  <c r="CU436" i="1" s="1" a="1"/>
  <c r="CU4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Ferri</author>
    <author>Matteo Piceni</author>
    <author>tc={51CAC61E-1174-4B62-BD39-765C374DCBD8}</author>
    <author>tc={F40B38DE-3D10-458D-8B53-336E694F5415}</author>
    <author>tc={B6F5F60C-45B7-4684-A25A-74C224B558C6}</author>
    <author>tc={8E7CFF81-46B5-4925-BC71-061DF7E95DA7}</author>
  </authors>
  <commentList>
    <comment ref="F1" authorId="0" shapeId="0" xr:uid="{046E9173-1FB3-48FF-A091-938F6E2A6F72}">
      <text>
        <r>
          <rPr>
            <b/>
            <sz val="9"/>
            <color indexed="81"/>
            <rFont val="Tahoma"/>
            <charset val="1"/>
          </rPr>
          <t>Sara Ferri:</t>
        </r>
        <r>
          <rPr>
            <sz val="9"/>
            <color indexed="81"/>
            <rFont val="Tahoma"/>
            <charset val="1"/>
          </rPr>
          <t xml:space="preserve">
1=M
2=F</t>
        </r>
      </text>
    </comment>
    <comment ref="I1" authorId="1" shapeId="0" xr:uid="{8C5FEAA7-6AE0-481D-9C13-9F2E83A072AC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1=Si, 0=No</t>
        </r>
      </text>
    </comment>
    <comment ref="K1" authorId="1" shapeId="0" xr:uid="{AAC8C738-7FBD-4E03-A60B-4B16F085E1BC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1=Si, 0=No</t>
        </r>
      </text>
    </comment>
    <comment ref="L1" authorId="1" shapeId="0" xr:uid="{B21DC8E7-CF66-4F75-8638-6305B39988AA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1=Cellule chiare, 2=Papillare, 3=Cromofobo,
4=Altro</t>
        </r>
      </text>
    </comment>
    <comment ref="N1" authorId="1" shapeId="0" xr:uid="{D3F4A832-99B7-49A7-8FE7-0D388889C154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1=Favourable, 2=Intermediate, 
3=Poor</t>
        </r>
      </text>
    </comment>
    <comment ref="O1" authorId="2" shapeId="0" xr:uid="{51CAC61E-1174-4B62-BD39-765C374DCBD8}">
      <text>
        <t>[Threaded comment]
Your version of Excel allows you to read this threaded comment; however, any edits to it will get removed if the file is opened in a newer version of Excel. Learn more: https://go.microsoft.com/fwlink/?linkid=870924
Comment:
    1 = Intervallo 
2 = KPS
3 = Emoglobina
4 = Calcio corretto
5 = Neutrofili
6 = Piastrine</t>
      </text>
    </comment>
    <comment ref="P1" authorId="1" shapeId="0" xr:uid="{4726000F-7278-4B0D-B37D-126FB8E02201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1=Favourable, 2=Intermediate, 
3=Poor</t>
        </r>
      </text>
    </comment>
    <comment ref="Q1" authorId="3" shapeId="0" xr:uid="{F40B38DE-3D10-458D-8B53-336E694F5415}">
      <text>
        <t>[Threaded comment]
Your version of Excel allows you to read this threaded comment; however, any edits to it will get removed if the file is opened in a newer version of Excel. Learn more: https://go.microsoft.com/fwlink/?linkid=870924
Comment:
    1 = Intervallo 
2 = KPS
3 = Emoglobina
4 = Calcio corretto
5 = LDH</t>
      </text>
    </comment>
    <comment ref="S1" authorId="4" shapeId="0" xr:uid="{B6F5F60C-45B7-4684-A25A-74C224B558C6}">
      <text>
        <t>[Threaded comment]
Your version of Excel allows you to read this threaded comment; however, any edits to it will get removed if the file is opened in a newer version of Excel. Learn more: https://go.microsoft.com/fwlink/?linkid=870924
Comment:
    1=Sunitinib
2=Pazopanib
3=Sorafenib
4=Cabozantinib
5=Axitinib
6=Everolimus
7=Altro (specificare)</t>
      </text>
    </comment>
    <comment ref="Y1" authorId="0" shapeId="0" xr:uid="{A8521B6D-71FA-4BF8-9373-0649B0B9AC45}">
      <text>
        <r>
          <rPr>
            <b/>
            <sz val="9"/>
            <color indexed="81"/>
            <rFont val="Tahoma"/>
            <charset val="1"/>
          </rPr>
          <t>Sara Ferri:</t>
        </r>
        <r>
          <rPr>
            <sz val="9"/>
            <color indexed="81"/>
            <rFont val="Tahoma"/>
            <charset val="1"/>
          </rPr>
          <t xml:space="preserve">
con Nivolumab
</t>
        </r>
      </text>
    </comment>
    <comment ref="Z1" authorId="0" shapeId="0" xr:uid="{1B02F697-96DE-44F0-90A3-3386F04C8B49}">
      <text>
        <r>
          <rPr>
            <b/>
            <sz val="9"/>
            <color indexed="81"/>
            <rFont val="Tahoma"/>
            <charset val="1"/>
          </rPr>
          <t>Sara Ferri:</t>
        </r>
        <r>
          <rPr>
            <sz val="9"/>
            <color indexed="81"/>
            <rFont val="Tahoma"/>
            <charset val="1"/>
          </rPr>
          <t xml:space="preserve">
Sunitinib 1
Pazopanib 2</t>
        </r>
      </text>
    </comment>
    <comment ref="AA1" authorId="1" shapeId="0" xr:uid="{25670EE8-45C9-4E53-912F-61A36637212A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 (g/dl, con un valore decimale)</t>
        </r>
      </text>
    </comment>
    <comment ref="AD1" authorId="1" shapeId="0" xr:uid="{9EB0DB73-ED17-4205-BEA1-CC0483893DFC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1=Favourable, 2=Intermediate, 
3=Poor</t>
        </r>
      </text>
    </comment>
    <comment ref="AE1" authorId="1" shapeId="0" xr:uid="{B1C10E85-2D9C-4F52-8D4D-BE6DCB3413A8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1=Favourable, 2=Intermediate, 
3=Poor</t>
        </r>
      </text>
    </comment>
    <comment ref="AF1" authorId="1" shapeId="0" xr:uid="{96F854D0-0D96-40A1-A0C0-EE312B2E6C95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1:=100-80%
2=&lt;80%</t>
        </r>
      </text>
    </comment>
    <comment ref="AG1" authorId="1" shapeId="0" xr:uid="{4927D95F-7BE0-4DA7-996F-5830F5CEADDF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 1=SI, 
0=No</t>
        </r>
      </text>
    </comment>
    <comment ref="AH1" authorId="1" shapeId="0" xr:uid="{466588D0-850A-4266-A18E-864CD29A3D97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1=SI, 0=No</t>
        </r>
      </text>
    </comment>
    <comment ref="AI1" authorId="1" shapeId="0" xr:uid="{CC507701-903E-4AAF-A70D-35D4490E09CB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1=SI, 0=No</t>
        </r>
      </text>
    </comment>
    <comment ref="AM1" authorId="5" shapeId="0" xr:uid="{8E7CFF81-46B5-4925-BC71-061DF7E95DA7}">
      <text>
        <t>[Threaded comment]
Your version of Excel allows you to read this threaded comment; however, any edits to it will get removed if the file is opened in a newer version of Excel. Learn more: https://go.microsoft.com/fwlink/?linkid=870924
Comment:
    1=CR
2=PR
3=SD
4=PD</t>
      </text>
    </comment>
    <comment ref="BA1" authorId="1" shapeId="0" xr:uid="{D977E0F6-140D-4E34-9577-78B09FAC9FA8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imputato con MICE  a 10 iterazioni</t>
        </r>
      </text>
    </comment>
    <comment ref="BB1" authorId="1" shapeId="0" xr:uid="{C99281C4-362F-424C-81BF-E9AFDB2A4090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imputato con MICE  a 10 iterazioni</t>
        </r>
      </text>
    </comment>
    <comment ref="CC1" authorId="1" shapeId="0" xr:uid="{3D706936-3925-4C24-99E7-67640E40513D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ho usato valori imputati
</t>
        </r>
      </text>
    </comment>
    <comment ref="CD1" authorId="1" shapeId="0" xr:uid="{B89FF606-9ADB-48C8-A78F-885944076E7F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Platelets to Lymphocytes Ratio</t>
        </r>
      </text>
    </comment>
    <comment ref="CE1" authorId="1" shapeId="0" xr:uid="{5F6DD487-BC04-4B9E-A6C5-F420F18D3DBC}">
      <text>
        <r>
          <rPr>
            <b/>
            <sz val="9"/>
            <color indexed="81"/>
            <rFont val="Tahoma"/>
            <family val="2"/>
          </rPr>
          <t>Matteo Piceni:</t>
        </r>
        <r>
          <rPr>
            <sz val="9"/>
            <color indexed="81"/>
            <rFont val="Tahoma"/>
            <family val="2"/>
          </rPr>
          <t xml:space="preserve">
Systemic immune-inflammation index
NLR x PIASTRINE</t>
        </r>
      </text>
    </comment>
    <comment ref="CI1" authorId="0" shapeId="0" xr:uid="{87232F7D-1D7B-4077-A5D8-010793CFCC62}">
      <text>
        <r>
          <rPr>
            <b/>
            <sz val="9"/>
            <color indexed="81"/>
            <rFont val="Tahoma"/>
            <charset val="1"/>
          </rPr>
          <t>Sara Ferri:</t>
        </r>
        <r>
          <rPr>
            <sz val="9"/>
            <color indexed="81"/>
            <rFont val="Tahoma"/>
            <charset val="1"/>
          </rPr>
          <t xml:space="preserve">
It's STATUS OS of column AV</t>
        </r>
      </text>
    </comment>
    <comment ref="CN1" authorId="0" shapeId="0" xr:uid="{D74E4B93-0111-4D16-AFA8-483B2A5927F9}">
      <text>
        <r>
          <rPr>
            <b/>
            <sz val="9"/>
            <color indexed="81"/>
            <rFont val="Tahoma"/>
            <charset val="1"/>
          </rPr>
          <t>Sara Ferri:</t>
        </r>
        <r>
          <rPr>
            <sz val="9"/>
            <color indexed="81"/>
            <rFont val="Tahoma"/>
            <charset val="1"/>
          </rPr>
          <t xml:space="preserve">
It's STATUS PD of column AR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<sst xmlns="http://schemas.openxmlformats.org/spreadsheetml/2006/main" count="5275" uniqueCount="645">
  <si>
    <t>ID_NUOVO</t>
  </si>
  <si>
    <t>ID</t>
  </si>
  <si>
    <t>CENTRO</t>
  </si>
  <si>
    <t>ALBA</t>
  </si>
  <si>
    <t>AOU CAGLIARI</t>
  </si>
  <si>
    <t>AOU Policlinico V.Emanuele-G.Rodolico, PI: Prof. Hector Soto Parra</t>
  </si>
  <si>
    <t>AQ</t>
  </si>
  <si>
    <t>Bologna</t>
  </si>
  <si>
    <t>CAMPUS</t>
  </si>
  <si>
    <t>CRO</t>
  </si>
  <si>
    <t>Cannizzaro</t>
  </si>
  <si>
    <t>Cefalu</t>
  </si>
  <si>
    <t>Cremona</t>
  </si>
  <si>
    <t>FI Onc trasl</t>
  </si>
  <si>
    <t>Guastalla</t>
  </si>
  <si>
    <t>HSM - OMB</t>
  </si>
  <si>
    <t>HSM OM1</t>
  </si>
  <si>
    <t>HUMANITAS</t>
  </si>
  <si>
    <t>IEO</t>
  </si>
  <si>
    <t>INT</t>
  </si>
  <si>
    <t>IRCCS BARI             PI NAGLIERI</t>
  </si>
  <si>
    <t>IRST</t>
  </si>
  <si>
    <t>Macerata</t>
  </si>
  <si>
    <t>Mauriziano</t>
  </si>
  <si>
    <t>Modena</t>
  </si>
  <si>
    <t>NAPOLI</t>
  </si>
  <si>
    <t>Niguarda Cancer Center</t>
  </si>
  <si>
    <t>Osp Villa Scassi -Oncologia</t>
  </si>
  <si>
    <t>PARMA</t>
  </si>
  <si>
    <t>Padova</t>
  </si>
  <si>
    <t>Pisa</t>
  </si>
  <si>
    <t>REGGIO EMILIA</t>
  </si>
  <si>
    <t>SGR</t>
  </si>
  <si>
    <t>San Matteo</t>
  </si>
  <si>
    <t>Verona</t>
  </si>
  <si>
    <t>camposampiero</t>
  </si>
  <si>
    <t>trento</t>
  </si>
  <si>
    <t>INIZIALIPZ</t>
  </si>
  <si>
    <t>AB</t>
  </si>
  <si>
    <t>AF</t>
  </si>
  <si>
    <t>AM</t>
  </si>
  <si>
    <t>BA</t>
  </si>
  <si>
    <t>CC</t>
  </si>
  <si>
    <t>GC</t>
  </si>
  <si>
    <t>MB</t>
  </si>
  <si>
    <t>RF</t>
  </si>
  <si>
    <t>SA</t>
  </si>
  <si>
    <t>SB</t>
  </si>
  <si>
    <t>VEP</t>
  </si>
  <si>
    <t>AL</t>
  </si>
  <si>
    <t>AS</t>
  </si>
  <si>
    <t>FP</t>
  </si>
  <si>
    <t>GRD</t>
  </si>
  <si>
    <t>MG</t>
  </si>
  <si>
    <t>MM</t>
  </si>
  <si>
    <t>MT</t>
  </si>
  <si>
    <t>PA</t>
  </si>
  <si>
    <t>US</t>
  </si>
  <si>
    <t>AV</t>
  </si>
  <si>
    <t>CA</t>
  </si>
  <si>
    <t>CF</t>
  </si>
  <si>
    <t>DA</t>
  </si>
  <si>
    <t>GGC</t>
  </si>
  <si>
    <t>GR</t>
  </si>
  <si>
    <t>LA</t>
  </si>
  <si>
    <t>SC</t>
  </si>
  <si>
    <t>SF</t>
  </si>
  <si>
    <t>ZM</t>
  </si>
  <si>
    <t>AFTR</t>
  </si>
  <si>
    <t>AT</t>
  </si>
  <si>
    <t>BE</t>
  </si>
  <si>
    <t>DLM</t>
  </si>
  <si>
    <t>FS</t>
  </si>
  <si>
    <t>IR</t>
  </si>
  <si>
    <t>MMP</t>
  </si>
  <si>
    <t>PL</t>
  </si>
  <si>
    <t>PM</t>
  </si>
  <si>
    <t>TC</t>
  </si>
  <si>
    <t>AG</t>
  </si>
  <si>
    <t>BB</t>
  </si>
  <si>
    <t>CB</t>
  </si>
  <si>
    <t>DB</t>
  </si>
  <si>
    <t>DN</t>
  </si>
  <si>
    <t>FR</t>
  </si>
  <si>
    <t>GDA</t>
  </si>
  <si>
    <t>GG</t>
  </si>
  <si>
    <t>GPC</t>
  </si>
  <si>
    <t>MR</t>
  </si>
  <si>
    <t>RM</t>
  </si>
  <si>
    <t>FG</t>
  </si>
  <si>
    <t>PG</t>
  </si>
  <si>
    <t>PP</t>
  </si>
  <si>
    <t>PT</t>
  </si>
  <si>
    <t>TA</t>
  </si>
  <si>
    <t>TR</t>
  </si>
  <si>
    <t>VD</t>
  </si>
  <si>
    <t>SR</t>
  </si>
  <si>
    <t>UR</t>
  </si>
  <si>
    <t>ba</t>
  </si>
  <si>
    <t>bl</t>
  </si>
  <si>
    <t>cf</t>
  </si>
  <si>
    <t>gd</t>
  </si>
  <si>
    <t>gl</t>
  </si>
  <si>
    <t>gp</t>
  </si>
  <si>
    <t>hg</t>
  </si>
  <si>
    <t>ml</t>
  </si>
  <si>
    <t>mm</t>
  </si>
  <si>
    <t>na</t>
  </si>
  <si>
    <t>pi</t>
  </si>
  <si>
    <t>sr</t>
  </si>
  <si>
    <t>vf</t>
  </si>
  <si>
    <t>zi</t>
  </si>
  <si>
    <t>A P</t>
  </si>
  <si>
    <t>B P</t>
  </si>
  <si>
    <t>B W</t>
  </si>
  <si>
    <t>FM M</t>
  </si>
  <si>
    <t>G G</t>
  </si>
  <si>
    <t>IK</t>
  </si>
  <si>
    <t>KH</t>
  </si>
  <si>
    <t>L F</t>
  </si>
  <si>
    <t>PW</t>
  </si>
  <si>
    <t>R R</t>
  </si>
  <si>
    <t>RW</t>
  </si>
  <si>
    <t>S R</t>
  </si>
  <si>
    <t>AD</t>
  </si>
  <si>
    <t>BV</t>
  </si>
  <si>
    <t>FA</t>
  </si>
  <si>
    <t>GCG</t>
  </si>
  <si>
    <t>IFG</t>
  </si>
  <si>
    <t>IP</t>
  </si>
  <si>
    <t>VMR</t>
  </si>
  <si>
    <t>AP</t>
  </si>
  <si>
    <t>CL</t>
  </si>
  <si>
    <t>DR</t>
  </si>
  <si>
    <t>EP</t>
  </si>
  <si>
    <t>GP</t>
  </si>
  <si>
    <t>MF</t>
  </si>
  <si>
    <t>MGA</t>
  </si>
  <si>
    <t>NF</t>
  </si>
  <si>
    <t>NP</t>
  </si>
  <si>
    <t>TL</t>
  </si>
  <si>
    <t>VP</t>
  </si>
  <si>
    <t>CG</t>
  </si>
  <si>
    <t>MA</t>
  </si>
  <si>
    <t>RE</t>
  </si>
  <si>
    <t>1</t>
  </si>
  <si>
    <t>2</t>
  </si>
  <si>
    <t>3</t>
  </si>
  <si>
    <t>4</t>
  </si>
  <si>
    <t>5</t>
  </si>
  <si>
    <t>6</t>
  </si>
  <si>
    <t>7</t>
  </si>
  <si>
    <t>8</t>
  </si>
  <si>
    <t>A.L.</t>
  </si>
  <si>
    <t>B.C.</t>
  </si>
  <si>
    <t>B.L.</t>
  </si>
  <si>
    <t>C.B.</t>
  </si>
  <si>
    <t>C.E.</t>
  </si>
  <si>
    <t>D.L.</t>
  </si>
  <si>
    <t>F.R.</t>
  </si>
  <si>
    <t>L.A.M.</t>
  </si>
  <si>
    <t>M.A.</t>
  </si>
  <si>
    <t>M.G.</t>
  </si>
  <si>
    <t>M.M.</t>
  </si>
  <si>
    <t>N.F.</t>
  </si>
  <si>
    <t>P.L.</t>
  </si>
  <si>
    <t>P.S.</t>
  </si>
  <si>
    <t>R.G.</t>
  </si>
  <si>
    <t>V.A.</t>
  </si>
  <si>
    <t>AR</t>
  </si>
  <si>
    <t>BMR</t>
  </si>
  <si>
    <t>BW</t>
  </si>
  <si>
    <t>CMC</t>
  </si>
  <si>
    <t>CS</t>
  </si>
  <si>
    <t>DC</t>
  </si>
  <si>
    <t>ET</t>
  </si>
  <si>
    <t>FB</t>
  </si>
  <si>
    <t>GDR</t>
  </si>
  <si>
    <t>LC</t>
  </si>
  <si>
    <t>LF</t>
  </si>
  <si>
    <t>LR</t>
  </si>
  <si>
    <t>MP</t>
  </si>
  <si>
    <t>RS</t>
  </si>
  <si>
    <t>SPM</t>
  </si>
  <si>
    <t>SV</t>
  </si>
  <si>
    <t>TET</t>
  </si>
  <si>
    <t>AC</t>
  </si>
  <si>
    <t>AEV</t>
  </si>
  <si>
    <t>CM</t>
  </si>
  <si>
    <t>DT</t>
  </si>
  <si>
    <t>DV</t>
  </si>
  <si>
    <t>EB</t>
  </si>
  <si>
    <t>EM</t>
  </si>
  <si>
    <t>FF</t>
  </si>
  <si>
    <t>FRC</t>
  </si>
  <si>
    <t>GEB</t>
  </si>
  <si>
    <t>GM</t>
  </si>
  <si>
    <t>GT</t>
  </si>
  <si>
    <t>GZ</t>
  </si>
  <si>
    <t>LD</t>
  </si>
  <si>
    <t>LS</t>
  </si>
  <si>
    <t>MLC</t>
  </si>
  <si>
    <t>MLT</t>
  </si>
  <si>
    <t>MS</t>
  </si>
  <si>
    <t>PAC</t>
  </si>
  <si>
    <t>RB</t>
  </si>
  <si>
    <t>SML</t>
  </si>
  <si>
    <t>BF</t>
  </si>
  <si>
    <t>CE</t>
  </si>
  <si>
    <t>GS</t>
  </si>
  <si>
    <t>MSP</t>
  </si>
  <si>
    <t>BM</t>
  </si>
  <si>
    <t>CT</t>
  </si>
  <si>
    <t>DG</t>
  </si>
  <si>
    <t>DME</t>
  </si>
  <si>
    <t>FV</t>
  </si>
  <si>
    <t>IS</t>
  </si>
  <si>
    <t>LG</t>
  </si>
  <si>
    <t>MBC</t>
  </si>
  <si>
    <t>NE</t>
  </si>
  <si>
    <t>PE</t>
  </si>
  <si>
    <t>PML</t>
  </si>
  <si>
    <t>SG</t>
  </si>
  <si>
    <t>TG</t>
  </si>
  <si>
    <t>TRG</t>
  </si>
  <si>
    <t>UP</t>
  </si>
  <si>
    <t>ADR</t>
  </si>
  <si>
    <t>AI</t>
  </si>
  <si>
    <t>DDL</t>
  </si>
  <si>
    <t>ER</t>
  </si>
  <si>
    <t>GF</t>
  </si>
  <si>
    <t>GN</t>
  </si>
  <si>
    <t>GV</t>
  </si>
  <si>
    <t>IMA</t>
  </si>
  <si>
    <t>LDC</t>
  </si>
  <si>
    <t>LDT</t>
  </si>
  <si>
    <t>PN</t>
  </si>
  <si>
    <t>SP</t>
  </si>
  <si>
    <t>VDM</t>
  </si>
  <si>
    <t>VSV</t>
  </si>
  <si>
    <t>DP</t>
  </si>
  <si>
    <t>GB</t>
  </si>
  <si>
    <t>IB</t>
  </si>
  <si>
    <t>IV</t>
  </si>
  <si>
    <t>LP</t>
  </si>
  <si>
    <t>MC</t>
  </si>
  <si>
    <t>MZ</t>
  </si>
  <si>
    <t>RC</t>
  </si>
  <si>
    <t>RD</t>
  </si>
  <si>
    <t>RG</t>
  </si>
  <si>
    <t>RZ</t>
  </si>
  <si>
    <t>SZ</t>
  </si>
  <si>
    <t>YT</t>
  </si>
  <si>
    <t>FM</t>
  </si>
  <si>
    <t>NB</t>
  </si>
  <si>
    <t>OG</t>
  </si>
  <si>
    <t>PGB</t>
  </si>
  <si>
    <t>GD</t>
  </si>
  <si>
    <t>NG</t>
  </si>
  <si>
    <t>PD</t>
  </si>
  <si>
    <t>PF</t>
  </si>
  <si>
    <t>SM</t>
  </si>
  <si>
    <t>BG</t>
  </si>
  <si>
    <t>FH</t>
  </si>
  <si>
    <t>MW</t>
  </si>
  <si>
    <t>RPL</t>
  </si>
  <si>
    <t>ZCA</t>
  </si>
  <si>
    <t>ZSG</t>
  </si>
  <si>
    <t>AA *</t>
  </si>
  <si>
    <t>AFD</t>
  </si>
  <si>
    <t>EA</t>
  </si>
  <si>
    <t>GDL*</t>
  </si>
  <si>
    <t>RP</t>
  </si>
  <si>
    <t>VM</t>
  </si>
  <si>
    <t>ARG</t>
  </si>
  <si>
    <t>DDF</t>
  </si>
  <si>
    <t>GCB</t>
  </si>
  <si>
    <t>GLC</t>
  </si>
  <si>
    <t>SBA</t>
  </si>
  <si>
    <t>VB</t>
  </si>
  <si>
    <t>AO</t>
  </si>
  <si>
    <t>CP</t>
  </si>
  <si>
    <t>FC</t>
  </si>
  <si>
    <t>FT</t>
  </si>
  <si>
    <t>LT</t>
  </si>
  <si>
    <t>ALM</t>
  </si>
  <si>
    <t>BD</t>
  </si>
  <si>
    <t>CLM</t>
  </si>
  <si>
    <t>CMMP</t>
  </si>
  <si>
    <t>CN</t>
  </si>
  <si>
    <t>CV</t>
  </si>
  <si>
    <t>MV</t>
  </si>
  <si>
    <t>OM</t>
  </si>
  <si>
    <t>PR</t>
  </si>
  <si>
    <t>TO</t>
  </si>
  <si>
    <t>VF</t>
  </si>
  <si>
    <t>VG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</si>
  <si>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</si>
  <si>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</si>
  <si>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</si>
  <si>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</si>
  <si>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</si>
  <si>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</si>
  <si>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</si>
  <si>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</si>
  <si>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</si>
  <si>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</si>
  <si>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</si>
  <si>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</si>
  <si>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</si>
  <si>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</si>
  <si>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</si>
  <si>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</si>
  <si>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</si>
  <si>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</si>
  <si>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</si>
  <si>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</si>
  <si>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</si>
  <si>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</si>
  <si>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</si>
  <si>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</si>
  <si>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</si>
  <si>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</si>
  <si>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</si>
  <si>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</si>
  <si>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</si>
  <si>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</si>
  <si>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</si>
  <si>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</si>
  <si>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</si>
  <si>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</si>
  <si>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</si>
  <si>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</si>
  <si>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</si>
  <si>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</si>
  <si>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</si>
  <si>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</si>
  <si>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</si>
  <si>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</si>
  <si>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</si>
  <si>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</si>
  <si>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</si>
  <si>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</si>
  <si>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</si>
  <si>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</si>
  <si>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9</t>
  </si>
  <si>
    <t>BL</t>
  </si>
  <si>
    <t>BPP</t>
  </si>
  <si>
    <t>CPL</t>
  </si>
  <si>
    <t>DAS</t>
  </si>
  <si>
    <t>FMR</t>
  </si>
  <si>
    <t>PB</t>
  </si>
  <si>
    <t>TMR</t>
  </si>
  <si>
    <t>A1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</si>
  <si>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</si>
  <si>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</si>
  <si>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</si>
  <si>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</si>
  <si>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</si>
  <si>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</si>
  <si>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</si>
  <si>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</si>
  <si>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</si>
  <si>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</si>
  <si>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</t>
  </si>
  <si>
    <t>A20</t>
  </si>
  <si>
    <t>A21</t>
  </si>
  <si>
    <t>A22</t>
  </si>
  <si>
    <t>A23</t>
  </si>
  <si>
    <t>A3</t>
  </si>
  <si>
    <t>A4</t>
  </si>
  <si>
    <t>A5</t>
  </si>
  <si>
    <t>A6</t>
  </si>
  <si>
    <t>A7</t>
  </si>
  <si>
    <t>A8</t>
  </si>
  <si>
    <t>A9</t>
  </si>
  <si>
    <t>BC</t>
  </si>
  <si>
    <t>CAE</t>
  </si>
  <si>
    <t>DSS</t>
  </si>
  <si>
    <t>GA</t>
  </si>
  <si>
    <t>MD</t>
  </si>
  <si>
    <t>RFV</t>
  </si>
  <si>
    <t>SE</t>
  </si>
  <si>
    <t>SN</t>
  </si>
  <si>
    <t>SO</t>
  </si>
  <si>
    <t>ZEG</t>
  </si>
  <si>
    <t>ML</t>
  </si>
  <si>
    <t>AMP</t>
  </si>
  <si>
    <t>IM</t>
  </si>
  <si>
    <t>LB</t>
  </si>
  <si>
    <t>MRG</t>
  </si>
  <si>
    <t>DRF</t>
  </si>
  <si>
    <t>DTL</t>
  </si>
  <si>
    <t>GL</t>
  </si>
  <si>
    <t>VS</t>
  </si>
  <si>
    <t>VE</t>
  </si>
  <si>
    <t>DATANASCITA</t>
  </si>
  <si>
    <t>ETA</t>
  </si>
  <si>
    <t>DATA_DIAGNOSI</t>
  </si>
  <si>
    <t>DATA_NEFRECTOMIA</t>
  </si>
  <si>
    <t>ALTROISTOLOGIA</t>
  </si>
  <si>
    <t/>
  </si>
  <si>
    <t>indifferenziato</t>
  </si>
  <si>
    <t>Xp11.3</t>
  </si>
  <si>
    <t>misto</t>
  </si>
  <si>
    <t>sarcomatoide</t>
  </si>
  <si>
    <t>Dotti del Bellini</t>
  </si>
  <si>
    <t>granulare</t>
  </si>
  <si>
    <t>FattoriprognosticiHeng</t>
  </si>
  <si>
    <t>1.3</t>
  </si>
  <si>
    <t>3.5</t>
  </si>
  <si>
    <t>1.5</t>
  </si>
  <si>
    <t>1, 3</t>
  </si>
  <si>
    <t>1, 2, 3</t>
  </si>
  <si>
    <t>1, 2</t>
  </si>
  <si>
    <t>1, 2, 3, 6</t>
  </si>
  <si>
    <t>1,3,2</t>
  </si>
  <si>
    <t>1,3,5</t>
  </si>
  <si>
    <t>1,3</t>
  </si>
  <si>
    <t>1,2,3</t>
  </si>
  <si>
    <t>2.3</t>
  </si>
  <si>
    <t>1.2</t>
  </si>
  <si>
    <t>1.4</t>
  </si>
  <si>
    <t>1.6</t>
  </si>
  <si>
    <t>1,3,6</t>
  </si>
  <si>
    <t xml:space="preserve"> </t>
  </si>
  <si>
    <t>3,5,6</t>
  </si>
  <si>
    <t>1,3,4,5,6</t>
  </si>
  <si>
    <t>3.6</t>
  </si>
  <si>
    <t>1,2,3,6</t>
  </si>
  <si>
    <t>2,3,6</t>
  </si>
  <si>
    <t>1,2,5,6</t>
  </si>
  <si>
    <t>4.6</t>
  </si>
  <si>
    <t>1,2,4</t>
  </si>
  <si>
    <t>1,2,3,5</t>
  </si>
  <si>
    <t>1,3,4</t>
  </si>
  <si>
    <t>2.4</t>
  </si>
  <si>
    <t>2.6</t>
  </si>
  <si>
    <t>1,5,6</t>
  </si>
  <si>
    <t xml:space="preserve">1,3 </t>
  </si>
  <si>
    <t>1, 3, 6</t>
  </si>
  <si>
    <t>1,2,3,4</t>
  </si>
  <si>
    <t>0</t>
  </si>
  <si>
    <t>2;3;5;6</t>
  </si>
  <si>
    <t>FattoriprognosticiMSKCC</t>
  </si>
  <si>
    <t>1, 5</t>
  </si>
  <si>
    <t>1,4,5</t>
  </si>
  <si>
    <t>1,2,5</t>
  </si>
  <si>
    <t>4.5</t>
  </si>
  <si>
    <t>DATA_MALATTIA</t>
  </si>
  <si>
    <t>7 (Tivozanib)</t>
  </si>
  <si>
    <t>7 (Cisplatino e Gemcitabina)</t>
  </si>
  <si>
    <t>DATAINIZIOIT</t>
  </si>
  <si>
    <t>BESTRESPONSEITsecondoRECIST_01</t>
  </si>
  <si>
    <t>DATABESTRESPONSEIT_01</t>
  </si>
  <si>
    <t>DATAPDsecondoRECISTIT</t>
  </si>
  <si>
    <t>DATAPDDEFINITIVA_01</t>
  </si>
  <si>
    <t>DATAULTIMOFOLLOWUPVIVIOD_01</t>
  </si>
  <si>
    <t>DATAULTIMAIT</t>
  </si>
  <si>
    <t>MCV basale (Fl, senza decimali)</t>
  </si>
  <si>
    <t>RDW basale (%, senza decimali)</t>
  </si>
  <si>
    <t>90.7</t>
  </si>
  <si>
    <t>90.6</t>
  </si>
  <si>
    <t>91.0</t>
  </si>
  <si>
    <t>90.3</t>
  </si>
  <si>
    <t>92.0</t>
  </si>
  <si>
    <t>89.0</t>
  </si>
  <si>
    <t>90.2</t>
  </si>
  <si>
    <t>92.1</t>
  </si>
  <si>
    <t>91.1</t>
  </si>
  <si>
    <t>90.1</t>
  </si>
  <si>
    <t>100.7</t>
  </si>
  <si>
    <t>19.5</t>
  </si>
  <si>
    <t>13.5</t>
  </si>
  <si>
    <t>102.7</t>
  </si>
  <si>
    <t>101.4</t>
  </si>
  <si>
    <t>17.5</t>
  </si>
  <si>
    <t>17.1</t>
  </si>
  <si>
    <t>93.3</t>
  </si>
  <si>
    <t>14.1</t>
  </si>
  <si>
    <t>14.3</t>
  </si>
  <si>
    <t>12.8</t>
  </si>
  <si>
    <t>102.6</t>
  </si>
  <si>
    <t>15.9</t>
  </si>
  <si>
    <t>88.4</t>
  </si>
  <si>
    <t>23.9</t>
  </si>
  <si>
    <t>84.5</t>
  </si>
  <si>
    <t>14.6</t>
  </si>
  <si>
    <t>107.3</t>
  </si>
  <si>
    <t>104.4</t>
  </si>
  <si>
    <t>114.4</t>
  </si>
  <si>
    <t>14.9</t>
  </si>
  <si>
    <t>96.6</t>
  </si>
  <si>
    <t>16.0</t>
  </si>
  <si>
    <t>91.9</t>
  </si>
  <si>
    <t>104.0</t>
  </si>
  <si>
    <t>98.0</t>
  </si>
  <si>
    <t>101.2</t>
  </si>
  <si>
    <t>NV</t>
  </si>
  <si>
    <t>lineeditpprecedentiNivolumab (1)</t>
  </si>
  <si>
    <t>lineeditpprecedentiNivolumab (2)</t>
  </si>
  <si>
    <t>lineeditpprecedentiNivolumab (3)</t>
  </si>
  <si>
    <t>lineeditpprecedentiNivolumab (4)</t>
  </si>
  <si>
    <t>lineeditpprecedentiNivolumab (5)</t>
  </si>
  <si>
    <t>lineeditpprecedentiNivolumab (6)</t>
  </si>
  <si>
    <t>ITONGOING 1=SI, 2=No</t>
  </si>
  <si>
    <t>1°PD 1=Si
2=No</t>
  </si>
  <si>
    <t>PDDEFINITIVA 1=Si
2=No</t>
  </si>
  <si>
    <t>TBP 1=Si
2=No</t>
  </si>
  <si>
    <t>STATUS 1=Vivo
2=Deceduto</t>
  </si>
  <si>
    <t>7 (Lenvatinib + Everolimus)</t>
  </si>
  <si>
    <t>7 (Interferone + Bevacizumab)</t>
  </si>
  <si>
    <t>7 (Interferone)</t>
  </si>
  <si>
    <t>7 (Interleuchina 2)</t>
  </si>
  <si>
    <t>7 (carboplatino + taxolo)</t>
  </si>
  <si>
    <t>7 (Gemcitabina)</t>
  </si>
  <si>
    <t>7 (Gemcitabina + Oxaliplatino)</t>
  </si>
  <si>
    <t>7 (Sapanisertib + Serabelisib)</t>
  </si>
  <si>
    <t>mucinoso tubulare</t>
  </si>
  <si>
    <t>PIASTRINE2ciclo</t>
  </si>
  <si>
    <t>GLOBULIBIANCHI3ciclo</t>
  </si>
  <si>
    <t>EOSINOFILI_4_CICLO</t>
  </si>
  <si>
    <t>LDH4ciclo</t>
  </si>
  <si>
    <t>700</t>
  </si>
  <si>
    <t>200</t>
  </si>
  <si>
    <t>100</t>
  </si>
  <si>
    <t>190</t>
  </si>
  <si>
    <t>120</t>
  </si>
  <si>
    <t>480</t>
  </si>
  <si>
    <t>310</t>
  </si>
  <si>
    <t>140</t>
  </si>
  <si>
    <t>270</t>
  </si>
  <si>
    <t>90</t>
  </si>
  <si>
    <t>330</t>
  </si>
  <si>
    <t>220</t>
  </si>
  <si>
    <t>260</t>
  </si>
  <si>
    <t>160</t>
  </si>
  <si>
    <t>450</t>
  </si>
  <si>
    <t>250</t>
  </si>
  <si>
    <t>350</t>
  </si>
  <si>
    <t>150</t>
  </si>
  <si>
    <t>530</t>
  </si>
  <si>
    <t>300</t>
  </si>
  <si>
    <t>400</t>
  </si>
  <si>
    <t>60</t>
  </si>
  <si>
    <t>370</t>
  </si>
  <si>
    <t>510</t>
  </si>
  <si>
    <t>180</t>
  </si>
  <si>
    <t>290</t>
  </si>
  <si>
    <t>110</t>
  </si>
  <si>
    <t>240</t>
  </si>
  <si>
    <t>360</t>
  </si>
  <si>
    <t>234</t>
  </si>
  <si>
    <t>110'</t>
  </si>
  <si>
    <t>70</t>
  </si>
  <si>
    <t>230</t>
  </si>
  <si>
    <t>840</t>
  </si>
  <si>
    <t>500</t>
  </si>
  <si>
    <t>80</t>
  </si>
  <si>
    <t>520</t>
  </si>
  <si>
    <t>170</t>
  </si>
  <si>
    <t>640</t>
  </si>
  <si>
    <t>340</t>
  </si>
  <si>
    <t>130</t>
  </si>
  <si>
    <t>210</t>
  </si>
  <si>
    <t>600</t>
  </si>
  <si>
    <t>280</t>
  </si>
  <si>
    <t>78</t>
  </si>
  <si>
    <t>320</t>
  </si>
  <si>
    <t>730</t>
  </si>
  <si>
    <t>61</t>
  </si>
  <si>
    <t>560</t>
  </si>
  <si>
    <t>540</t>
  </si>
  <si>
    <t>470</t>
  </si>
  <si>
    <t>390</t>
  </si>
  <si>
    <t>770</t>
  </si>
  <si>
    <t>410</t>
  </si>
  <si>
    <t>440</t>
  </si>
  <si>
    <t>490</t>
  </si>
  <si>
    <t>3500</t>
  </si>
  <si>
    <t>550</t>
  </si>
  <si>
    <t>DCR</t>
  </si>
  <si>
    <t>TTF</t>
  </si>
  <si>
    <t>OS</t>
  </si>
  <si>
    <t>PFS</t>
  </si>
  <si>
    <t>NEUTROFILI BASALI</t>
  </si>
  <si>
    <t>LINFOCITI BASALI</t>
  </si>
  <si>
    <t>PIASTRINE BASALI</t>
  </si>
  <si>
    <t>LDH BASALE</t>
  </si>
  <si>
    <t>GLOBULI BIANCHI 2ciclo</t>
  </si>
  <si>
    <t>NEUTROFILI 2ciclo</t>
  </si>
  <si>
    <t>LINFOCITI 2ciclo</t>
  </si>
  <si>
    <t>GLOBULI BIANCHI BASALI</t>
  </si>
  <si>
    <t>MONOCITI 2ciclo</t>
  </si>
  <si>
    <t>EOSINOFILI 2ciclo</t>
  </si>
  <si>
    <t>LDH 2ciclo</t>
  </si>
  <si>
    <t>NEUTROFILI 3ciclo</t>
  </si>
  <si>
    <t>LINFOCITI 3ciclo</t>
  </si>
  <si>
    <t>PIASTRINE 3ciclo</t>
  </si>
  <si>
    <t>MONOCITI 3ciclo</t>
  </si>
  <si>
    <t>EOSINOFILI 3ciclo</t>
  </si>
  <si>
    <t>LDH 3ciclo</t>
  </si>
  <si>
    <t>GLOBULIBIANCHI 4ciclo</t>
  </si>
  <si>
    <t>NEUTROFILI 4ciclo</t>
  </si>
  <si>
    <t>LINFOCITI 4ciclo</t>
  </si>
  <si>
    <t>PIASTRINE 4ciclo</t>
  </si>
  <si>
    <t>MONOCITI 4ciclo</t>
  </si>
  <si>
    <t>EOSINOFILI 4ciclo</t>
  </si>
  <si>
    <t>NLR BASALE</t>
  </si>
  <si>
    <t>Hb basale</t>
  </si>
  <si>
    <t>Heng score preIT</t>
  </si>
  <si>
    <t>MSKCC score preIT</t>
  </si>
  <si>
    <t>MALATTIA LINFONODI</t>
  </si>
  <si>
    <t>ISTOLOGIA</t>
  </si>
  <si>
    <t>PLR BASALE</t>
  </si>
  <si>
    <t>SII BASALE</t>
  </si>
  <si>
    <t>STATUS OS</t>
  </si>
  <si>
    <t>STATUS PD</t>
  </si>
  <si>
    <t>ORR</t>
  </si>
  <si>
    <t>NEUTROFILI BASALI imp</t>
  </si>
  <si>
    <t>LINFOCITI BASALI imp</t>
  </si>
  <si>
    <t>SESSO</t>
  </si>
  <si>
    <t>NEFRECTOMIA</t>
  </si>
  <si>
    <t>M+ ALLA DIAGNOSI</t>
  </si>
  <si>
    <t>HENG_SCORE_BASALE</t>
  </si>
  <si>
    <t>MSKCC score basale</t>
  </si>
  <si>
    <t>TKI</t>
  </si>
  <si>
    <t>Linea di terapia</t>
  </si>
  <si>
    <t>KPS</t>
  </si>
  <si>
    <t>MALATTIA VISCERALE</t>
  </si>
  <si>
    <t>MALATTIA OSSO</t>
  </si>
  <si>
    <t>EOSINOFILI BASALI</t>
  </si>
  <si>
    <t>MONOCITI BASALI</t>
  </si>
  <si>
    <t>OS&gt;=6 months</t>
  </si>
  <si>
    <t>OS&gt;=24 months</t>
  </si>
  <si>
    <t>OS&gt;=18 months</t>
  </si>
  <si>
    <t>PFS&gt;=3 months</t>
  </si>
  <si>
    <t>PFS&gt;=9 months</t>
  </si>
  <si>
    <t>OS-6</t>
  </si>
  <si>
    <t>OS-18</t>
  </si>
  <si>
    <t>OS-24</t>
  </si>
  <si>
    <t>PFS-3</t>
  </si>
  <si>
    <t>PFS-9</t>
  </si>
  <si>
    <t>STATUS_OS</t>
  </si>
  <si>
    <t>STATUS_PFS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</si>
</sst>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name val="Calibri"/>
    </font>
    <font>
      <b/>
      <sz val="11"/>
      <name val="Calibri"/>
      <family val="2"/>
    </font>
    <font>
      <b/>
      <sz val="10"/>
      <name val="Cambria"/>
      <family val="1"/>
    </font>
    <font>
      <sz val="12"/>
      <color theme="1"/>
      <name val="Calibri"/>
      <family val="2"/>
      <scheme val="minor"/>
    </font>
    <font>
      <sz val="12"/>
      <name val="Cambria"/>
      <family val="1"/>
    </font>
    <font>
      <sz val="12"/>
      <color indexed="8"/>
      <name val="Calibri"/>
      <family val="2"/>
    </font>
    <font>
      <sz val="10"/>
      <name val="Arial"/>
      <family val="2"/>
      <charset val="1"/>
    </font>
    <font>
      <sz val="12"/>
      <color indexed="8"/>
      <name val="Cambria"/>
      <family val="1"/>
      <charset val="1"/>
    </font>
    <font>
      <sz val="12"/>
      <color theme="1"/>
      <name val="Cambria"/>
      <family val="1"/>
    </font>
    <font>
      <sz val="12"/>
      <name val="Calibri"/>
      <family val="2"/>
      <scheme val="minor"/>
    </font>
    <font>
      <b/>
      <sz val="12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1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 applyProtection="1">
      <alignment horizontal="center" vertical="center" wrapText="1"/>
      <protection locked="0"/>
    </xf>
    <xf numFmtId="164" fontId="2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" fontId="0" fillId="2" borderId="1" xfId="0" applyNumberFormat="1" applyFill="1" applyBorder="1"/>
    <xf numFmtId="1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2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4" fillId="5" borderId="1" xfId="0" applyNumberFormat="1" applyFont="1" applyFill="1" applyBorder="1" applyAlignment="1" applyProtection="1">
      <alignment horizontal="center" wrapText="1"/>
      <protection locked="0"/>
    </xf>
    <xf numFmtId="0" fontId="4" fillId="5" borderId="1" xfId="0" applyFont="1" applyFill="1" applyBorder="1" applyAlignment="1" applyProtection="1">
      <alignment horizontal="center" wrapText="1"/>
      <protection locked="0"/>
    </xf>
    <xf numFmtId="0" fontId="4" fillId="0" borderId="1" xfId="0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7" fillId="0" borderId="1" xfId="1" applyFont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</cellXfs>
  <cellStyles count="2">
    <cellStyle name="Excel Built-in Normal" xfId="1" xr:uid="{10B21F04-0352-42E2-AA7E-5A38DD13F9A9}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 elena rebuzzi" id="{551EBC75-9BD8-4C9B-A3BA-935041BCEBA0}" userId="2fdee18640ccf913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3-08-28T17:50:18.75" personId="{551EBC75-9BD8-4C9B-A3BA-935041BCEBA0}" id="{51CAC61E-1174-4B62-BD39-765C374DCBD8}">
    <text>1 = Intervallo 
2 = KPS
3 = Emoglobina
4 = Calcio corretto
5 = Neutrofili
6 = Piastrine</text>
  </threadedComment>
  <threadedComment ref="Q1" dT="2023-08-28T17:51:05.84" personId="{551EBC75-9BD8-4C9B-A3BA-935041BCEBA0}" id="{F40B38DE-3D10-458D-8B53-336E694F5415}">
    <text>1 = Intervallo 
2 = KPS
3 = Emoglobina
4 = Calcio corretto
5 = LDH</text>
  </threadedComment>
  <threadedComment ref="S1" dT="2023-08-28T17:53:00.31" personId="{551EBC75-9BD8-4C9B-A3BA-935041BCEBA0}" id="{B6F5F60C-45B7-4684-A25A-74C224B558C6}">
    <text>1=Sunitinib
2=Pazopanib
3=Sorafenib
4=Cabozantinib
5=Axitinib
6=Everolimus
7=Altro (specificare)</text>
  </threadedComment>
  <threadedComment ref="AM1" dT="2023-08-28T17:56:17.57" personId="{551EBC75-9BD8-4C9B-A3BA-935041BCEBA0}" id="{8E7CFF81-46B5-4925-BC71-061DF7E95DA7}">
    <text>1=CR
2=PR
3=SD
4=PD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572"/>
  <sheetViews>
    <sheetView tabSelected="1" topLeftCell="AZ1" zoomScaleNormal="100" workbookViewId="0">
      <pane ySplit="1" topLeftCell="A295" activePane="bottomLeft" state="frozen"/>
      <selection activeCell="AI1" sqref="AI1"/>
      <selection pane="bottomLeft" activeCell="CI299" sqref="CI299"/>
    </sheetView>
  </sheetViews>
  <sheetFormatPr defaultColWidth="8.85546875" defaultRowHeight="15" x14ac:dyDescent="0.25"/>
  <cols>
    <col min="1" max="1" width="12.7109375" style="10" bestFit="1" customWidth="1"/>
    <col min="2" max="2" width="7.42578125" style="10" bestFit="1" customWidth="1"/>
    <col min="3" max="3" width="22.7109375" style="10" customWidth="1"/>
    <col min="4" max="4" width="14.5703125" style="11" bestFit="1" customWidth="1"/>
    <col min="5" max="5" width="16.85546875" style="10" bestFit="1" customWidth="1"/>
    <col min="6" max="6" width="11" style="10" bestFit="1" customWidth="1"/>
    <col min="7" max="7" width="8.85546875" style="10"/>
    <col min="8" max="8" width="20.5703125" style="10" bestFit="1" customWidth="1"/>
    <col min="9" max="9" width="18.5703125" style="10" bestFit="1" customWidth="1"/>
    <col min="10" max="10" width="23.28515625" style="10" bestFit="1" customWidth="1"/>
    <col min="11" max="11" width="22.85546875" style="10" bestFit="1" customWidth="1"/>
    <col min="12" max="12" width="15.140625" style="10" bestFit="1" customWidth="1"/>
    <col min="13" max="13" width="21" style="10" bestFit="1" customWidth="1"/>
    <col min="14" max="14" width="25.28515625" style="10" bestFit="1" customWidth="1"/>
    <col min="15" max="15" width="25.140625" style="10" bestFit="1" customWidth="1"/>
    <col min="16" max="16" width="23.42578125" style="10" bestFit="1" customWidth="1"/>
    <col min="17" max="17" width="25.5703125" style="10" bestFit="1" customWidth="1"/>
    <col min="18" max="18" width="19.42578125" style="10" bestFit="1" customWidth="1"/>
    <col min="19" max="24" width="36.7109375" style="10" hidden="1" customWidth="1"/>
    <col min="25" max="25" width="19.28515625" style="10" bestFit="1" customWidth="1"/>
    <col min="26" max="26" width="8.7109375" style="11" bestFit="1" customWidth="1"/>
    <col min="27" max="27" width="14" style="20" bestFit="1" customWidth="1"/>
    <col min="28" max="28" width="19.140625" style="10" bestFit="1" customWidth="1"/>
    <col min="29" max="29" width="19.42578125" style="10" bestFit="1" customWidth="1"/>
    <col min="30" max="30" width="20.42578125" style="10" bestFit="1" customWidth="1"/>
    <col min="31" max="31" width="22.28515625" style="10" bestFit="1" customWidth="1"/>
    <col min="32" max="32" width="8.85546875" style="10"/>
    <col min="33" max="33" width="25.42578125" style="10" bestFit="1" customWidth="1"/>
    <col min="34" max="34" width="24.7109375" style="10" bestFit="1" customWidth="1"/>
    <col min="35" max="35" width="20.140625" style="10" bestFit="1" customWidth="1"/>
    <col min="36" max="36" width="17.7109375" style="10" customWidth="1"/>
    <col min="37" max="37" width="26.28515625" style="10" bestFit="1" customWidth="1"/>
    <col min="38" max="38" width="18.140625" style="10" bestFit="1" customWidth="1"/>
    <col min="39" max="39" width="37.42578125" style="10" bestFit="1" customWidth="1"/>
    <col min="40" max="40" width="26.7109375" style="10" bestFit="1" customWidth="1"/>
    <col min="41" max="41" width="26.5703125" style="10" bestFit="1" customWidth="1"/>
    <col min="42" max="42" width="24.140625" style="10" bestFit="1" customWidth="1"/>
    <col min="43" max="43" width="13.7109375" style="10" bestFit="1" customWidth="1"/>
    <col min="44" max="44" width="12.28515625" style="10" bestFit="1" customWidth="1"/>
    <col min="45" max="45" width="15.42578125" style="10" bestFit="1" customWidth="1"/>
    <col min="46" max="46" width="12.85546875" style="10" bestFit="1" customWidth="1"/>
    <col min="47" max="47" width="14.28515625" style="10" bestFit="1" customWidth="1"/>
    <col min="48" max="48" width="12.28515625" style="10" bestFit="1" customWidth="1"/>
    <col min="49" max="49" width="37.85546875" style="10" bestFit="1" customWidth="1"/>
    <col min="50" max="50" width="21.28515625" style="10" bestFit="1" customWidth="1"/>
    <col min="51" max="51" width="16" style="10" bestFit="1" customWidth="1"/>
    <col min="52" max="52" width="14.140625" style="10" bestFit="1" customWidth="1"/>
    <col min="53" max="53" width="16" style="10" bestFit="1" customWidth="1"/>
    <col min="54" max="54" width="15.5703125" style="10" bestFit="1" customWidth="1"/>
    <col min="55" max="55" width="14.7109375" style="10" bestFit="1" customWidth="1"/>
    <col min="56" max="56" width="14.42578125" style="10" bestFit="1" customWidth="1"/>
    <col min="57" max="57" width="14.85546875" style="10" bestFit="1" customWidth="1"/>
    <col min="58" max="58" width="12.140625" style="10" bestFit="1" customWidth="1"/>
    <col min="59" max="59" width="13.28515625" style="10" bestFit="1" customWidth="1"/>
    <col min="60" max="60" width="16" style="10" bestFit="1" customWidth="1"/>
    <col min="61" max="61" width="14.140625" style="10" bestFit="1" customWidth="1"/>
    <col min="62" max="62" width="14.7109375" style="10" bestFit="1" customWidth="1"/>
    <col min="63" max="63" width="15" style="10" bestFit="1" customWidth="1"/>
    <col min="64" max="64" width="15.42578125" style="10" bestFit="1" customWidth="1"/>
    <col min="65" max="65" width="10.5703125" style="10" bestFit="1" customWidth="1"/>
    <col min="66" max="66" width="13.28515625" style="10" bestFit="1" customWidth="1"/>
    <col min="67" max="67" width="15.42578125" style="10" bestFit="1" customWidth="1"/>
    <col min="68" max="68" width="14.140625" style="10" bestFit="1" customWidth="1"/>
    <col min="69" max="69" width="14.7109375" style="10" bestFit="1" customWidth="1"/>
    <col min="70" max="70" width="15" style="10" bestFit="1" customWidth="1"/>
    <col min="71" max="71" width="15.42578125" style="10" bestFit="1" customWidth="1"/>
    <col min="72" max="72" width="14.42578125" style="10" bestFit="1" customWidth="1"/>
    <col min="73" max="73" width="13.28515625" style="10" bestFit="1" customWidth="1"/>
    <col min="74" max="74" width="16" style="10" bestFit="1" customWidth="1"/>
    <col min="75" max="75" width="14.140625" style="10" bestFit="1" customWidth="1"/>
    <col min="76" max="76" width="14.7109375" style="10" bestFit="1" customWidth="1"/>
    <col min="77" max="77" width="15" style="10" bestFit="1" customWidth="1"/>
    <col min="78" max="78" width="14.85546875" style="10" bestFit="1" customWidth="1"/>
    <col min="79" max="79" width="13.42578125" style="10" bestFit="1" customWidth="1"/>
    <col min="80" max="80" width="12.85546875" style="10" bestFit="1" customWidth="1"/>
    <col min="81" max="83" width="12.140625" style="10" bestFit="1" customWidth="1"/>
    <col min="84" max="84" width="9.140625" style="10" bestFit="1" customWidth="1"/>
    <col min="85" max="85" width="8.5703125" style="10" customWidth="1"/>
    <col min="86" max="86" width="8.5703125" style="10" bestFit="1" customWidth="1"/>
    <col min="87" max="87" width="8.5703125" style="10" customWidth="1"/>
    <col min="88" max="88" width="8" style="10" bestFit="1" customWidth="1"/>
    <col min="89" max="90" width="8" style="10" customWidth="1"/>
    <col min="92" max="92" width="8" style="10" customWidth="1"/>
    <col min="93" max="93" width="8.7109375" style="10" bestFit="1" customWidth="1"/>
    <col min="95" max="16384" width="8.85546875" style="10"/>
  </cols>
  <sheetData>
    <row r="1" spans="1:100" s="1" customFormat="1" ht="45" x14ac:dyDescent="0.25">
      <c r="A1" s="1" t="s">
        <v>0</v>
      </c>
      <c r="B1" s="1" t="s">
        <v>1</v>
      </c>
      <c r="C1" s="2" t="s">
        <v>2</v>
      </c>
      <c r="D1" s="1" t="s">
        <v>37</v>
      </c>
      <c r="E1" s="1" t="s">
        <v>396</v>
      </c>
      <c r="F1" s="2" t="s">
        <v>621</v>
      </c>
      <c r="G1" s="2" t="s">
        <v>397</v>
      </c>
      <c r="H1" s="1" t="s">
        <v>398</v>
      </c>
      <c r="I1" s="2" t="s">
        <v>622</v>
      </c>
      <c r="J1" s="1" t="s">
        <v>399</v>
      </c>
      <c r="K1" s="2" t="s">
        <v>623</v>
      </c>
      <c r="L1" s="2" t="s">
        <v>613</v>
      </c>
      <c r="M1" s="1" t="s">
        <v>400</v>
      </c>
      <c r="N1" s="2" t="s">
        <v>624</v>
      </c>
      <c r="O1" s="1" t="s">
        <v>408</v>
      </c>
      <c r="P1" s="2" t="s">
        <v>625</v>
      </c>
      <c r="Q1" s="1" t="s">
        <v>444</v>
      </c>
      <c r="R1" s="1" t="s">
        <v>449</v>
      </c>
      <c r="S1" s="1" t="s">
        <v>499</v>
      </c>
      <c r="T1" s="1" t="s">
        <v>500</v>
      </c>
      <c r="U1" s="1" t="s">
        <v>501</v>
      </c>
      <c r="V1" s="1" t="s">
        <v>502</v>
      </c>
      <c r="W1" s="1" t="s">
        <v>503</v>
      </c>
      <c r="X1" s="1" t="s">
        <v>504</v>
      </c>
      <c r="Y1" s="2" t="s">
        <v>627</v>
      </c>
      <c r="Z1" s="3" t="s">
        <v>626</v>
      </c>
      <c r="AA1" s="4" t="s">
        <v>609</v>
      </c>
      <c r="AB1" s="5" t="s">
        <v>459</v>
      </c>
      <c r="AC1" s="5" t="s">
        <v>460</v>
      </c>
      <c r="AD1" s="2" t="s">
        <v>610</v>
      </c>
      <c r="AE1" s="2" t="s">
        <v>611</v>
      </c>
      <c r="AF1" s="2" t="s">
        <v>628</v>
      </c>
      <c r="AG1" s="2" t="s">
        <v>612</v>
      </c>
      <c r="AH1" s="2" t="s">
        <v>629</v>
      </c>
      <c r="AI1" s="2" t="s">
        <v>630</v>
      </c>
      <c r="AJ1" s="1" t="s">
        <v>452</v>
      </c>
      <c r="AK1" s="1" t="s">
        <v>505</v>
      </c>
      <c r="AL1" s="1" t="s">
        <v>458</v>
      </c>
      <c r="AM1" s="1" t="s">
        <v>453</v>
      </c>
      <c r="AN1" s="1" t="s">
        <v>454</v>
      </c>
      <c r="AO1" s="1" t="s">
        <v>455</v>
      </c>
      <c r="AP1" s="1" t="s">
        <v>456</v>
      </c>
      <c r="AQ1" s="1" t="s">
        <v>506</v>
      </c>
      <c r="AR1" s="1" t="s">
        <v>617</v>
      </c>
      <c r="AS1" s="1" t="s">
        <v>507</v>
      </c>
      <c r="AT1" s="1" t="s">
        <v>508</v>
      </c>
      <c r="AU1" s="1" t="s">
        <v>509</v>
      </c>
      <c r="AV1" s="1" t="s">
        <v>616</v>
      </c>
      <c r="AW1" s="1" t="s">
        <v>457</v>
      </c>
      <c r="AX1" s="2" t="s">
        <v>592</v>
      </c>
      <c r="AY1" s="2" t="s">
        <v>585</v>
      </c>
      <c r="AZ1" s="2" t="s">
        <v>586</v>
      </c>
      <c r="BA1" s="1" t="s">
        <v>619</v>
      </c>
      <c r="BB1" s="1" t="s">
        <v>620</v>
      </c>
      <c r="BC1" s="2" t="s">
        <v>587</v>
      </c>
      <c r="BD1" s="2" t="s">
        <v>632</v>
      </c>
      <c r="BE1" s="2" t="s">
        <v>631</v>
      </c>
      <c r="BF1" s="2" t="s">
        <v>588</v>
      </c>
      <c r="BG1" s="1" t="s">
        <v>589</v>
      </c>
      <c r="BH1" s="1" t="s">
        <v>590</v>
      </c>
      <c r="BI1" s="1" t="s">
        <v>591</v>
      </c>
      <c r="BJ1" s="1" t="s">
        <v>519</v>
      </c>
      <c r="BK1" s="1" t="s">
        <v>593</v>
      </c>
      <c r="BL1" s="1" t="s">
        <v>594</v>
      </c>
      <c r="BM1" s="1" t="s">
        <v>595</v>
      </c>
      <c r="BN1" s="1" t="s">
        <v>520</v>
      </c>
      <c r="BO1" s="1" t="s">
        <v>596</v>
      </c>
      <c r="BP1" s="1" t="s">
        <v>597</v>
      </c>
      <c r="BQ1" s="1" t="s">
        <v>598</v>
      </c>
      <c r="BR1" s="1" t="s">
        <v>599</v>
      </c>
      <c r="BS1" s="1" t="s">
        <v>600</v>
      </c>
      <c r="BT1" s="1" t="s">
        <v>601</v>
      </c>
      <c r="BU1" s="1" t="s">
        <v>602</v>
      </c>
      <c r="BV1" s="1" t="s">
        <v>603</v>
      </c>
      <c r="BW1" s="1" t="s">
        <v>604</v>
      </c>
      <c r="BX1" s="1" t="s">
        <v>605</v>
      </c>
      <c r="BY1" s="1" t="s">
        <v>606</v>
      </c>
      <c r="BZ1" s="1" t="s">
        <v>607</v>
      </c>
      <c r="CA1" s="1" t="s">
        <v>521</v>
      </c>
      <c r="CB1" s="1" t="s">
        <v>522</v>
      </c>
      <c r="CC1" s="6" t="s">
        <v>608</v>
      </c>
      <c r="CD1" s="6" t="s">
        <v>614</v>
      </c>
      <c r="CE1" s="6" t="s">
        <v>615</v>
      </c>
      <c r="CF1" s="7" t="s">
        <v>581</v>
      </c>
      <c r="CG1" s="7" t="s">
        <v>618</v>
      </c>
      <c r="CH1" s="7" t="s">
        <v>582</v>
      </c>
      <c r="CI1" s="7" t="s">
        <v>643</v>
      </c>
      <c r="CJ1" s="7" t="s">
        <v>583</v>
      </c>
      <c r="CK1" s="41" t="s">
        <v>633</v>
      </c>
      <c r="CL1" s="41" t="s">
        <v>635</v>
      </c>
      <c r="CM1" s="41" t="s">
        <v>634</v>
      </c>
      <c r="CN1" s="7" t="s">
        <v>644</v>
      </c>
      <c r="CO1" s="7" t="s">
        <v>584</v>
      </c>
      <c r="CP1" s="41" t="s">
        <v>636</v>
      </c>
      <c r="CQ1" s="41" t="s">
        <v>637</v>
      </c>
      <c r="CR1" s="42" t="s">
        <v>638</v>
      </c>
      <c r="CS1" s="42" t="s">
        <v>639</v>
      </c>
      <c r="CT1" s="42" t="s">
        <v>640</v>
      </c>
      <c r="CU1" s="42" t="s">
        <v>641</v>
      </c>
      <c r="CV1" s="42" t="s">
        <v>642</v>
      </c>
    </row>
    <row r="2" spans="1:100" ht="15.75" x14ac:dyDescent="0.25">
      <c r="A2" s="8">
        <v>1</v>
      </c>
      <c r="B2" s="9">
        <v>136</v>
      </c>
      <c r="C2" s="10" t="s">
        <v>16</v>
      </c>
      <c r="D2" s="11" t="s">
        <v>85</v>
      </c>
      <c r="E2" s="12">
        <v>14945</v>
      </c>
      <c r="F2" s="13">
        <v>1</v>
      </c>
      <c r="G2" s="9">
        <v>44.087612152099609</v>
      </c>
      <c r="H2" s="12">
        <v>31048</v>
      </c>
      <c r="I2" s="9">
        <v>1</v>
      </c>
      <c r="J2" s="12">
        <v>31048</v>
      </c>
      <c r="K2" s="9">
        <v>0</v>
      </c>
      <c r="L2" s="9">
        <v>1</v>
      </c>
      <c r="M2" s="10" t="s">
        <v>401</v>
      </c>
      <c r="N2" s="9">
        <v>2</v>
      </c>
      <c r="O2" s="10" t="s">
        <v>421</v>
      </c>
      <c r="P2" s="9">
        <v>2</v>
      </c>
      <c r="Q2" s="10" t="s">
        <v>421</v>
      </c>
      <c r="R2" s="12">
        <v>42319</v>
      </c>
      <c r="S2" s="10" t="s">
        <v>145</v>
      </c>
      <c r="T2" s="9">
        <v>2</v>
      </c>
      <c r="U2" s="10" t="s">
        <v>149</v>
      </c>
      <c r="V2" s="10" t="s">
        <v>401</v>
      </c>
      <c r="W2" s="9"/>
      <c r="X2" s="9"/>
      <c r="Y2" s="9">
        <v>4</v>
      </c>
      <c r="Z2" s="14"/>
      <c r="AA2" s="15">
        <v>15.6</v>
      </c>
      <c r="AB2" s="16">
        <v>92</v>
      </c>
      <c r="AC2" s="16">
        <v>13</v>
      </c>
      <c r="AD2" s="9">
        <v>1</v>
      </c>
      <c r="AE2" s="9">
        <v>1</v>
      </c>
      <c r="AF2" s="9">
        <v>1</v>
      </c>
      <c r="AG2" s="9">
        <v>0</v>
      </c>
      <c r="AH2" s="9">
        <v>1</v>
      </c>
      <c r="AI2" s="9">
        <v>0</v>
      </c>
      <c r="AJ2" s="12">
        <v>43251</v>
      </c>
      <c r="AK2" s="9">
        <v>2</v>
      </c>
      <c r="AL2" s="12">
        <v>43818</v>
      </c>
      <c r="AM2" s="9">
        <v>3</v>
      </c>
      <c r="AN2" s="12">
        <v>43343</v>
      </c>
      <c r="AO2" s="12">
        <v>43598</v>
      </c>
      <c r="AP2" s="12">
        <v>43810</v>
      </c>
      <c r="AQ2" s="9">
        <v>1</v>
      </c>
      <c r="AR2" s="9">
        <f>IF(AQ2=1,1,0)</f>
        <v>1</v>
      </c>
      <c r="AS2" s="9">
        <v>1</v>
      </c>
      <c r="AT2" s="9">
        <v>1</v>
      </c>
      <c r="AU2" s="9">
        <v>2</v>
      </c>
      <c r="AV2" s="9">
        <f>IF(AU2=2,1,0)</f>
        <v>1</v>
      </c>
      <c r="AW2" s="12">
        <v>43917</v>
      </c>
      <c r="AX2" s="9">
        <v>7070</v>
      </c>
      <c r="AY2" s="9">
        <v>4400</v>
      </c>
      <c r="AZ2" s="9"/>
      <c r="BA2" s="9">
        <v>4400</v>
      </c>
      <c r="BB2" s="9">
        <v>1620.2720947265625</v>
      </c>
      <c r="BC2" s="9">
        <v>312000</v>
      </c>
      <c r="BD2" s="9"/>
      <c r="BE2" s="9"/>
      <c r="BF2" s="9">
        <v>203</v>
      </c>
      <c r="BG2" s="9">
        <v>8240</v>
      </c>
      <c r="BH2" s="9">
        <v>5300</v>
      </c>
      <c r="BI2" s="9"/>
      <c r="BJ2" s="9">
        <v>230000</v>
      </c>
      <c r="BK2" s="9"/>
      <c r="BL2" s="9"/>
      <c r="BM2" s="9">
        <v>187</v>
      </c>
      <c r="BN2" s="9"/>
      <c r="BO2" s="9">
        <v>4600</v>
      </c>
      <c r="BP2" s="9"/>
      <c r="BQ2" s="9">
        <v>192000</v>
      </c>
      <c r="BR2" s="9"/>
      <c r="BS2" s="9"/>
      <c r="BT2" s="9">
        <v>204</v>
      </c>
      <c r="BU2" s="9">
        <v>7530</v>
      </c>
      <c r="BV2" s="9">
        <v>4200</v>
      </c>
      <c r="BW2" s="9"/>
      <c r="BX2" s="9">
        <v>186000</v>
      </c>
      <c r="BY2" s="9"/>
      <c r="BZ2" s="10" t="s">
        <v>401</v>
      </c>
      <c r="CA2" s="9"/>
      <c r="CB2" s="9"/>
      <c r="CC2" s="10">
        <f>BA2/BB2</f>
        <v>2.715593272463626</v>
      </c>
      <c r="CD2" s="10">
        <f>BC2/BB2</f>
        <v>192.56025022923893</v>
      </c>
      <c r="CE2" s="10">
        <f>BC2*CC2</f>
        <v>847265.10100865131</v>
      </c>
      <c r="CF2" s="10">
        <f>IF(AM2=4, 0,1)</f>
        <v>1</v>
      </c>
      <c r="CG2" s="10">
        <f t="shared" ref="CG2:CG65" si="0">IF(OR(AM2=4,AM2=3), 0,1)</f>
        <v>0</v>
      </c>
      <c r="CH2" s="10">
        <f t="shared" ref="CH2:CH65" si="1">(YEAR(AL2)-YEAR(AJ2))*12+MONTH(AL2)-MONTH(AJ2)</f>
        <v>19</v>
      </c>
      <c r="CI2" s="9">
        <f>AV2</f>
        <v>1</v>
      </c>
      <c r="CJ2" s="10">
        <f t="shared" ref="CJ2:CJ65" si="2">(YEAR(AW2)-YEAR(AJ2))*12+MONTH(AW2)-MONTH(AJ2)</f>
        <v>22</v>
      </c>
      <c r="CK2" s="10" t="b">
        <f>IF(CJ2&gt;=6, TRUE, FALSE)</f>
        <v>1</v>
      </c>
      <c r="CL2" s="10" t="b">
        <f>IF(CJ2&gt;=18, TRUE, FALSE)</f>
        <v>1</v>
      </c>
      <c r="CM2" s="10" t="b">
        <f>IF(CJ2&gt;=24, TRUE, FALSE)</f>
        <v>0</v>
      </c>
      <c r="CN2" s="9">
        <f>AR2</f>
        <v>1</v>
      </c>
      <c r="CO2" s="10">
        <f t="shared" ref="CO2:CO10" si="3">(YEAR(AO2)-YEAR(AJ2))*12+MONTH(AO2)-MONTH(AJ2)</f>
        <v>12</v>
      </c>
      <c r="CP2" s="10" t="b">
        <f>IF(CO2&gt;=3, TRUE, FALSE)</f>
        <v>1</v>
      </c>
      <c r="CQ2" s="10" t="b">
        <f>IF(CO2&gt;=9, TRUE, FALSE)</f>
        <v>1</v>
      </c>
      <c r="CR2" s="10" cm="1">
        <f t="array" ref="CR2">_xlfn.IFS(AND($CI2=0, CK2=FALSE), NA(), AND($CI2=1, CK2=FALSE), 0, CK2=TRUE, 1)</f>
        <v>1</v>
      </c>
      <c r="CS2" s="10" cm="1">
        <f t="array" ref="CS2">_xlfn.IFS(AND($CI2=0, CL2=FALSE), NA(), AND($CI2=1, CL2=FALSE), 0, CL2=TRUE, 1)</f>
        <v>1</v>
      </c>
      <c r="CT2" s="10" cm="1">
        <f t="array" ref="CT2">_xlfn.IFS(AND($CI2=0, CM2=FALSE), NA(), AND($CI2=1, CM2=FALSE), 0, CM2=TRUE, 1)</f>
        <v>0</v>
      </c>
      <c r="CU2" s="10" cm="1">
        <f t="array" ref="CU2">_xlfn.IFS(AND($CN2=0, CP2=FALSE), NA(), AND($CN2=1, CP2=FALSE), 0, CP2=TRUE, 1)</f>
        <v>1</v>
      </c>
      <c r="CV2" s="10" cm="1">
        <f t="array" ref="CV2">_xlfn.IFS(AND($CN2=0, CQ2=FALSE), NA(), AND($CN2=1, CQ2=FALSE), 0, CQ2=TRUE, 1)</f>
        <v>1</v>
      </c>
    </row>
    <row r="3" spans="1:100" ht="15.75" x14ac:dyDescent="0.25">
      <c r="A3" s="8">
        <v>2</v>
      </c>
      <c r="B3" s="9">
        <v>391</v>
      </c>
      <c r="C3" s="10" t="s">
        <v>29</v>
      </c>
      <c r="D3" s="11" t="s">
        <v>306</v>
      </c>
      <c r="E3" s="12">
        <v>12937</v>
      </c>
      <c r="F3" s="13">
        <v>1</v>
      </c>
      <c r="G3" s="9">
        <v>52.399726867675781</v>
      </c>
      <c r="H3" s="12">
        <v>32076</v>
      </c>
      <c r="I3" s="9">
        <v>1</v>
      </c>
      <c r="J3" s="12">
        <v>32076</v>
      </c>
      <c r="K3" s="9">
        <v>0</v>
      </c>
      <c r="L3" s="9">
        <v>1</v>
      </c>
      <c r="M3" s="10" t="s">
        <v>401</v>
      </c>
      <c r="N3" s="9">
        <v>1</v>
      </c>
      <c r="O3" s="10" t="s">
        <v>401</v>
      </c>
      <c r="P3" s="9">
        <v>1</v>
      </c>
      <c r="Q3" s="10" t="s">
        <v>401</v>
      </c>
      <c r="R3" s="12">
        <v>42153</v>
      </c>
      <c r="S3" s="10" t="s">
        <v>146</v>
      </c>
      <c r="T3" s="9">
        <v>6</v>
      </c>
      <c r="U3" s="10" t="s">
        <v>401</v>
      </c>
      <c r="V3" s="10" t="s">
        <v>401</v>
      </c>
      <c r="W3" s="9"/>
      <c r="X3" s="9"/>
      <c r="Y3" s="9">
        <v>3</v>
      </c>
      <c r="Z3" s="14">
        <v>2</v>
      </c>
      <c r="AA3" s="17">
        <v>11.7</v>
      </c>
      <c r="AB3" s="18">
        <v>63</v>
      </c>
      <c r="AC3" s="18">
        <v>21</v>
      </c>
      <c r="AD3" s="9">
        <v>1</v>
      </c>
      <c r="AE3" s="9">
        <v>1</v>
      </c>
      <c r="AF3" s="9">
        <v>1</v>
      </c>
      <c r="AG3" s="9">
        <v>0</v>
      </c>
      <c r="AH3" s="9">
        <v>1</v>
      </c>
      <c r="AI3" s="9">
        <v>0</v>
      </c>
      <c r="AJ3" s="12">
        <v>42884</v>
      </c>
      <c r="AK3" s="9">
        <v>2</v>
      </c>
      <c r="AL3" s="12">
        <v>43948</v>
      </c>
      <c r="AM3" s="9">
        <v>2</v>
      </c>
      <c r="AN3" s="12">
        <v>43392</v>
      </c>
      <c r="AO3" s="12">
        <v>44620</v>
      </c>
      <c r="AP3" s="12">
        <v>44620</v>
      </c>
      <c r="AQ3" s="9">
        <v>1</v>
      </c>
      <c r="AR3" s="9">
        <f t="shared" ref="AR3:AR66" si="4">IF(AQ3=1,1,0)</f>
        <v>1</v>
      </c>
      <c r="AS3" s="9">
        <v>1</v>
      </c>
      <c r="AT3" s="9">
        <v>2</v>
      </c>
      <c r="AU3" s="9">
        <v>2</v>
      </c>
      <c r="AV3" s="9">
        <f t="shared" ref="AV3:AV66" si="5">IF(AU3=2,1,0)</f>
        <v>1</v>
      </c>
      <c r="AW3" s="12">
        <v>44763</v>
      </c>
      <c r="AX3" s="9">
        <v>9700</v>
      </c>
      <c r="AY3" s="9">
        <v>7640</v>
      </c>
      <c r="AZ3" s="9">
        <v>1470</v>
      </c>
      <c r="BA3" s="9">
        <v>7640</v>
      </c>
      <c r="BB3" s="9">
        <v>1470.000244140625</v>
      </c>
      <c r="BC3" s="9">
        <v>185000</v>
      </c>
      <c r="BD3" s="9">
        <v>69</v>
      </c>
      <c r="BE3" s="9">
        <v>6</v>
      </c>
      <c r="BF3" s="9"/>
      <c r="BG3" s="9">
        <v>8190</v>
      </c>
      <c r="BH3" s="9">
        <v>5610</v>
      </c>
      <c r="BI3" s="9">
        <v>1850</v>
      </c>
      <c r="BJ3" s="9">
        <v>230000</v>
      </c>
      <c r="BK3" s="9">
        <v>62</v>
      </c>
      <c r="BL3" s="9">
        <v>8</v>
      </c>
      <c r="BM3" s="9"/>
      <c r="BN3" s="9">
        <v>8600</v>
      </c>
      <c r="BO3" s="9">
        <v>5600</v>
      </c>
      <c r="BP3" s="9">
        <v>1880</v>
      </c>
      <c r="BQ3" s="9">
        <v>238000</v>
      </c>
      <c r="BR3" s="9">
        <v>98</v>
      </c>
      <c r="BS3" s="9">
        <v>10</v>
      </c>
      <c r="BT3" s="9"/>
      <c r="BU3" s="9">
        <v>9980</v>
      </c>
      <c r="BV3" s="9">
        <v>7000</v>
      </c>
      <c r="BW3" s="9">
        <v>1800</v>
      </c>
      <c r="BX3" s="9">
        <v>196000</v>
      </c>
      <c r="BY3" s="9">
        <v>104</v>
      </c>
      <c r="BZ3" s="10" t="s">
        <v>298</v>
      </c>
      <c r="CA3" s="9">
        <v>11</v>
      </c>
      <c r="CB3" s="9"/>
      <c r="CC3" s="10">
        <f t="shared" ref="CC3:CC66" si="6">BA3/BB3</f>
        <v>5.1972780483899923</v>
      </c>
      <c r="CD3" s="10">
        <f t="shared" ref="CD3:CD66" si="7">BC3/BB3</f>
        <v>125.85031923457443</v>
      </c>
      <c r="CE3" s="10">
        <f t="shared" ref="CE3:CE4" si="8">BC3*CC3</f>
        <v>961496.43895214854</v>
      </c>
      <c r="CF3" s="10">
        <f t="shared" ref="CF3:CF65" si="9">IF(AM3=4, 0,1)</f>
        <v>1</v>
      </c>
      <c r="CG3" s="10">
        <f t="shared" si="0"/>
        <v>1</v>
      </c>
      <c r="CH3" s="10">
        <f t="shared" si="1"/>
        <v>35</v>
      </c>
      <c r="CI3" s="9">
        <f t="shared" ref="CI3:CI66" si="10">AV3</f>
        <v>1</v>
      </c>
      <c r="CJ3" s="10">
        <f t="shared" si="2"/>
        <v>62</v>
      </c>
      <c r="CK3" s="10" t="b">
        <f t="shared" ref="CK3:CK66" si="11">IF(CJ3&gt;=6, TRUE, FALSE)</f>
        <v>1</v>
      </c>
      <c r="CL3" s="10" t="b">
        <f t="shared" ref="CL3:CL66" si="12">IF(CJ3&gt;=18, TRUE, FALSE)</f>
        <v>1</v>
      </c>
      <c r="CM3" s="10" t="b">
        <f t="shared" ref="CM3:CM66" si="13">IF(CJ3&gt;=24, TRUE, FALSE)</f>
        <v>1</v>
      </c>
      <c r="CN3" s="9">
        <f t="shared" ref="CN3:CN66" si="14">AR3</f>
        <v>1</v>
      </c>
      <c r="CO3" s="10">
        <f t="shared" si="3"/>
        <v>57</v>
      </c>
      <c r="CP3" s="10" t="b">
        <f t="shared" ref="CP3:CP66" si="15">IF(CO3&gt;=3, TRUE, FALSE)</f>
        <v>1</v>
      </c>
      <c r="CQ3" s="10" t="b">
        <f t="shared" ref="CQ3:CQ66" si="16">IF(CO3&gt;=9, TRUE, FALSE)</f>
        <v>1</v>
      </c>
      <c r="CR3" s="10" cm="1">
        <f t="array" ref="CR3">_xlfn.IFS(AND($CI3=0, CK3=FALSE), NA(), AND($CI3=1, CK3=FALSE), 0, CK3=TRUE, 1)</f>
        <v>1</v>
      </c>
      <c r="CS3" s="10" cm="1">
        <f t="array" ref="CS3">_xlfn.IFS(AND($CI3=0, CL3=FALSE), NA(), AND($CI3=1, CL3=FALSE), 0, CL3=TRUE, 1)</f>
        <v>1</v>
      </c>
      <c r="CT3" s="10" cm="1">
        <f t="array" ref="CT3">_xlfn.IFS(AND($CI3=0, CM3=FALSE), NA(), AND($CI3=1, CM3=FALSE), 0, CM3=TRUE, 1)</f>
        <v>1</v>
      </c>
      <c r="CU3" s="10" cm="1">
        <f t="array" ref="CU3">_xlfn.IFS(AND($CN3=0, CP3=FALSE), NA(), AND($CN3=1, CP3=FALSE), 0, CP3=TRUE, 1)</f>
        <v>1</v>
      </c>
      <c r="CV3" s="10" cm="1">
        <f t="array" ref="CV3">_xlfn.IFS(AND($CN3=0, CQ3=FALSE), NA(), AND($CN3=1, CQ3=FALSE), 0, CQ3=TRUE, 1)</f>
        <v>1</v>
      </c>
    </row>
    <row r="4" spans="1:100" ht="15.75" x14ac:dyDescent="0.25">
      <c r="A4" s="8">
        <v>3</v>
      </c>
      <c r="B4" s="9">
        <v>280</v>
      </c>
      <c r="C4" s="10" t="s">
        <v>21</v>
      </c>
      <c r="D4" s="11" t="s">
        <v>247</v>
      </c>
      <c r="E4" s="12">
        <v>12056</v>
      </c>
      <c r="F4" s="13">
        <v>1</v>
      </c>
      <c r="G4" s="9">
        <v>55.449691772460938</v>
      </c>
      <c r="H4" s="12">
        <v>32309</v>
      </c>
      <c r="I4" s="9">
        <v>1</v>
      </c>
      <c r="J4" s="12">
        <v>32309</v>
      </c>
      <c r="K4" s="9">
        <v>0</v>
      </c>
      <c r="L4" s="9">
        <v>1</v>
      </c>
      <c r="M4" s="10" t="s">
        <v>401</v>
      </c>
      <c r="N4" s="9"/>
      <c r="O4" s="10" t="s">
        <v>401</v>
      </c>
      <c r="P4" s="9"/>
      <c r="Q4" s="10" t="s">
        <v>401</v>
      </c>
      <c r="R4" s="12">
        <v>35961</v>
      </c>
      <c r="S4" s="10" t="s">
        <v>145</v>
      </c>
      <c r="T4" s="9">
        <v>5</v>
      </c>
      <c r="U4" s="10" t="s">
        <v>401</v>
      </c>
      <c r="V4" s="10" t="s">
        <v>401</v>
      </c>
      <c r="W4" s="9"/>
      <c r="X4" s="9"/>
      <c r="Y4" s="9">
        <v>3</v>
      </c>
      <c r="Z4" s="14">
        <v>1</v>
      </c>
      <c r="AA4" s="15">
        <v>14.5</v>
      </c>
      <c r="AB4" s="16">
        <v>95</v>
      </c>
      <c r="AC4" s="16">
        <v>16</v>
      </c>
      <c r="AD4" s="9">
        <v>2</v>
      </c>
      <c r="AE4" s="9">
        <v>2</v>
      </c>
      <c r="AF4" s="9">
        <v>1</v>
      </c>
      <c r="AG4" s="9">
        <v>0</v>
      </c>
      <c r="AH4" s="9">
        <v>1</v>
      </c>
      <c r="AI4" s="9">
        <v>1</v>
      </c>
      <c r="AJ4" s="12">
        <v>42409</v>
      </c>
      <c r="AK4" s="9">
        <v>2</v>
      </c>
      <c r="AL4" s="12">
        <v>42550</v>
      </c>
      <c r="AM4" s="9">
        <v>2</v>
      </c>
      <c r="AN4" s="12">
        <v>42576</v>
      </c>
      <c r="AO4" s="12">
        <v>42760</v>
      </c>
      <c r="AP4" s="12">
        <v>42760</v>
      </c>
      <c r="AQ4" s="9">
        <v>1</v>
      </c>
      <c r="AR4" s="9">
        <f t="shared" si="4"/>
        <v>1</v>
      </c>
      <c r="AS4" s="9">
        <v>1</v>
      </c>
      <c r="AT4" s="9">
        <v>2</v>
      </c>
      <c r="AU4" s="9">
        <v>2</v>
      </c>
      <c r="AV4" s="9">
        <f t="shared" si="5"/>
        <v>1</v>
      </c>
      <c r="AW4" s="12">
        <v>43033</v>
      </c>
      <c r="AX4" s="9">
        <v>16950</v>
      </c>
      <c r="AY4" s="9">
        <v>12350</v>
      </c>
      <c r="AZ4" s="9">
        <v>2820</v>
      </c>
      <c r="BA4" s="9">
        <v>12350</v>
      </c>
      <c r="BB4" s="9">
        <v>2820.00048828125</v>
      </c>
      <c r="BC4" s="9">
        <v>330000</v>
      </c>
      <c r="BD4" s="9">
        <v>1400</v>
      </c>
      <c r="BE4" s="9">
        <v>340</v>
      </c>
      <c r="BF4" s="9">
        <v>161</v>
      </c>
      <c r="BG4" s="9">
        <v>14760</v>
      </c>
      <c r="BH4" s="9">
        <v>9870</v>
      </c>
      <c r="BI4" s="9">
        <v>3000</v>
      </c>
      <c r="BJ4" s="9">
        <v>346000</v>
      </c>
      <c r="BK4" s="9">
        <v>1490</v>
      </c>
      <c r="BL4" s="9">
        <v>370</v>
      </c>
      <c r="BM4" s="9"/>
      <c r="BN4" s="9">
        <v>14150</v>
      </c>
      <c r="BO4" s="9">
        <v>8490</v>
      </c>
      <c r="BP4" s="9">
        <v>3220</v>
      </c>
      <c r="BQ4" s="9">
        <v>508000</v>
      </c>
      <c r="BR4" s="9">
        <v>1850</v>
      </c>
      <c r="BS4" s="9">
        <v>530</v>
      </c>
      <c r="BT4" s="9"/>
      <c r="BU4" s="9">
        <v>14840</v>
      </c>
      <c r="BV4" s="9">
        <v>9120</v>
      </c>
      <c r="BW4" s="9">
        <v>3530</v>
      </c>
      <c r="BX4" s="9">
        <v>398000</v>
      </c>
      <c r="BY4" s="9">
        <v>1470</v>
      </c>
      <c r="BZ4" s="10" t="s">
        <v>523</v>
      </c>
      <c r="CA4" s="9">
        <v>700</v>
      </c>
      <c r="CB4" s="9"/>
      <c r="CC4" s="10">
        <f t="shared" si="6"/>
        <v>4.3794318658175655</v>
      </c>
      <c r="CD4" s="10">
        <f t="shared" si="7"/>
        <v>117.02125633358676</v>
      </c>
      <c r="CE4" s="10">
        <f t="shared" si="8"/>
        <v>1445212.5157197965</v>
      </c>
      <c r="CF4" s="10">
        <f t="shared" si="9"/>
        <v>1</v>
      </c>
      <c r="CG4" s="10">
        <f t="shared" si="0"/>
        <v>1</v>
      </c>
      <c r="CH4" s="10">
        <f t="shared" si="1"/>
        <v>4</v>
      </c>
      <c r="CI4" s="9">
        <f t="shared" si="10"/>
        <v>1</v>
      </c>
      <c r="CJ4" s="10">
        <f t="shared" si="2"/>
        <v>20</v>
      </c>
      <c r="CK4" s="10" t="b">
        <f t="shared" si="11"/>
        <v>1</v>
      </c>
      <c r="CL4" s="10" t="b">
        <f t="shared" si="12"/>
        <v>1</v>
      </c>
      <c r="CM4" s="10" t="b">
        <f t="shared" si="13"/>
        <v>0</v>
      </c>
      <c r="CN4" s="9">
        <f t="shared" si="14"/>
        <v>1</v>
      </c>
      <c r="CO4" s="10">
        <f t="shared" si="3"/>
        <v>11</v>
      </c>
      <c r="CP4" s="10" t="b">
        <f t="shared" si="15"/>
        <v>1</v>
      </c>
      <c r="CQ4" s="10" t="b">
        <f t="shared" si="16"/>
        <v>1</v>
      </c>
      <c r="CR4" s="10" cm="1">
        <f t="array" ref="CR4">_xlfn.IFS(AND($CI4=0, CK4=FALSE), NA(), AND($CI4=1, CK4=FALSE), 0, CK4=TRUE, 1)</f>
        <v>1</v>
      </c>
      <c r="CS4" s="10" cm="1">
        <f t="array" ref="CS4">_xlfn.IFS(AND($CI4=0, CL4=FALSE), NA(), AND($CI4=1, CL4=FALSE), 0, CL4=TRUE, 1)</f>
        <v>1</v>
      </c>
      <c r="CT4" s="10" cm="1">
        <f t="array" ref="CT4">_xlfn.IFS(AND($CI4=0, CM4=FALSE), NA(), AND($CI4=1, CM4=FALSE), 0, CM4=TRUE, 1)</f>
        <v>0</v>
      </c>
      <c r="CU4" s="10" cm="1">
        <f t="array" ref="CU4">_xlfn.IFS(AND($CN4=0, CP4=FALSE), NA(), AND($CN4=1, CP4=FALSE), 0, CP4=TRUE, 1)</f>
        <v>1</v>
      </c>
      <c r="CV4" s="10" cm="1">
        <f t="array" ref="CV4">_xlfn.IFS(AND($CN4=0, CQ4=FALSE), NA(), AND($CN4=1, CQ4=FALSE), 0, CQ4=TRUE, 1)</f>
        <v>1</v>
      </c>
    </row>
    <row r="5" spans="1:100" x14ac:dyDescent="0.25">
      <c r="A5" s="8">
        <v>4</v>
      </c>
      <c r="B5" s="9">
        <v>224</v>
      </c>
      <c r="C5" s="10" t="s">
        <v>19</v>
      </c>
      <c r="D5" s="11" t="s">
        <v>221</v>
      </c>
      <c r="E5" s="12">
        <v>17427</v>
      </c>
      <c r="F5" s="13">
        <v>2</v>
      </c>
      <c r="G5" s="9">
        <v>40.744693756103516</v>
      </c>
      <c r="H5" s="12">
        <v>32309</v>
      </c>
      <c r="I5" s="9">
        <v>1</v>
      </c>
      <c r="J5" s="12">
        <v>32309</v>
      </c>
      <c r="K5" s="9">
        <v>0</v>
      </c>
      <c r="L5" s="9"/>
      <c r="M5" s="10" t="s">
        <v>401</v>
      </c>
      <c r="N5" s="9">
        <v>1</v>
      </c>
      <c r="O5" s="10" t="s">
        <v>401</v>
      </c>
      <c r="P5" s="9">
        <v>1</v>
      </c>
      <c r="Q5" s="10" t="s">
        <v>401</v>
      </c>
      <c r="R5" s="12">
        <v>38883</v>
      </c>
      <c r="S5" s="10" t="s">
        <v>147</v>
      </c>
      <c r="T5" s="9"/>
      <c r="U5" s="10" t="s">
        <v>401</v>
      </c>
      <c r="V5" s="10" t="s">
        <v>401</v>
      </c>
      <c r="W5" s="9"/>
      <c r="X5" s="9"/>
      <c r="Y5" s="9">
        <v>2</v>
      </c>
      <c r="Z5" s="19"/>
      <c r="AB5" s="9"/>
      <c r="AC5" s="9"/>
      <c r="AD5" s="9">
        <v>1</v>
      </c>
      <c r="AE5" s="9">
        <v>1</v>
      </c>
      <c r="AF5" s="9">
        <v>1</v>
      </c>
      <c r="AG5" s="9">
        <v>0</v>
      </c>
      <c r="AH5" s="9">
        <v>1</v>
      </c>
      <c r="AI5" s="9">
        <v>0</v>
      </c>
      <c r="AJ5" s="12">
        <v>43434</v>
      </c>
      <c r="AK5" s="9">
        <v>2</v>
      </c>
      <c r="AL5" s="12">
        <v>43745</v>
      </c>
      <c r="AM5" s="9">
        <v>4</v>
      </c>
      <c r="AN5" s="12">
        <v>43570</v>
      </c>
      <c r="AO5" s="12">
        <v>43570</v>
      </c>
      <c r="AP5" s="12">
        <v>43760</v>
      </c>
      <c r="AQ5" s="9">
        <v>1</v>
      </c>
      <c r="AR5" s="9">
        <f t="shared" si="4"/>
        <v>1</v>
      </c>
      <c r="AS5" s="9">
        <v>1</v>
      </c>
      <c r="AT5" s="9">
        <v>1</v>
      </c>
      <c r="AU5" s="9">
        <v>1</v>
      </c>
      <c r="AV5" s="9">
        <f t="shared" si="5"/>
        <v>0</v>
      </c>
      <c r="AW5" s="12">
        <v>44945</v>
      </c>
      <c r="AX5" s="9"/>
      <c r="AY5" s="9"/>
      <c r="AZ5" s="9"/>
      <c r="BA5" s="9">
        <v>3839.821044921875</v>
      </c>
      <c r="BB5" s="9">
        <v>1189.8392333984375</v>
      </c>
      <c r="BC5" s="9"/>
      <c r="BD5" s="9"/>
      <c r="BE5" s="9"/>
      <c r="BF5" s="9"/>
      <c r="BG5" s="9">
        <v>7750</v>
      </c>
      <c r="BH5" s="9">
        <v>5600</v>
      </c>
      <c r="BI5" s="9">
        <v>1300</v>
      </c>
      <c r="BJ5" s="9">
        <v>439000</v>
      </c>
      <c r="BK5" s="9">
        <v>300</v>
      </c>
      <c r="BL5" s="9">
        <v>200</v>
      </c>
      <c r="BM5" s="9">
        <v>355</v>
      </c>
      <c r="BN5" s="9">
        <v>4400</v>
      </c>
      <c r="BO5" s="9">
        <v>2400</v>
      </c>
      <c r="BP5" s="9">
        <v>1300</v>
      </c>
      <c r="BQ5" s="9">
        <v>467000</v>
      </c>
      <c r="BR5" s="9">
        <v>300</v>
      </c>
      <c r="BS5" s="9">
        <v>100</v>
      </c>
      <c r="BT5" s="9">
        <v>366</v>
      </c>
      <c r="BU5" s="9">
        <v>4990</v>
      </c>
      <c r="BV5" s="9">
        <v>3000</v>
      </c>
      <c r="BW5" s="9">
        <v>1400</v>
      </c>
      <c r="BX5" s="9">
        <v>405000</v>
      </c>
      <c r="BY5" s="9">
        <v>300</v>
      </c>
      <c r="BZ5" s="10" t="s">
        <v>524</v>
      </c>
      <c r="CA5" s="9">
        <v>200</v>
      </c>
      <c r="CB5" s="9">
        <v>346</v>
      </c>
      <c r="CC5" s="10">
        <f t="shared" si="6"/>
        <v>3.227176358905663</v>
      </c>
      <c r="CF5" s="10">
        <f t="shared" si="9"/>
        <v>0</v>
      </c>
      <c r="CG5" s="10">
        <f t="shared" si="0"/>
        <v>0</v>
      </c>
      <c r="CH5" s="10">
        <f t="shared" si="1"/>
        <v>11</v>
      </c>
      <c r="CI5" s="9">
        <f t="shared" si="10"/>
        <v>0</v>
      </c>
      <c r="CJ5" s="10">
        <f t="shared" si="2"/>
        <v>50</v>
      </c>
      <c r="CK5" s="10" t="b">
        <f t="shared" si="11"/>
        <v>1</v>
      </c>
      <c r="CL5" s="10" t="b">
        <f t="shared" si="12"/>
        <v>1</v>
      </c>
      <c r="CM5" s="10" t="b">
        <f t="shared" si="13"/>
        <v>1</v>
      </c>
      <c r="CN5" s="9">
        <f t="shared" si="14"/>
        <v>1</v>
      </c>
      <c r="CO5" s="10">
        <f t="shared" si="3"/>
        <v>5</v>
      </c>
      <c r="CP5" s="10" t="b">
        <f t="shared" si="15"/>
        <v>1</v>
      </c>
      <c r="CQ5" s="10" t="b">
        <f t="shared" si="16"/>
        <v>0</v>
      </c>
      <c r="CR5" s="10" cm="1">
        <f t="array" ref="CR5">_xlfn.IFS(AND($CI5=0, CK5=FALSE), NA(), AND($CI5=1, CK5=FALSE), 0, CK5=TRUE, 1)</f>
        <v>1</v>
      </c>
      <c r="CS5" s="10" cm="1">
        <f t="array" ref="CS5">_xlfn.IFS(AND($CI5=0, CL5=FALSE), NA(), AND($CI5=1, CL5=FALSE), 0, CL5=TRUE, 1)</f>
        <v>1</v>
      </c>
      <c r="CT5" s="10" cm="1">
        <f t="array" ref="CT5">_xlfn.IFS(AND($CI5=0, CM5=FALSE), NA(), AND($CI5=1, CM5=FALSE), 0, CM5=TRUE, 1)</f>
        <v>1</v>
      </c>
      <c r="CU5" s="10" cm="1">
        <f t="array" ref="CU5">_xlfn.IFS(AND($CN5=0, CP5=FALSE), NA(), AND($CN5=1, CP5=FALSE), 0, CP5=TRUE, 1)</f>
        <v>1</v>
      </c>
      <c r="CV5" s="10" cm="1">
        <f t="array" ref="CV5">_xlfn.IFS(AND($CN5=0, CQ5=FALSE), NA(), AND($CN5=1, CQ5=FALSE), 0, CQ5=TRUE, 1)</f>
        <v>0</v>
      </c>
    </row>
    <row r="6" spans="1:100" ht="15.75" x14ac:dyDescent="0.25">
      <c r="A6" s="8">
        <v>5</v>
      </c>
      <c r="B6" s="9">
        <v>167</v>
      </c>
      <c r="C6" s="10" t="s">
        <v>15</v>
      </c>
      <c r="D6" s="11" t="s">
        <v>161</v>
      </c>
      <c r="E6" s="12">
        <v>14965</v>
      </c>
      <c r="F6" s="13">
        <v>1</v>
      </c>
      <c r="G6" s="9">
        <v>50.483230590820313</v>
      </c>
      <c r="H6" s="12">
        <v>33404</v>
      </c>
      <c r="I6" s="9">
        <v>1</v>
      </c>
      <c r="J6" s="12">
        <v>33416</v>
      </c>
      <c r="K6" s="9">
        <v>0</v>
      </c>
      <c r="L6" s="9">
        <v>1</v>
      </c>
      <c r="M6" s="10" t="s">
        <v>401</v>
      </c>
      <c r="N6" s="9"/>
      <c r="O6" s="10" t="s">
        <v>401</v>
      </c>
      <c r="P6" s="9"/>
      <c r="Q6" s="10" t="s">
        <v>401</v>
      </c>
      <c r="R6" s="12">
        <v>39493</v>
      </c>
      <c r="S6" s="10" t="s">
        <v>145</v>
      </c>
      <c r="T6" s="9">
        <v>5</v>
      </c>
      <c r="U6" s="10" t="s">
        <v>401</v>
      </c>
      <c r="V6" s="10" t="s">
        <v>401</v>
      </c>
      <c r="W6" s="9"/>
      <c r="X6" s="9"/>
      <c r="Y6" s="9">
        <v>3</v>
      </c>
      <c r="Z6" s="14">
        <v>1</v>
      </c>
      <c r="AA6" s="17">
        <v>12.8</v>
      </c>
      <c r="AB6" s="18">
        <v>93</v>
      </c>
      <c r="AC6" s="18">
        <v>14</v>
      </c>
      <c r="AD6" s="9">
        <v>1</v>
      </c>
      <c r="AE6" s="9">
        <v>1</v>
      </c>
      <c r="AF6" s="9">
        <v>1</v>
      </c>
      <c r="AG6" s="9">
        <v>0</v>
      </c>
      <c r="AH6" s="9">
        <v>1</v>
      </c>
      <c r="AI6" s="9">
        <v>0</v>
      </c>
      <c r="AJ6" s="12">
        <v>43258</v>
      </c>
      <c r="AK6" s="9">
        <v>2</v>
      </c>
      <c r="AL6" s="12">
        <v>43474</v>
      </c>
      <c r="AM6" s="9">
        <v>3</v>
      </c>
      <c r="AN6" s="12">
        <v>43395</v>
      </c>
      <c r="AO6" s="12">
        <v>43480</v>
      </c>
      <c r="AP6" s="12">
        <v>43480</v>
      </c>
      <c r="AQ6" s="9">
        <v>1</v>
      </c>
      <c r="AR6" s="9">
        <f t="shared" si="4"/>
        <v>1</v>
      </c>
      <c r="AS6" s="9">
        <v>1</v>
      </c>
      <c r="AT6" s="9">
        <v>2</v>
      </c>
      <c r="AU6" s="9">
        <v>1</v>
      </c>
      <c r="AV6" s="9">
        <f t="shared" si="5"/>
        <v>0</v>
      </c>
      <c r="AW6" s="12">
        <v>43979</v>
      </c>
      <c r="AX6" s="9">
        <v>5510</v>
      </c>
      <c r="AY6" s="9">
        <v>3100</v>
      </c>
      <c r="AZ6" s="9"/>
      <c r="BA6" s="9">
        <v>3100</v>
      </c>
      <c r="BB6" s="9">
        <v>1639.099365234375</v>
      </c>
      <c r="BC6" s="9">
        <v>217000</v>
      </c>
      <c r="BD6" s="9"/>
      <c r="BE6" s="9"/>
      <c r="BF6" s="9">
        <v>177</v>
      </c>
      <c r="BG6" s="9">
        <v>5940</v>
      </c>
      <c r="BH6" s="9">
        <v>3900</v>
      </c>
      <c r="BI6" s="9"/>
      <c r="BJ6" s="9">
        <v>230000</v>
      </c>
      <c r="BK6" s="9"/>
      <c r="BL6" s="9"/>
      <c r="BM6" s="9">
        <v>167</v>
      </c>
      <c r="BN6" s="9">
        <v>8070</v>
      </c>
      <c r="BO6" s="9">
        <v>5600</v>
      </c>
      <c r="BP6" s="9"/>
      <c r="BQ6" s="9">
        <v>242000</v>
      </c>
      <c r="BR6" s="9"/>
      <c r="BS6" s="9"/>
      <c r="BT6" s="9">
        <v>210</v>
      </c>
      <c r="BU6" s="9">
        <v>6650</v>
      </c>
      <c r="BV6" s="9">
        <v>4600</v>
      </c>
      <c r="BW6" s="9"/>
      <c r="BX6" s="9">
        <v>274000</v>
      </c>
      <c r="BY6" s="9"/>
      <c r="BZ6" s="10" t="s">
        <v>401</v>
      </c>
      <c r="CA6" s="9"/>
      <c r="CB6" s="9">
        <v>275</v>
      </c>
      <c r="CC6" s="10">
        <f t="shared" si="6"/>
        <v>1.891282533415374</v>
      </c>
      <c r="CD6" s="10">
        <f t="shared" si="7"/>
        <v>132.38977733907618</v>
      </c>
      <c r="CE6" s="10">
        <f t="shared" ref="CE6:CE14" si="17">BC6*CC6</f>
        <v>410408.30975113617</v>
      </c>
      <c r="CF6" s="10">
        <f t="shared" si="9"/>
        <v>1</v>
      </c>
      <c r="CG6" s="10">
        <f t="shared" si="0"/>
        <v>0</v>
      </c>
      <c r="CH6" s="10">
        <f t="shared" si="1"/>
        <v>7</v>
      </c>
      <c r="CI6" s="9">
        <f t="shared" si="10"/>
        <v>0</v>
      </c>
      <c r="CJ6" s="10">
        <f t="shared" si="2"/>
        <v>23</v>
      </c>
      <c r="CK6" s="10" t="b">
        <f t="shared" si="11"/>
        <v>1</v>
      </c>
      <c r="CL6" s="10" t="b">
        <f t="shared" si="12"/>
        <v>1</v>
      </c>
      <c r="CM6" s="10" t="b">
        <f t="shared" si="13"/>
        <v>0</v>
      </c>
      <c r="CN6" s="9">
        <f t="shared" si="14"/>
        <v>1</v>
      </c>
      <c r="CO6" s="10">
        <f t="shared" si="3"/>
        <v>7</v>
      </c>
      <c r="CP6" s="10" t="b">
        <f t="shared" si="15"/>
        <v>1</v>
      </c>
      <c r="CQ6" s="10" t="b">
        <f t="shared" si="16"/>
        <v>0</v>
      </c>
      <c r="CR6" s="10" cm="1">
        <f t="array" ref="CR6">_xlfn.IFS(AND($CI6=0, CK6=FALSE), NA(), AND($CI6=1, CK6=FALSE), 0, CK6=TRUE, 1)</f>
        <v>1</v>
      </c>
      <c r="CS6" s="10" cm="1">
        <f t="array" ref="CS6">_xlfn.IFS(AND($CI6=0, CL6=FALSE), NA(), AND($CI6=1, CL6=FALSE), 0, CL6=TRUE, 1)</f>
        <v>1</v>
      </c>
      <c r="CT6" s="10" t="e" cm="1">
        <f t="array" ref="CT6">_xlfn.IFS(AND($CI6=0, CM6=FALSE), NA(), AND($CI6=1, CM6=FALSE), 0, CM6=TRUE, 1)</f>
        <v>#N/A</v>
      </c>
      <c r="CU6" s="10" cm="1">
        <f t="array" ref="CU6">_xlfn.IFS(AND($CN6=0, CP6=FALSE), NA(), AND($CN6=1, CP6=FALSE), 0, CP6=TRUE, 1)</f>
        <v>1</v>
      </c>
      <c r="CV6" s="10" cm="1">
        <f t="array" ref="CV6">_xlfn.IFS(AND($CN6=0, CQ6=FALSE), NA(), AND($CN6=1, CQ6=FALSE), 0, CQ6=TRUE, 1)</f>
        <v>0</v>
      </c>
    </row>
    <row r="7" spans="1:100" ht="15.75" x14ac:dyDescent="0.25">
      <c r="A7" s="8">
        <v>6</v>
      </c>
      <c r="B7" s="9">
        <v>546</v>
      </c>
      <c r="C7" s="10" t="s">
        <v>34</v>
      </c>
      <c r="D7" s="11" t="s">
        <v>247</v>
      </c>
      <c r="E7" s="12">
        <v>18268</v>
      </c>
      <c r="F7" s="13">
        <v>1</v>
      </c>
      <c r="G7" s="9">
        <v>41.987678527832031</v>
      </c>
      <c r="H7" s="12">
        <v>33604</v>
      </c>
      <c r="I7" s="9">
        <v>1</v>
      </c>
      <c r="J7" s="12">
        <v>33604</v>
      </c>
      <c r="K7" s="9">
        <v>0</v>
      </c>
      <c r="L7" s="9">
        <v>1</v>
      </c>
      <c r="M7" s="10" t="s">
        <v>401</v>
      </c>
      <c r="N7" s="9">
        <v>1</v>
      </c>
      <c r="O7" s="10" t="s">
        <v>401</v>
      </c>
      <c r="P7" s="9">
        <v>1</v>
      </c>
      <c r="Q7" s="10" t="s">
        <v>401</v>
      </c>
      <c r="R7" s="12">
        <v>42324</v>
      </c>
      <c r="S7" s="10" t="s">
        <v>146</v>
      </c>
      <c r="T7" s="9"/>
      <c r="U7" s="10" t="s">
        <v>401</v>
      </c>
      <c r="V7" s="10" t="s">
        <v>401</v>
      </c>
      <c r="W7" s="9"/>
      <c r="X7" s="9"/>
      <c r="Y7" s="9">
        <v>2</v>
      </c>
      <c r="Z7" s="14">
        <v>2</v>
      </c>
      <c r="AA7" s="17">
        <v>14.4</v>
      </c>
      <c r="AB7" s="18">
        <v>88</v>
      </c>
      <c r="AC7" s="18">
        <v>13</v>
      </c>
      <c r="AD7" s="9">
        <v>1</v>
      </c>
      <c r="AE7" s="9">
        <v>1</v>
      </c>
      <c r="AF7" s="9">
        <v>1</v>
      </c>
      <c r="AG7" s="9">
        <v>0</v>
      </c>
      <c r="AH7" s="9">
        <v>1</v>
      </c>
      <c r="AI7" s="9">
        <v>0</v>
      </c>
      <c r="AJ7" s="12">
        <v>43285</v>
      </c>
      <c r="AK7" s="9">
        <v>2</v>
      </c>
      <c r="AL7" s="12">
        <v>44533</v>
      </c>
      <c r="AM7" s="9">
        <v>3</v>
      </c>
      <c r="AN7" s="12">
        <v>43469</v>
      </c>
      <c r="AO7" s="12">
        <v>44587</v>
      </c>
      <c r="AP7" s="12">
        <v>44587</v>
      </c>
      <c r="AQ7" s="9">
        <v>1</v>
      </c>
      <c r="AR7" s="9">
        <f t="shared" si="4"/>
        <v>1</v>
      </c>
      <c r="AS7" s="9">
        <v>1</v>
      </c>
      <c r="AT7" s="9">
        <v>2</v>
      </c>
      <c r="AU7" s="9">
        <v>2</v>
      </c>
      <c r="AV7" s="9">
        <f t="shared" si="5"/>
        <v>1</v>
      </c>
      <c r="AW7" s="12">
        <v>44594</v>
      </c>
      <c r="AX7" s="9">
        <v>6590</v>
      </c>
      <c r="AY7" s="9">
        <v>4050</v>
      </c>
      <c r="AZ7" s="9">
        <v>1620</v>
      </c>
      <c r="BA7" s="9">
        <v>4050</v>
      </c>
      <c r="BB7" s="9">
        <v>1620.000244140625</v>
      </c>
      <c r="BC7" s="9">
        <v>139000</v>
      </c>
      <c r="BD7" s="9">
        <v>650</v>
      </c>
      <c r="BE7" s="9">
        <v>230</v>
      </c>
      <c r="BF7" s="9">
        <v>211</v>
      </c>
      <c r="BG7" s="9">
        <v>5230</v>
      </c>
      <c r="BH7" s="9">
        <v>3990</v>
      </c>
      <c r="BI7" s="9">
        <v>460</v>
      </c>
      <c r="BJ7" s="9">
        <v>122000</v>
      </c>
      <c r="BK7" s="9">
        <v>500</v>
      </c>
      <c r="BL7" s="9">
        <v>250</v>
      </c>
      <c r="BM7" s="9">
        <v>216</v>
      </c>
      <c r="BN7" s="9">
        <v>4730</v>
      </c>
      <c r="BO7" s="9">
        <v>3200</v>
      </c>
      <c r="BP7" s="9">
        <v>640</v>
      </c>
      <c r="BQ7" s="9">
        <v>102000</v>
      </c>
      <c r="BR7" s="9">
        <v>610</v>
      </c>
      <c r="BS7" s="9">
        <v>230</v>
      </c>
      <c r="BT7" s="9">
        <v>236</v>
      </c>
      <c r="BU7" s="9">
        <v>3160</v>
      </c>
      <c r="BV7" s="9">
        <v>2090</v>
      </c>
      <c r="BW7" s="9">
        <v>560</v>
      </c>
      <c r="BX7" s="9">
        <v>99000</v>
      </c>
      <c r="BY7" s="9">
        <v>380</v>
      </c>
      <c r="BZ7" s="10" t="s">
        <v>525</v>
      </c>
      <c r="CA7" s="9">
        <v>100</v>
      </c>
      <c r="CB7" s="9">
        <v>229</v>
      </c>
      <c r="CC7" s="10">
        <f t="shared" si="6"/>
        <v>2.4999996232398329</v>
      </c>
      <c r="CD7" s="10">
        <f t="shared" si="7"/>
        <v>85.802456205021429</v>
      </c>
      <c r="CE7" s="10">
        <f t="shared" si="17"/>
        <v>347499.9476303368</v>
      </c>
      <c r="CF7" s="10">
        <f t="shared" si="9"/>
        <v>1</v>
      </c>
      <c r="CG7" s="10">
        <f t="shared" si="0"/>
        <v>0</v>
      </c>
      <c r="CH7" s="10">
        <f t="shared" si="1"/>
        <v>41</v>
      </c>
      <c r="CI7" s="9">
        <f t="shared" si="10"/>
        <v>1</v>
      </c>
      <c r="CJ7" s="10">
        <f t="shared" si="2"/>
        <v>43</v>
      </c>
      <c r="CK7" s="10" t="b">
        <f t="shared" si="11"/>
        <v>1</v>
      </c>
      <c r="CL7" s="10" t="b">
        <f t="shared" si="12"/>
        <v>1</v>
      </c>
      <c r="CM7" s="10" t="b">
        <f t="shared" si="13"/>
        <v>1</v>
      </c>
      <c r="CN7" s="9">
        <f t="shared" si="14"/>
        <v>1</v>
      </c>
      <c r="CO7" s="10">
        <f t="shared" si="3"/>
        <v>42</v>
      </c>
      <c r="CP7" s="10" t="b">
        <f t="shared" si="15"/>
        <v>1</v>
      </c>
      <c r="CQ7" s="10" t="b">
        <f t="shared" si="16"/>
        <v>1</v>
      </c>
      <c r="CR7" s="10" cm="1">
        <f t="array" ref="CR7">_xlfn.IFS(AND($CI7=0, CK7=FALSE), NA(), AND($CI7=1, CK7=FALSE), 0, CK7=TRUE, 1)</f>
        <v>1</v>
      </c>
      <c r="CS7" s="10" cm="1">
        <f t="array" ref="CS7">_xlfn.IFS(AND($CI7=0, CL7=FALSE), NA(), AND($CI7=1, CL7=FALSE), 0, CL7=TRUE, 1)</f>
        <v>1</v>
      </c>
      <c r="CT7" s="10" cm="1">
        <f t="array" ref="CT7">_xlfn.IFS(AND($CI7=0, CM7=FALSE), NA(), AND($CI7=1, CM7=FALSE), 0, CM7=TRUE, 1)</f>
        <v>1</v>
      </c>
      <c r="CU7" s="10" cm="1">
        <f t="array" ref="CU7">_xlfn.IFS(AND($CN7=0, CP7=FALSE), NA(), AND($CN7=1, CP7=FALSE), 0, CP7=TRUE, 1)</f>
        <v>1</v>
      </c>
      <c r="CV7" s="10" cm="1">
        <f t="array" ref="CV7">_xlfn.IFS(AND($CN7=0, CQ7=FALSE), NA(), AND($CN7=1, CQ7=FALSE), 0, CQ7=TRUE, 1)</f>
        <v>1</v>
      </c>
    </row>
    <row r="8" spans="1:100" x14ac:dyDescent="0.25">
      <c r="A8" s="8">
        <v>7</v>
      </c>
      <c r="B8" s="9">
        <v>102</v>
      </c>
      <c r="C8" s="10" t="s">
        <v>11</v>
      </c>
      <c r="D8" s="11" t="s">
        <v>128</v>
      </c>
      <c r="E8" s="12">
        <v>18034</v>
      </c>
      <c r="F8" s="13">
        <v>1</v>
      </c>
      <c r="G8" s="9">
        <v>42.737850189208984</v>
      </c>
      <c r="H8" s="12">
        <v>33644</v>
      </c>
      <c r="I8" s="9">
        <v>1</v>
      </c>
      <c r="J8" s="12">
        <v>33674</v>
      </c>
      <c r="K8" s="9">
        <v>0</v>
      </c>
      <c r="L8" s="9">
        <v>1</v>
      </c>
      <c r="M8" s="10" t="s">
        <v>401</v>
      </c>
      <c r="N8" s="9">
        <v>1</v>
      </c>
      <c r="O8" s="10" t="s">
        <v>401</v>
      </c>
      <c r="P8" s="9">
        <v>1</v>
      </c>
      <c r="Q8" s="10" t="s">
        <v>401</v>
      </c>
      <c r="R8" s="12">
        <v>40366</v>
      </c>
      <c r="S8" s="10" t="s">
        <v>145</v>
      </c>
      <c r="T8" s="9">
        <v>6</v>
      </c>
      <c r="U8" s="10" t="s">
        <v>147</v>
      </c>
      <c r="V8" s="10" t="s">
        <v>401</v>
      </c>
      <c r="W8" s="9"/>
      <c r="X8" s="9"/>
      <c r="Y8" s="9">
        <v>4</v>
      </c>
      <c r="Z8" s="19">
        <v>1</v>
      </c>
      <c r="AB8" s="9"/>
      <c r="AC8" s="9"/>
      <c r="AD8" s="9">
        <v>1</v>
      </c>
      <c r="AE8" s="9">
        <v>1</v>
      </c>
      <c r="AF8" s="9">
        <v>1</v>
      </c>
      <c r="AG8" s="9">
        <v>1</v>
      </c>
      <c r="AH8" s="9">
        <v>1</v>
      </c>
      <c r="AI8" s="9">
        <v>0</v>
      </c>
      <c r="AJ8" s="12">
        <v>42395</v>
      </c>
      <c r="AK8" s="9">
        <v>2</v>
      </c>
      <c r="AL8" s="12">
        <v>43448</v>
      </c>
      <c r="AM8" s="9">
        <v>2</v>
      </c>
      <c r="AN8" s="12">
        <v>43059</v>
      </c>
      <c r="AO8" s="12">
        <v>43466</v>
      </c>
      <c r="AP8" s="12">
        <v>43466</v>
      </c>
      <c r="AQ8" s="9">
        <v>1</v>
      </c>
      <c r="AR8" s="9">
        <f t="shared" si="4"/>
        <v>1</v>
      </c>
      <c r="AS8" s="9">
        <v>1</v>
      </c>
      <c r="AT8" s="9">
        <v>2</v>
      </c>
      <c r="AU8" s="9">
        <v>1</v>
      </c>
      <c r="AV8" s="9">
        <f t="shared" si="5"/>
        <v>0</v>
      </c>
      <c r="AW8" s="12">
        <v>44992</v>
      </c>
      <c r="AX8" s="9">
        <v>7200</v>
      </c>
      <c r="AY8" s="9">
        <v>4700</v>
      </c>
      <c r="AZ8" s="9">
        <v>1500</v>
      </c>
      <c r="BA8" s="9">
        <v>4700</v>
      </c>
      <c r="BB8" s="9">
        <v>1500.0001220703125</v>
      </c>
      <c r="BC8" s="9">
        <v>173000</v>
      </c>
      <c r="BD8" s="9">
        <v>700</v>
      </c>
      <c r="BE8" s="9">
        <v>100</v>
      </c>
      <c r="BF8" s="9"/>
      <c r="BG8" s="9">
        <v>7700</v>
      </c>
      <c r="BH8" s="9">
        <v>5300</v>
      </c>
      <c r="BI8" s="9">
        <v>1400</v>
      </c>
      <c r="BJ8" s="9">
        <v>179000</v>
      </c>
      <c r="BK8" s="9">
        <v>600</v>
      </c>
      <c r="BL8" s="9">
        <v>100</v>
      </c>
      <c r="BM8" s="9">
        <v>288</v>
      </c>
      <c r="BN8" s="9">
        <v>6300</v>
      </c>
      <c r="BO8" s="9">
        <v>4000</v>
      </c>
      <c r="BP8" s="9">
        <v>1400</v>
      </c>
      <c r="BQ8" s="9">
        <v>155000</v>
      </c>
      <c r="BR8" s="9">
        <v>800</v>
      </c>
      <c r="BS8" s="9">
        <v>100</v>
      </c>
      <c r="BT8" s="9"/>
      <c r="BU8" s="9">
        <v>7000</v>
      </c>
      <c r="BV8" s="9">
        <v>4700</v>
      </c>
      <c r="BW8" s="9">
        <v>1400</v>
      </c>
      <c r="BX8" s="9">
        <v>208000</v>
      </c>
      <c r="BY8" s="9">
        <v>700</v>
      </c>
      <c r="BZ8" s="10" t="s">
        <v>525</v>
      </c>
      <c r="CA8" s="9">
        <v>100</v>
      </c>
      <c r="CB8" s="9"/>
      <c r="CC8" s="10">
        <f t="shared" si="6"/>
        <v>3.1333330783420346</v>
      </c>
      <c r="CD8" s="10">
        <f t="shared" si="7"/>
        <v>115.33332394748341</v>
      </c>
      <c r="CE8" s="10">
        <f t="shared" si="17"/>
        <v>542066.62255317194</v>
      </c>
      <c r="CF8" s="10">
        <f t="shared" si="9"/>
        <v>1</v>
      </c>
      <c r="CG8" s="10">
        <f t="shared" si="0"/>
        <v>1</v>
      </c>
      <c r="CH8" s="10">
        <f t="shared" si="1"/>
        <v>35</v>
      </c>
      <c r="CI8" s="9">
        <f t="shared" si="10"/>
        <v>0</v>
      </c>
      <c r="CJ8" s="10">
        <f t="shared" si="2"/>
        <v>86</v>
      </c>
      <c r="CK8" s="10" t="b">
        <f t="shared" si="11"/>
        <v>1</v>
      </c>
      <c r="CL8" s="10" t="b">
        <f t="shared" si="12"/>
        <v>1</v>
      </c>
      <c r="CM8" s="10" t="b">
        <f t="shared" si="13"/>
        <v>1</v>
      </c>
      <c r="CN8" s="9">
        <f t="shared" si="14"/>
        <v>1</v>
      </c>
      <c r="CO8" s="10">
        <f t="shared" si="3"/>
        <v>36</v>
      </c>
      <c r="CP8" s="10" t="b">
        <f t="shared" si="15"/>
        <v>1</v>
      </c>
      <c r="CQ8" s="10" t="b">
        <f t="shared" si="16"/>
        <v>1</v>
      </c>
      <c r="CR8" s="10" cm="1">
        <f t="array" ref="CR8">_xlfn.IFS(AND($CI8=0, CK8=FALSE), NA(), AND($CI8=1, CK8=FALSE), 0, CK8=TRUE, 1)</f>
        <v>1</v>
      </c>
      <c r="CS8" s="10" cm="1">
        <f t="array" ref="CS8">_xlfn.IFS(AND($CI8=0, CL8=FALSE), NA(), AND($CI8=1, CL8=FALSE), 0, CL8=TRUE, 1)</f>
        <v>1</v>
      </c>
      <c r="CT8" s="10" cm="1">
        <f t="array" ref="CT8">_xlfn.IFS(AND($CI8=0, CM8=FALSE), NA(), AND($CI8=1, CM8=FALSE), 0, CM8=TRUE, 1)</f>
        <v>1</v>
      </c>
      <c r="CU8" s="10" cm="1">
        <f t="array" ref="CU8">_xlfn.IFS(AND($CN8=0, CP8=FALSE), NA(), AND($CN8=1, CP8=FALSE), 0, CP8=TRUE, 1)</f>
        <v>1</v>
      </c>
      <c r="CV8" s="10" cm="1">
        <f t="array" ref="CV8">_xlfn.IFS(AND($CN8=0, CQ8=FALSE), NA(), AND($CN8=1, CQ8=FALSE), 0, CQ8=TRUE, 1)</f>
        <v>1</v>
      </c>
    </row>
    <row r="9" spans="1:100" ht="15.75" x14ac:dyDescent="0.25">
      <c r="A9" s="8">
        <v>8</v>
      </c>
      <c r="B9" s="9">
        <v>324</v>
      </c>
      <c r="C9" s="10" t="s">
        <v>25</v>
      </c>
      <c r="D9" s="11" t="s">
        <v>271</v>
      </c>
      <c r="E9" s="12">
        <v>10409</v>
      </c>
      <c r="F9" s="13">
        <v>1</v>
      </c>
      <c r="G9" s="9">
        <v>63.715263366699219</v>
      </c>
      <c r="H9" s="12">
        <v>33681</v>
      </c>
      <c r="I9" s="9">
        <v>1</v>
      </c>
      <c r="J9" s="12">
        <v>33681</v>
      </c>
      <c r="K9" s="9">
        <v>0</v>
      </c>
      <c r="L9" s="9">
        <v>1</v>
      </c>
      <c r="M9" s="10" t="s">
        <v>401</v>
      </c>
      <c r="N9" s="9">
        <v>1</v>
      </c>
      <c r="O9" s="10" t="s">
        <v>146</v>
      </c>
      <c r="P9" s="9">
        <v>1</v>
      </c>
      <c r="Q9" s="10" t="s">
        <v>146</v>
      </c>
      <c r="R9" s="12">
        <v>42619</v>
      </c>
      <c r="S9" s="10" t="s">
        <v>146</v>
      </c>
      <c r="T9" s="9"/>
      <c r="U9" s="10" t="s">
        <v>401</v>
      </c>
      <c r="V9" s="10" t="s">
        <v>401</v>
      </c>
      <c r="W9" s="9"/>
      <c r="X9" s="9"/>
      <c r="Y9" s="9">
        <v>2</v>
      </c>
      <c r="Z9" s="14">
        <v>2</v>
      </c>
      <c r="AA9" s="15"/>
      <c r="AB9" s="16"/>
      <c r="AC9" s="16"/>
      <c r="AD9" s="9">
        <v>2</v>
      </c>
      <c r="AE9" s="9">
        <v>2</v>
      </c>
      <c r="AF9" s="9">
        <v>1</v>
      </c>
      <c r="AG9" s="9">
        <v>1</v>
      </c>
      <c r="AH9" s="9">
        <v>1</v>
      </c>
      <c r="AI9" s="9">
        <v>1</v>
      </c>
      <c r="AJ9" s="12">
        <v>42999</v>
      </c>
      <c r="AK9" s="9">
        <v>2</v>
      </c>
      <c r="AL9" s="12">
        <v>43403</v>
      </c>
      <c r="AM9" s="9">
        <v>1</v>
      </c>
      <c r="AN9" s="12">
        <v>43011</v>
      </c>
      <c r="AO9" s="12">
        <v>43448</v>
      </c>
      <c r="AP9" s="12">
        <v>43448</v>
      </c>
      <c r="AQ9" s="9">
        <v>1</v>
      </c>
      <c r="AR9" s="9">
        <f t="shared" si="4"/>
        <v>1</v>
      </c>
      <c r="AS9" s="9">
        <v>1</v>
      </c>
      <c r="AT9" s="9">
        <v>2</v>
      </c>
      <c r="AU9" s="9">
        <v>2</v>
      </c>
      <c r="AV9" s="9">
        <f t="shared" si="5"/>
        <v>1</v>
      </c>
      <c r="AW9" s="12">
        <v>43448</v>
      </c>
      <c r="AX9" s="9">
        <v>4300</v>
      </c>
      <c r="AY9" s="9">
        <v>2800</v>
      </c>
      <c r="AZ9" s="9">
        <v>900</v>
      </c>
      <c r="BA9" s="9">
        <v>2800</v>
      </c>
      <c r="BB9" s="9">
        <v>900.0001220703125</v>
      </c>
      <c r="BC9" s="9">
        <v>236000</v>
      </c>
      <c r="BD9" s="9">
        <v>300</v>
      </c>
      <c r="BE9" s="9">
        <v>100</v>
      </c>
      <c r="BF9" s="9">
        <v>179</v>
      </c>
      <c r="BG9" s="9">
        <v>5150</v>
      </c>
      <c r="BH9" s="9">
        <v>3600</v>
      </c>
      <c r="BI9" s="9">
        <v>1000</v>
      </c>
      <c r="BJ9" s="9">
        <v>236000</v>
      </c>
      <c r="BK9" s="9">
        <v>300</v>
      </c>
      <c r="BL9" s="9">
        <v>100</v>
      </c>
      <c r="BM9" s="9">
        <v>162</v>
      </c>
      <c r="BN9" s="9">
        <v>5820</v>
      </c>
      <c r="BO9" s="9">
        <v>4500</v>
      </c>
      <c r="BP9" s="9">
        <v>700</v>
      </c>
      <c r="BQ9" s="9">
        <v>245000</v>
      </c>
      <c r="BR9" s="9">
        <v>300</v>
      </c>
      <c r="BS9" s="9">
        <v>200</v>
      </c>
      <c r="BT9" s="9">
        <v>851</v>
      </c>
      <c r="BU9" s="9">
        <v>8690</v>
      </c>
      <c r="BV9" s="9">
        <v>6500</v>
      </c>
      <c r="BW9" s="9">
        <v>1400</v>
      </c>
      <c r="BX9" s="9">
        <v>274000</v>
      </c>
      <c r="BY9" s="9">
        <v>500</v>
      </c>
      <c r="BZ9" s="10" t="s">
        <v>525</v>
      </c>
      <c r="CA9" s="9">
        <v>100</v>
      </c>
      <c r="CB9" s="9"/>
      <c r="CC9" s="10">
        <f t="shared" si="6"/>
        <v>3.1111106891397178</v>
      </c>
      <c r="CD9" s="10">
        <f t="shared" si="7"/>
        <v>262.22218665606192</v>
      </c>
      <c r="CE9" s="10">
        <f t="shared" si="17"/>
        <v>734222.12263697339</v>
      </c>
      <c r="CF9" s="10">
        <f t="shared" si="9"/>
        <v>1</v>
      </c>
      <c r="CG9" s="10">
        <f t="shared" si="0"/>
        <v>1</v>
      </c>
      <c r="CH9" s="10">
        <f t="shared" si="1"/>
        <v>13</v>
      </c>
      <c r="CI9" s="9">
        <f t="shared" si="10"/>
        <v>1</v>
      </c>
      <c r="CJ9" s="10">
        <f t="shared" si="2"/>
        <v>15</v>
      </c>
      <c r="CK9" s="10" t="b">
        <f t="shared" si="11"/>
        <v>1</v>
      </c>
      <c r="CL9" s="10" t="b">
        <f t="shared" si="12"/>
        <v>0</v>
      </c>
      <c r="CM9" s="10" t="b">
        <f t="shared" si="13"/>
        <v>0</v>
      </c>
      <c r="CN9" s="9">
        <f t="shared" si="14"/>
        <v>1</v>
      </c>
      <c r="CO9" s="10">
        <f t="shared" si="3"/>
        <v>15</v>
      </c>
      <c r="CP9" s="10" t="b">
        <f t="shared" si="15"/>
        <v>1</v>
      </c>
      <c r="CQ9" s="10" t="b">
        <f t="shared" si="16"/>
        <v>1</v>
      </c>
      <c r="CR9" s="10" cm="1">
        <f t="array" ref="CR9">_xlfn.IFS(AND($CI9=0, CK9=FALSE), NA(), AND($CI9=1, CK9=FALSE), 0, CK9=TRUE, 1)</f>
        <v>1</v>
      </c>
      <c r="CS9" s="10" cm="1">
        <f t="array" ref="CS9">_xlfn.IFS(AND($CI9=0, CL9=FALSE), NA(), AND($CI9=1, CL9=FALSE), 0, CL9=TRUE, 1)</f>
        <v>0</v>
      </c>
      <c r="CT9" s="10" cm="1">
        <f t="array" ref="CT9">_xlfn.IFS(AND($CI9=0, CM9=FALSE), NA(), AND($CI9=1, CM9=FALSE), 0, CM9=TRUE, 1)</f>
        <v>0</v>
      </c>
      <c r="CU9" s="10" cm="1">
        <f t="array" ref="CU9">_xlfn.IFS(AND($CN9=0, CP9=FALSE), NA(), AND($CN9=1, CP9=FALSE), 0, CP9=TRUE, 1)</f>
        <v>1</v>
      </c>
      <c r="CV9" s="10" cm="1">
        <f t="array" ref="CV9">_xlfn.IFS(AND($CN9=0, CQ9=FALSE), NA(), AND($CN9=1, CQ9=FALSE), 0, CQ9=TRUE, 1)</f>
        <v>1</v>
      </c>
    </row>
    <row r="10" spans="1:100" ht="15.75" x14ac:dyDescent="0.25">
      <c r="A10" s="8">
        <v>9</v>
      </c>
      <c r="B10" s="9">
        <v>501</v>
      </c>
      <c r="C10" s="10" t="s">
        <v>33</v>
      </c>
      <c r="D10" s="11" t="s">
        <v>80</v>
      </c>
      <c r="E10" s="12">
        <v>15201</v>
      </c>
      <c r="F10" s="13">
        <v>1</v>
      </c>
      <c r="G10" s="9">
        <v>50.839149475097656</v>
      </c>
      <c r="H10" s="12">
        <v>33770</v>
      </c>
      <c r="I10" s="9">
        <v>0</v>
      </c>
      <c r="J10" s="12">
        <v>33770</v>
      </c>
      <c r="K10" s="9">
        <v>0</v>
      </c>
      <c r="L10" s="9">
        <v>1</v>
      </c>
      <c r="M10" s="10" t="s">
        <v>401</v>
      </c>
      <c r="N10" s="9"/>
      <c r="O10" s="10" t="s">
        <v>401</v>
      </c>
      <c r="P10" s="9"/>
      <c r="Q10" s="10" t="s">
        <v>401</v>
      </c>
      <c r="R10" s="12">
        <v>42887</v>
      </c>
      <c r="S10" s="10" t="s">
        <v>145</v>
      </c>
      <c r="T10" s="9"/>
      <c r="U10" s="10" t="s">
        <v>401</v>
      </c>
      <c r="V10" s="10" t="s">
        <v>401</v>
      </c>
      <c r="W10" s="9"/>
      <c r="X10" s="9"/>
      <c r="Y10" s="9">
        <v>2</v>
      </c>
      <c r="Z10" s="14">
        <v>1</v>
      </c>
      <c r="AA10" s="17">
        <v>13.5</v>
      </c>
      <c r="AB10" s="18">
        <v>93</v>
      </c>
      <c r="AC10" s="18">
        <v>13</v>
      </c>
      <c r="AD10" s="9"/>
      <c r="AE10" s="9"/>
      <c r="AF10" s="9"/>
      <c r="AG10" s="9">
        <v>0</v>
      </c>
      <c r="AH10" s="9">
        <v>1</v>
      </c>
      <c r="AI10" s="9">
        <v>1</v>
      </c>
      <c r="AJ10" s="12">
        <v>43390</v>
      </c>
      <c r="AK10" s="9">
        <v>2</v>
      </c>
      <c r="AL10" s="12">
        <v>43756</v>
      </c>
      <c r="AM10" s="9">
        <v>2</v>
      </c>
      <c r="AN10" s="12">
        <v>43461</v>
      </c>
      <c r="AO10" s="12">
        <v>43796</v>
      </c>
      <c r="AP10" s="12">
        <v>43796</v>
      </c>
      <c r="AQ10" s="9">
        <v>1</v>
      </c>
      <c r="AR10" s="9">
        <f t="shared" si="4"/>
        <v>1</v>
      </c>
      <c r="AS10" s="9">
        <v>1</v>
      </c>
      <c r="AT10" s="9">
        <v>2</v>
      </c>
      <c r="AU10" s="9">
        <v>2</v>
      </c>
      <c r="AV10" s="9">
        <f t="shared" si="5"/>
        <v>1</v>
      </c>
      <c r="AW10" s="12">
        <v>43856</v>
      </c>
      <c r="AX10" s="9">
        <v>11670</v>
      </c>
      <c r="AY10" s="9">
        <v>7540</v>
      </c>
      <c r="AZ10" s="9">
        <v>2560</v>
      </c>
      <c r="BA10" s="9">
        <v>7540</v>
      </c>
      <c r="BB10" s="9">
        <v>2560</v>
      </c>
      <c r="BC10" s="9">
        <v>248000</v>
      </c>
      <c r="BD10" s="9">
        <v>1020</v>
      </c>
      <c r="BE10" s="9">
        <v>480</v>
      </c>
      <c r="BF10" s="9">
        <v>190</v>
      </c>
      <c r="BG10" s="9"/>
      <c r="BH10" s="9"/>
      <c r="BI10" s="9"/>
      <c r="BJ10" s="9"/>
      <c r="BK10" s="9"/>
      <c r="BL10" s="9"/>
      <c r="BM10" s="9"/>
      <c r="BN10" s="9">
        <v>103000</v>
      </c>
      <c r="BO10" s="9">
        <v>7340</v>
      </c>
      <c r="BP10" s="9">
        <v>1830</v>
      </c>
      <c r="BQ10" s="9">
        <v>222000</v>
      </c>
      <c r="BR10" s="9">
        <v>830</v>
      </c>
      <c r="BS10" s="9">
        <v>260</v>
      </c>
      <c r="BT10" s="9"/>
      <c r="BU10" s="9">
        <v>11500</v>
      </c>
      <c r="BV10" s="9">
        <v>8520</v>
      </c>
      <c r="BW10" s="9">
        <v>1800</v>
      </c>
      <c r="BX10" s="9">
        <v>211000</v>
      </c>
      <c r="BY10" s="9">
        <v>950</v>
      </c>
      <c r="BZ10" s="10" t="s">
        <v>526</v>
      </c>
      <c r="CA10" s="9">
        <v>190</v>
      </c>
      <c r="CB10" s="9"/>
      <c r="CC10" s="10">
        <f t="shared" si="6"/>
        <v>2.9453125</v>
      </c>
      <c r="CD10" s="10">
        <f t="shared" si="7"/>
        <v>96.875</v>
      </c>
      <c r="CE10" s="10">
        <f t="shared" si="17"/>
        <v>730437.5</v>
      </c>
      <c r="CF10" s="10">
        <f t="shared" si="9"/>
        <v>1</v>
      </c>
      <c r="CG10" s="10">
        <f t="shared" si="0"/>
        <v>1</v>
      </c>
      <c r="CH10" s="10">
        <f t="shared" si="1"/>
        <v>12</v>
      </c>
      <c r="CI10" s="9">
        <f t="shared" si="10"/>
        <v>1</v>
      </c>
      <c r="CJ10" s="10">
        <f t="shared" si="2"/>
        <v>15</v>
      </c>
      <c r="CK10" s="10" t="b">
        <f t="shared" si="11"/>
        <v>1</v>
      </c>
      <c r="CL10" s="10" t="b">
        <f t="shared" si="12"/>
        <v>0</v>
      </c>
      <c r="CM10" s="10" t="b">
        <f t="shared" si="13"/>
        <v>0</v>
      </c>
      <c r="CN10" s="9">
        <f t="shared" si="14"/>
        <v>1</v>
      </c>
      <c r="CO10" s="10">
        <f t="shared" si="3"/>
        <v>13</v>
      </c>
      <c r="CP10" s="10" t="b">
        <f t="shared" si="15"/>
        <v>1</v>
      </c>
      <c r="CQ10" s="10" t="b">
        <f t="shared" si="16"/>
        <v>1</v>
      </c>
      <c r="CR10" s="10" cm="1">
        <f t="array" ref="CR10">_xlfn.IFS(AND($CI10=0, CK10=FALSE), NA(), AND($CI10=1, CK10=FALSE), 0, CK10=TRUE, 1)</f>
        <v>1</v>
      </c>
      <c r="CS10" s="10" cm="1">
        <f t="array" ref="CS10">_xlfn.IFS(AND($CI10=0, CL10=FALSE), NA(), AND($CI10=1, CL10=FALSE), 0, CL10=TRUE, 1)</f>
        <v>0</v>
      </c>
      <c r="CT10" s="10" cm="1">
        <f t="array" ref="CT10">_xlfn.IFS(AND($CI10=0, CM10=FALSE), NA(), AND($CI10=1, CM10=FALSE), 0, CM10=TRUE, 1)</f>
        <v>0</v>
      </c>
      <c r="CU10" s="10" cm="1">
        <f t="array" ref="CU10">_xlfn.IFS(AND($CN10=0, CP10=FALSE), NA(), AND($CN10=1, CP10=FALSE), 0, CP10=TRUE, 1)</f>
        <v>1</v>
      </c>
      <c r="CV10" s="10" cm="1">
        <f t="array" ref="CV10">_xlfn.IFS(AND($CN10=0, CQ10=FALSE), NA(), AND($CN10=1, CQ10=FALSE), 0, CQ10=TRUE, 1)</f>
        <v>1</v>
      </c>
    </row>
    <row r="11" spans="1:100" ht="15.75" x14ac:dyDescent="0.25">
      <c r="A11" s="8">
        <v>10</v>
      </c>
      <c r="B11" s="9">
        <v>433</v>
      </c>
      <c r="C11" s="10" t="s">
        <v>29</v>
      </c>
      <c r="D11" s="11" t="s">
        <v>344</v>
      </c>
      <c r="E11" s="12">
        <v>14548</v>
      </c>
      <c r="F11" s="13">
        <v>1</v>
      </c>
      <c r="G11" s="9">
        <v>54.198493957519531</v>
      </c>
      <c r="H11" s="12">
        <v>34344</v>
      </c>
      <c r="I11" s="9">
        <v>1</v>
      </c>
      <c r="J11" s="12">
        <v>34344</v>
      </c>
      <c r="K11" s="9">
        <v>0</v>
      </c>
      <c r="L11" s="9">
        <v>1</v>
      </c>
      <c r="M11" s="10" t="s">
        <v>401</v>
      </c>
      <c r="N11" s="9">
        <v>1</v>
      </c>
      <c r="O11" s="10" t="s">
        <v>401</v>
      </c>
      <c r="P11" s="9">
        <v>1</v>
      </c>
      <c r="Q11" s="10" t="s">
        <v>401</v>
      </c>
      <c r="R11" s="12">
        <v>42453</v>
      </c>
      <c r="S11" s="10" t="s">
        <v>146</v>
      </c>
      <c r="T11" s="9"/>
      <c r="U11" s="10" t="s">
        <v>401</v>
      </c>
      <c r="V11" s="10" t="s">
        <v>401</v>
      </c>
      <c r="W11" s="9"/>
      <c r="X11" s="9"/>
      <c r="Y11" s="9">
        <v>2</v>
      </c>
      <c r="Z11" s="14">
        <v>2</v>
      </c>
      <c r="AA11" s="17">
        <v>9.6999999999999993</v>
      </c>
      <c r="AB11" s="18">
        <v>79</v>
      </c>
      <c r="AC11" s="18"/>
      <c r="AD11" s="9">
        <v>2</v>
      </c>
      <c r="AE11" s="9">
        <v>2</v>
      </c>
      <c r="AF11" s="9">
        <v>1</v>
      </c>
      <c r="AG11" s="9">
        <v>0</v>
      </c>
      <c r="AH11" s="9">
        <v>1</v>
      </c>
      <c r="AI11" s="9">
        <v>0</v>
      </c>
      <c r="AJ11" s="12">
        <v>42884</v>
      </c>
      <c r="AK11" s="9">
        <v>2</v>
      </c>
      <c r="AL11" s="12">
        <v>43564</v>
      </c>
      <c r="AM11" s="9">
        <v>2</v>
      </c>
      <c r="AN11" s="12">
        <v>42954</v>
      </c>
      <c r="AO11" s="12"/>
      <c r="AP11" s="12"/>
      <c r="AQ11" s="9">
        <v>2</v>
      </c>
      <c r="AR11" s="9">
        <f t="shared" si="4"/>
        <v>0</v>
      </c>
      <c r="AS11" s="9">
        <v>2</v>
      </c>
      <c r="AT11" s="9"/>
      <c r="AU11" s="9">
        <v>1</v>
      </c>
      <c r="AV11" s="9">
        <f t="shared" si="5"/>
        <v>0</v>
      </c>
      <c r="AW11" s="12">
        <v>44926</v>
      </c>
      <c r="AX11" s="9">
        <v>3910</v>
      </c>
      <c r="AY11" s="9">
        <v>2070</v>
      </c>
      <c r="AZ11" s="9">
        <v>1330</v>
      </c>
      <c r="BA11" s="9">
        <v>2070</v>
      </c>
      <c r="BB11" s="9">
        <v>1329.999755859375</v>
      </c>
      <c r="BC11" s="9">
        <v>156000</v>
      </c>
      <c r="BD11" s="9">
        <v>430</v>
      </c>
      <c r="BE11" s="9">
        <v>20</v>
      </c>
      <c r="BF11" s="9"/>
      <c r="BG11" s="9">
        <v>3850</v>
      </c>
      <c r="BH11" s="9">
        <v>2160</v>
      </c>
      <c r="BI11" s="9">
        <v>1160</v>
      </c>
      <c r="BJ11" s="9">
        <v>172000</v>
      </c>
      <c r="BK11" s="9">
        <v>460</v>
      </c>
      <c r="BL11" s="9">
        <v>80</v>
      </c>
      <c r="BM11" s="9"/>
      <c r="BN11" s="9">
        <v>4920</v>
      </c>
      <c r="BO11" s="9">
        <v>3050</v>
      </c>
      <c r="BP11" s="9">
        <v>1230</v>
      </c>
      <c r="BQ11" s="9">
        <v>161000</v>
      </c>
      <c r="BR11" s="9">
        <v>540</v>
      </c>
      <c r="BS11" s="9">
        <v>100</v>
      </c>
      <c r="BT11" s="9"/>
      <c r="BU11" s="9">
        <v>5470</v>
      </c>
      <c r="BV11" s="9">
        <v>3500</v>
      </c>
      <c r="BW11" s="9">
        <v>1200</v>
      </c>
      <c r="BX11" s="9">
        <v>153000</v>
      </c>
      <c r="BY11" s="9">
        <v>500</v>
      </c>
      <c r="BZ11" s="10" t="s">
        <v>527</v>
      </c>
      <c r="CA11" s="9">
        <v>120</v>
      </c>
      <c r="CB11" s="9"/>
      <c r="CC11" s="10">
        <f t="shared" si="6"/>
        <v>1.5563912631416059</v>
      </c>
      <c r="CD11" s="10">
        <f t="shared" si="7"/>
        <v>117.2932546135703</v>
      </c>
      <c r="CE11" s="10">
        <f t="shared" si="17"/>
        <v>242797.03705009053</v>
      </c>
      <c r="CF11" s="10">
        <f t="shared" si="9"/>
        <v>1</v>
      </c>
      <c r="CG11" s="10">
        <f t="shared" si="0"/>
        <v>1</v>
      </c>
      <c r="CH11" s="10">
        <f t="shared" si="1"/>
        <v>23</v>
      </c>
      <c r="CI11" s="9">
        <f t="shared" si="10"/>
        <v>0</v>
      </c>
      <c r="CJ11" s="10">
        <f t="shared" si="2"/>
        <v>67</v>
      </c>
      <c r="CK11" s="10" t="b">
        <f t="shared" si="11"/>
        <v>1</v>
      </c>
      <c r="CL11" s="10" t="b">
        <f t="shared" si="12"/>
        <v>1</v>
      </c>
      <c r="CM11" s="10" t="b">
        <f t="shared" si="13"/>
        <v>1</v>
      </c>
      <c r="CN11" s="9">
        <f t="shared" si="14"/>
        <v>0</v>
      </c>
      <c r="CO11" s="10">
        <f>CJ11</f>
        <v>67</v>
      </c>
      <c r="CP11" s="10" t="b">
        <f t="shared" si="15"/>
        <v>1</v>
      </c>
      <c r="CQ11" s="10" t="b">
        <f t="shared" si="16"/>
        <v>1</v>
      </c>
      <c r="CR11" s="10" cm="1">
        <f t="array" ref="CR11">_xlfn.IFS(AND($CI11=0, CK11=FALSE), NA(), AND($CI11=1, CK11=FALSE), 0, CK11=TRUE, 1)</f>
        <v>1</v>
      </c>
      <c r="CS11" s="10" cm="1">
        <f t="array" ref="CS11">_xlfn.IFS(AND($CI11=0, CL11=FALSE), NA(), AND($CI11=1, CL11=FALSE), 0, CL11=TRUE, 1)</f>
        <v>1</v>
      </c>
      <c r="CT11" s="10" cm="1">
        <f t="array" ref="CT11">_xlfn.IFS(AND($CI11=0, CM11=FALSE), NA(), AND($CI11=1, CM11=FALSE), 0, CM11=TRUE, 1)</f>
        <v>1</v>
      </c>
      <c r="CU11" s="10" cm="1">
        <f t="array" ref="CU11">_xlfn.IFS(AND($CN11=0, CP11=FALSE), NA(), AND($CN11=1, CP11=FALSE), 0, CP11=TRUE, 1)</f>
        <v>1</v>
      </c>
      <c r="CV11" s="10" cm="1">
        <f t="array" ref="CV11">_xlfn.IFS(AND($CN11=0, CQ11=FALSE), NA(), AND($CN11=1, CQ11=FALSE), 0, CQ11=TRUE, 1)</f>
        <v>1</v>
      </c>
    </row>
    <row r="12" spans="1:100" ht="15.75" x14ac:dyDescent="0.25">
      <c r="A12" s="8">
        <v>11</v>
      </c>
      <c r="B12" s="9">
        <v>335</v>
      </c>
      <c r="C12" s="10" t="s">
        <v>26</v>
      </c>
      <c r="D12" s="11" t="s">
        <v>230</v>
      </c>
      <c r="E12" s="12">
        <v>15768</v>
      </c>
      <c r="F12" s="13">
        <v>1</v>
      </c>
      <c r="G12" s="9">
        <v>52.3258056640625</v>
      </c>
      <c r="H12" s="12">
        <v>34880</v>
      </c>
      <c r="I12" s="9">
        <v>1</v>
      </c>
      <c r="J12" s="12">
        <v>39614</v>
      </c>
      <c r="K12" s="9">
        <v>0</v>
      </c>
      <c r="L12" s="9">
        <v>4</v>
      </c>
      <c r="M12" s="10" t="s">
        <v>404</v>
      </c>
      <c r="N12" s="9">
        <v>1</v>
      </c>
      <c r="O12" s="10" t="s">
        <v>401</v>
      </c>
      <c r="P12" s="9">
        <v>1</v>
      </c>
      <c r="Q12" s="10" t="s">
        <v>401</v>
      </c>
      <c r="R12" s="12">
        <v>41699</v>
      </c>
      <c r="S12" s="10" t="s">
        <v>145</v>
      </c>
      <c r="T12" s="9"/>
      <c r="U12" s="10" t="s">
        <v>401</v>
      </c>
      <c r="V12" s="10" t="s">
        <v>401</v>
      </c>
      <c r="W12" s="9"/>
      <c r="X12" s="9"/>
      <c r="Y12" s="9">
        <v>2</v>
      </c>
      <c r="Z12" s="14">
        <v>1</v>
      </c>
      <c r="AA12" s="15">
        <v>13.3</v>
      </c>
      <c r="AB12" s="16" t="s">
        <v>490</v>
      </c>
      <c r="AC12" s="16" t="s">
        <v>491</v>
      </c>
      <c r="AD12" s="9">
        <v>2</v>
      </c>
      <c r="AE12" s="9">
        <v>2</v>
      </c>
      <c r="AF12" s="9">
        <v>1</v>
      </c>
      <c r="AG12" s="9">
        <v>1</v>
      </c>
      <c r="AH12" s="9">
        <v>1</v>
      </c>
      <c r="AI12" s="9">
        <v>0</v>
      </c>
      <c r="AJ12" s="12">
        <v>43144</v>
      </c>
      <c r="AK12" s="9">
        <v>2</v>
      </c>
      <c r="AL12" s="12">
        <v>43565</v>
      </c>
      <c r="AM12" s="9">
        <v>3</v>
      </c>
      <c r="AN12" s="12">
        <v>43196</v>
      </c>
      <c r="AO12" s="12">
        <v>43578</v>
      </c>
      <c r="AP12" s="12">
        <v>43578</v>
      </c>
      <c r="AQ12" s="9">
        <v>1</v>
      </c>
      <c r="AR12" s="9">
        <f t="shared" si="4"/>
        <v>1</v>
      </c>
      <c r="AS12" s="9">
        <v>1</v>
      </c>
      <c r="AT12" s="9">
        <v>2</v>
      </c>
      <c r="AU12" s="9">
        <v>1</v>
      </c>
      <c r="AV12" s="9">
        <f t="shared" si="5"/>
        <v>0</v>
      </c>
      <c r="AW12" s="12">
        <v>44987</v>
      </c>
      <c r="AX12" s="9">
        <v>4120</v>
      </c>
      <c r="AY12" s="9">
        <v>2040</v>
      </c>
      <c r="AZ12" s="9">
        <v>1500</v>
      </c>
      <c r="BA12" s="9">
        <v>2040</v>
      </c>
      <c r="BB12" s="9">
        <v>1500.0001220703125</v>
      </c>
      <c r="BC12" s="9">
        <v>138000</v>
      </c>
      <c r="BD12" s="9">
        <v>460</v>
      </c>
      <c r="BE12" s="9">
        <v>110</v>
      </c>
      <c r="BF12" s="9">
        <v>207</v>
      </c>
      <c r="BG12" s="9">
        <v>4450</v>
      </c>
      <c r="BH12" s="9">
        <v>2170</v>
      </c>
      <c r="BI12" s="9">
        <v>1430</v>
      </c>
      <c r="BJ12" s="9">
        <v>185000</v>
      </c>
      <c r="BK12" s="9">
        <v>640</v>
      </c>
      <c r="BL12" s="9">
        <v>180</v>
      </c>
      <c r="BM12" s="9"/>
      <c r="BN12" s="9">
        <v>6030</v>
      </c>
      <c r="BO12" s="9">
        <v>3140</v>
      </c>
      <c r="BP12" s="9">
        <v>1620</v>
      </c>
      <c r="BQ12" s="9">
        <v>186000</v>
      </c>
      <c r="BR12" s="9">
        <v>810</v>
      </c>
      <c r="BS12" s="9">
        <v>410</v>
      </c>
      <c r="BT12" s="9"/>
      <c r="BU12" s="9">
        <v>6380</v>
      </c>
      <c r="BV12" s="9">
        <v>3230</v>
      </c>
      <c r="BW12" s="9">
        <v>1820</v>
      </c>
      <c r="BX12" s="9">
        <v>197000</v>
      </c>
      <c r="BY12" s="9">
        <v>810</v>
      </c>
      <c r="BZ12" s="10" t="s">
        <v>528</v>
      </c>
      <c r="CA12" s="9">
        <v>480</v>
      </c>
      <c r="CB12" s="9"/>
      <c r="CC12" s="10">
        <f t="shared" si="6"/>
        <v>1.3599998893229257</v>
      </c>
      <c r="CD12" s="10">
        <f t="shared" si="7"/>
        <v>91.999992513021439</v>
      </c>
      <c r="CE12" s="10">
        <f t="shared" si="17"/>
        <v>187679.98472656374</v>
      </c>
      <c r="CF12" s="10">
        <f t="shared" si="9"/>
        <v>1</v>
      </c>
      <c r="CG12" s="10">
        <f t="shared" si="0"/>
        <v>0</v>
      </c>
      <c r="CH12" s="10">
        <f t="shared" si="1"/>
        <v>14</v>
      </c>
      <c r="CI12" s="9">
        <f t="shared" si="10"/>
        <v>0</v>
      </c>
      <c r="CJ12" s="10">
        <f t="shared" si="2"/>
        <v>61</v>
      </c>
      <c r="CK12" s="10" t="b">
        <f t="shared" si="11"/>
        <v>1</v>
      </c>
      <c r="CL12" s="10" t="b">
        <f t="shared" si="12"/>
        <v>1</v>
      </c>
      <c r="CM12" s="10" t="b">
        <f t="shared" si="13"/>
        <v>1</v>
      </c>
      <c r="CN12" s="9">
        <f t="shared" si="14"/>
        <v>1</v>
      </c>
      <c r="CO12" s="10">
        <f t="shared" ref="CO12:CO17" si="18">(YEAR(AO12)-YEAR(AJ12))*12+MONTH(AO12)-MONTH(AJ12)</f>
        <v>14</v>
      </c>
      <c r="CP12" s="10" t="b">
        <f t="shared" si="15"/>
        <v>1</v>
      </c>
      <c r="CQ12" s="10" t="b">
        <f t="shared" si="16"/>
        <v>1</v>
      </c>
      <c r="CR12" s="10" cm="1">
        <f t="array" ref="CR12">_xlfn.IFS(AND($CI12=0, CK12=FALSE), NA(), AND($CI12=1, CK12=FALSE), 0, CK12=TRUE, 1)</f>
        <v>1</v>
      </c>
      <c r="CS12" s="10" cm="1">
        <f t="array" ref="CS12">_xlfn.IFS(AND($CI12=0, CL12=FALSE), NA(), AND($CI12=1, CL12=FALSE), 0, CL12=TRUE, 1)</f>
        <v>1</v>
      </c>
      <c r="CT12" s="10" cm="1">
        <f t="array" ref="CT12">_xlfn.IFS(AND($CI12=0, CM12=FALSE), NA(), AND($CI12=1, CM12=FALSE), 0, CM12=TRUE, 1)</f>
        <v>1</v>
      </c>
      <c r="CU12" s="10" cm="1">
        <f t="array" ref="CU12">_xlfn.IFS(AND($CN12=0, CP12=FALSE), NA(), AND($CN12=1, CP12=FALSE), 0, CP12=TRUE, 1)</f>
        <v>1</v>
      </c>
      <c r="CV12" s="10" cm="1">
        <f t="array" ref="CV12">_xlfn.IFS(AND($CN12=0, CQ12=FALSE), NA(), AND($CN12=1, CQ12=FALSE), 0, CQ12=TRUE, 1)</f>
        <v>1</v>
      </c>
    </row>
    <row r="13" spans="1:100" ht="15.75" x14ac:dyDescent="0.25">
      <c r="A13" s="8">
        <v>12</v>
      </c>
      <c r="B13" s="9">
        <v>533</v>
      </c>
      <c r="C13" s="10" t="s">
        <v>34</v>
      </c>
      <c r="D13" s="11" t="s">
        <v>58</v>
      </c>
      <c r="E13" s="12">
        <v>18439</v>
      </c>
      <c r="F13" s="13">
        <v>1</v>
      </c>
      <c r="G13" s="9">
        <v>45.522243499755859</v>
      </c>
      <c r="H13" s="12">
        <v>35066</v>
      </c>
      <c r="I13" s="9">
        <v>1</v>
      </c>
      <c r="J13" s="12">
        <v>35066</v>
      </c>
      <c r="K13" s="9">
        <v>0</v>
      </c>
      <c r="L13" s="9">
        <v>1</v>
      </c>
      <c r="M13" s="10" t="s">
        <v>401</v>
      </c>
      <c r="N13" s="9">
        <v>1</v>
      </c>
      <c r="O13" s="10" t="s">
        <v>401</v>
      </c>
      <c r="P13" s="9">
        <v>1</v>
      </c>
      <c r="Q13" s="10" t="s">
        <v>401</v>
      </c>
      <c r="R13" s="12">
        <v>41815</v>
      </c>
      <c r="S13" s="10" t="s">
        <v>145</v>
      </c>
      <c r="T13" s="9"/>
      <c r="U13" s="10" t="s">
        <v>401</v>
      </c>
      <c r="V13" s="10" t="s">
        <v>401</v>
      </c>
      <c r="W13" s="9"/>
      <c r="X13" s="9"/>
      <c r="Y13" s="9">
        <v>2</v>
      </c>
      <c r="Z13" s="14">
        <v>1</v>
      </c>
      <c r="AA13" s="17">
        <v>13.3</v>
      </c>
      <c r="AB13" s="18">
        <v>95</v>
      </c>
      <c r="AC13" s="18">
        <v>12</v>
      </c>
      <c r="AD13" s="9">
        <v>1</v>
      </c>
      <c r="AE13" s="9">
        <v>1</v>
      </c>
      <c r="AF13" s="9">
        <v>1</v>
      </c>
      <c r="AG13" s="9">
        <v>1</v>
      </c>
      <c r="AH13" s="9">
        <v>1</v>
      </c>
      <c r="AI13" s="9">
        <v>1</v>
      </c>
      <c r="AJ13" s="12">
        <v>43033</v>
      </c>
      <c r="AK13" s="9">
        <v>2</v>
      </c>
      <c r="AL13" s="12">
        <v>43217</v>
      </c>
      <c r="AM13" s="9">
        <v>3</v>
      </c>
      <c r="AN13" s="12">
        <v>43122</v>
      </c>
      <c r="AO13" s="12">
        <v>43231</v>
      </c>
      <c r="AP13" s="12">
        <v>43231</v>
      </c>
      <c r="AQ13" s="9">
        <v>1</v>
      </c>
      <c r="AR13" s="9">
        <f t="shared" si="4"/>
        <v>1</v>
      </c>
      <c r="AS13" s="9">
        <v>1</v>
      </c>
      <c r="AT13" s="9">
        <v>2</v>
      </c>
      <c r="AU13" s="9">
        <v>2</v>
      </c>
      <c r="AV13" s="9">
        <f t="shared" si="5"/>
        <v>1</v>
      </c>
      <c r="AW13" s="12">
        <v>43602</v>
      </c>
      <c r="AX13" s="9">
        <v>4880</v>
      </c>
      <c r="AY13" s="9">
        <v>3260</v>
      </c>
      <c r="AZ13" s="9">
        <v>800</v>
      </c>
      <c r="BA13" s="9">
        <v>3260</v>
      </c>
      <c r="BB13" s="9">
        <v>800.00006103515625</v>
      </c>
      <c r="BC13" s="9">
        <v>216000</v>
      </c>
      <c r="BD13" s="9">
        <v>530</v>
      </c>
      <c r="BE13" s="9">
        <v>200</v>
      </c>
      <c r="BF13" s="9">
        <v>322</v>
      </c>
      <c r="BG13" s="9">
        <v>5050</v>
      </c>
      <c r="BH13" s="9">
        <v>3630</v>
      </c>
      <c r="BI13" s="9">
        <v>590</v>
      </c>
      <c r="BJ13" s="9">
        <v>219000</v>
      </c>
      <c r="BK13" s="9">
        <v>560</v>
      </c>
      <c r="BL13" s="9">
        <v>190</v>
      </c>
      <c r="BM13" s="9"/>
      <c r="BN13" s="9">
        <v>5700</v>
      </c>
      <c r="BO13" s="9">
        <v>4220</v>
      </c>
      <c r="BP13" s="9">
        <v>670</v>
      </c>
      <c r="BQ13" s="9">
        <v>231000</v>
      </c>
      <c r="BR13" s="9">
        <v>510</v>
      </c>
      <c r="BS13" s="9">
        <v>210</v>
      </c>
      <c r="BT13" s="9">
        <v>165</v>
      </c>
      <c r="BU13" s="9">
        <v>4350</v>
      </c>
      <c r="BV13" s="9">
        <v>2790</v>
      </c>
      <c r="BW13" s="9">
        <v>740</v>
      </c>
      <c r="BX13" s="9">
        <v>223000</v>
      </c>
      <c r="BY13" s="9">
        <v>540</v>
      </c>
      <c r="BZ13" s="10" t="s">
        <v>524</v>
      </c>
      <c r="CA13" s="9">
        <v>200</v>
      </c>
      <c r="CB13" s="9">
        <v>161</v>
      </c>
      <c r="CC13" s="10">
        <f t="shared" si="6"/>
        <v>4.0749996891021967</v>
      </c>
      <c r="CD13" s="10">
        <f t="shared" si="7"/>
        <v>269.99997940063633</v>
      </c>
      <c r="CE13" s="10">
        <f t="shared" si="17"/>
        <v>880199.93284607446</v>
      </c>
      <c r="CF13" s="10">
        <f t="shared" si="9"/>
        <v>1</v>
      </c>
      <c r="CG13" s="10">
        <f t="shared" si="0"/>
        <v>0</v>
      </c>
      <c r="CH13" s="10">
        <f t="shared" si="1"/>
        <v>6</v>
      </c>
      <c r="CI13" s="9">
        <f t="shared" si="10"/>
        <v>1</v>
      </c>
      <c r="CJ13" s="10">
        <f t="shared" si="2"/>
        <v>19</v>
      </c>
      <c r="CK13" s="10" t="b">
        <f t="shared" si="11"/>
        <v>1</v>
      </c>
      <c r="CL13" s="10" t="b">
        <f t="shared" si="12"/>
        <v>1</v>
      </c>
      <c r="CM13" s="10" t="b">
        <f t="shared" si="13"/>
        <v>0</v>
      </c>
      <c r="CN13" s="9">
        <f t="shared" si="14"/>
        <v>1</v>
      </c>
      <c r="CO13" s="10">
        <f t="shared" si="18"/>
        <v>7</v>
      </c>
      <c r="CP13" s="10" t="b">
        <f t="shared" si="15"/>
        <v>1</v>
      </c>
      <c r="CQ13" s="10" t="b">
        <f t="shared" si="16"/>
        <v>0</v>
      </c>
      <c r="CR13" s="10" cm="1">
        <f t="array" ref="CR13">_xlfn.IFS(AND($CI13=0, CK13=FALSE), NA(), AND($CI13=1, CK13=FALSE), 0, CK13=TRUE, 1)</f>
        <v>1</v>
      </c>
      <c r="CS13" s="10" cm="1">
        <f t="array" ref="CS13">_xlfn.IFS(AND($CI13=0, CL13=FALSE), NA(), AND($CI13=1, CL13=FALSE), 0, CL13=TRUE, 1)</f>
        <v>1</v>
      </c>
      <c r="CT13" s="10" cm="1">
        <f t="array" ref="CT13">_xlfn.IFS(AND($CI13=0, CM13=FALSE), NA(), AND($CI13=1, CM13=FALSE), 0, CM13=TRUE, 1)</f>
        <v>0</v>
      </c>
      <c r="CU13" s="10" cm="1">
        <f t="array" ref="CU13">_xlfn.IFS(AND($CN13=0, CP13=FALSE), NA(), AND($CN13=1, CP13=FALSE), 0, CP13=TRUE, 1)</f>
        <v>1</v>
      </c>
      <c r="CV13" s="10" cm="1">
        <f t="array" ref="CV13">_xlfn.IFS(AND($CN13=0, CQ13=FALSE), NA(), AND($CN13=1, CQ13=FALSE), 0, CQ13=TRUE, 1)</f>
        <v>0</v>
      </c>
    </row>
    <row r="14" spans="1:100" ht="15.75" x14ac:dyDescent="0.25">
      <c r="A14" s="8">
        <v>13</v>
      </c>
      <c r="B14" s="9">
        <v>287</v>
      </c>
      <c r="C14" s="10" t="s">
        <v>22</v>
      </c>
      <c r="D14" s="11" t="s">
        <v>142</v>
      </c>
      <c r="E14" s="12">
        <v>18319</v>
      </c>
      <c r="F14" s="13">
        <v>1</v>
      </c>
      <c r="G14" s="9">
        <v>46.036960601806641</v>
      </c>
      <c r="H14" s="12">
        <v>35134</v>
      </c>
      <c r="I14" s="9">
        <v>1</v>
      </c>
      <c r="J14" s="12">
        <v>35134</v>
      </c>
      <c r="K14" s="9">
        <v>0</v>
      </c>
      <c r="L14" s="9">
        <v>1</v>
      </c>
      <c r="M14" s="10" t="s">
        <v>401</v>
      </c>
      <c r="N14" s="9">
        <v>1</v>
      </c>
      <c r="O14" s="10" t="s">
        <v>401</v>
      </c>
      <c r="P14" s="9">
        <v>1</v>
      </c>
      <c r="Q14" s="10" t="s">
        <v>401</v>
      </c>
      <c r="R14" s="12">
        <v>41868</v>
      </c>
      <c r="S14" s="10" t="s">
        <v>145</v>
      </c>
      <c r="T14" s="9"/>
      <c r="U14" s="10" t="s">
        <v>401</v>
      </c>
      <c r="V14" s="10" t="s">
        <v>401</v>
      </c>
      <c r="W14" s="9"/>
      <c r="X14" s="9"/>
      <c r="Y14" s="9">
        <v>2</v>
      </c>
      <c r="Z14" s="14">
        <v>1</v>
      </c>
      <c r="AB14" s="9"/>
      <c r="AC14" s="9"/>
      <c r="AD14" s="9">
        <v>1</v>
      </c>
      <c r="AE14" s="9">
        <v>1</v>
      </c>
      <c r="AF14" s="9">
        <v>1</v>
      </c>
      <c r="AG14" s="9">
        <v>0</v>
      </c>
      <c r="AH14" s="9">
        <v>1</v>
      </c>
      <c r="AI14" s="9">
        <v>0</v>
      </c>
      <c r="AJ14" s="12">
        <v>43231</v>
      </c>
      <c r="AK14" s="9">
        <v>2</v>
      </c>
      <c r="AL14" s="12">
        <v>43884</v>
      </c>
      <c r="AM14" s="9">
        <v>2</v>
      </c>
      <c r="AN14" s="12">
        <v>43342</v>
      </c>
      <c r="AO14" s="12">
        <v>43892</v>
      </c>
      <c r="AP14" s="12">
        <v>43892</v>
      </c>
      <c r="AQ14" s="9">
        <v>1</v>
      </c>
      <c r="AR14" s="9">
        <f t="shared" si="4"/>
        <v>1</v>
      </c>
      <c r="AS14" s="9">
        <v>1</v>
      </c>
      <c r="AT14" s="9">
        <v>2</v>
      </c>
      <c r="AU14" s="9">
        <v>2</v>
      </c>
      <c r="AV14" s="9">
        <f t="shared" si="5"/>
        <v>1</v>
      </c>
      <c r="AW14" s="12">
        <v>43930</v>
      </c>
      <c r="AX14" s="9">
        <v>6930</v>
      </c>
      <c r="AY14" s="9">
        <v>3400</v>
      </c>
      <c r="AZ14" s="9">
        <v>2150</v>
      </c>
      <c r="BA14" s="9">
        <v>3400</v>
      </c>
      <c r="BB14" s="9">
        <v>2149.999755859375</v>
      </c>
      <c r="BC14" s="9">
        <v>200000</v>
      </c>
      <c r="BD14" s="9">
        <v>480</v>
      </c>
      <c r="BE14" s="9">
        <v>320</v>
      </c>
      <c r="BF14" s="9"/>
      <c r="BG14" s="9">
        <v>6780</v>
      </c>
      <c r="BH14" s="9">
        <v>3190</v>
      </c>
      <c r="BI14" s="9">
        <v>1880</v>
      </c>
      <c r="BJ14" s="9">
        <v>212000</v>
      </c>
      <c r="BK14" s="9">
        <v>410</v>
      </c>
      <c r="BL14" s="9">
        <v>270</v>
      </c>
      <c r="BM14" s="9"/>
      <c r="BN14" s="9">
        <v>6910</v>
      </c>
      <c r="BO14" s="9">
        <v>3350</v>
      </c>
      <c r="BP14" s="9">
        <v>1900</v>
      </c>
      <c r="BQ14" s="9">
        <v>196000</v>
      </c>
      <c r="BR14" s="9">
        <v>470</v>
      </c>
      <c r="BS14" s="9">
        <v>250</v>
      </c>
      <c r="BT14" s="9"/>
      <c r="BU14" s="9">
        <v>5950</v>
      </c>
      <c r="BV14" s="9">
        <v>3050</v>
      </c>
      <c r="BW14" s="9">
        <v>1800</v>
      </c>
      <c r="BX14" s="9">
        <v>198000</v>
      </c>
      <c r="BY14" s="9">
        <v>510</v>
      </c>
      <c r="BZ14" s="10" t="s">
        <v>529</v>
      </c>
      <c r="CA14" s="9">
        <v>310</v>
      </c>
      <c r="CB14" s="9"/>
      <c r="CC14" s="10">
        <f t="shared" si="6"/>
        <v>1.5813955284106478</v>
      </c>
      <c r="CD14" s="10">
        <f t="shared" si="7"/>
        <v>93.023266377096931</v>
      </c>
      <c r="CE14" s="10">
        <f t="shared" si="17"/>
        <v>316279.10568212956</v>
      </c>
      <c r="CF14" s="10">
        <f t="shared" si="9"/>
        <v>1</v>
      </c>
      <c r="CG14" s="10">
        <f t="shared" si="0"/>
        <v>1</v>
      </c>
      <c r="CH14" s="10">
        <f t="shared" si="1"/>
        <v>21</v>
      </c>
      <c r="CI14" s="9">
        <f t="shared" si="10"/>
        <v>1</v>
      </c>
      <c r="CJ14" s="10">
        <f t="shared" si="2"/>
        <v>23</v>
      </c>
      <c r="CK14" s="10" t="b">
        <f t="shared" si="11"/>
        <v>1</v>
      </c>
      <c r="CL14" s="10" t="b">
        <f t="shared" si="12"/>
        <v>1</v>
      </c>
      <c r="CM14" s="10" t="b">
        <f t="shared" si="13"/>
        <v>0</v>
      </c>
      <c r="CN14" s="9">
        <f t="shared" si="14"/>
        <v>1</v>
      </c>
      <c r="CO14" s="10">
        <f t="shared" si="18"/>
        <v>22</v>
      </c>
      <c r="CP14" s="10" t="b">
        <f t="shared" si="15"/>
        <v>1</v>
      </c>
      <c r="CQ14" s="10" t="b">
        <f t="shared" si="16"/>
        <v>1</v>
      </c>
      <c r="CR14" s="10" cm="1">
        <f t="array" ref="CR14">_xlfn.IFS(AND($CI14=0, CK14=FALSE), NA(), AND($CI14=1, CK14=FALSE), 0, CK14=TRUE, 1)</f>
        <v>1</v>
      </c>
      <c r="CS14" s="10" cm="1">
        <f t="array" ref="CS14">_xlfn.IFS(AND($CI14=0, CL14=FALSE), NA(), AND($CI14=1, CL14=FALSE), 0, CL14=TRUE, 1)</f>
        <v>1</v>
      </c>
      <c r="CT14" s="10" cm="1">
        <f t="array" ref="CT14">_xlfn.IFS(AND($CI14=0, CM14=FALSE), NA(), AND($CI14=1, CM14=FALSE), 0, CM14=TRUE, 1)</f>
        <v>0</v>
      </c>
      <c r="CU14" s="10" cm="1">
        <f t="array" ref="CU14">_xlfn.IFS(AND($CN14=0, CP14=FALSE), NA(), AND($CN14=1, CP14=FALSE), 0, CP14=TRUE, 1)</f>
        <v>1</v>
      </c>
      <c r="CV14" s="10" cm="1">
        <f t="array" ref="CV14">_xlfn.IFS(AND($CN14=0, CQ14=FALSE), NA(), AND($CN14=1, CQ14=FALSE), 0, CQ14=TRUE, 1)</f>
        <v>1</v>
      </c>
    </row>
    <row r="15" spans="1:100" ht="15.75" x14ac:dyDescent="0.25">
      <c r="A15" s="8">
        <v>14</v>
      </c>
      <c r="B15" s="9">
        <v>525</v>
      </c>
      <c r="C15" s="10" t="s">
        <v>33</v>
      </c>
      <c r="D15" s="11" t="s">
        <v>130</v>
      </c>
      <c r="E15" s="12">
        <v>20038</v>
      </c>
      <c r="F15" s="13">
        <v>2</v>
      </c>
      <c r="G15" s="9">
        <v>41.497604370117188</v>
      </c>
      <c r="H15" s="12">
        <v>35195</v>
      </c>
      <c r="I15" s="9">
        <v>1</v>
      </c>
      <c r="J15" s="12">
        <v>35221</v>
      </c>
      <c r="K15" s="9">
        <v>0</v>
      </c>
      <c r="L15" s="9">
        <v>4</v>
      </c>
      <c r="M15" s="10" t="s">
        <v>407</v>
      </c>
      <c r="N15" s="9">
        <v>2</v>
      </c>
      <c r="O15" s="10" t="s">
        <v>410</v>
      </c>
      <c r="P15" s="9">
        <v>2</v>
      </c>
      <c r="Q15" s="10" t="s">
        <v>410</v>
      </c>
      <c r="R15" s="12">
        <v>40253</v>
      </c>
      <c r="S15" s="10" t="s">
        <v>145</v>
      </c>
      <c r="T15" s="9">
        <v>6</v>
      </c>
      <c r="U15" s="10" t="s">
        <v>147</v>
      </c>
      <c r="V15" s="10" t="s">
        <v>515</v>
      </c>
      <c r="W15" s="9"/>
      <c r="X15" s="9"/>
      <c r="Y15" s="9">
        <v>5</v>
      </c>
      <c r="Z15" s="14">
        <v>1</v>
      </c>
      <c r="AA15" s="15"/>
      <c r="AB15" s="16"/>
      <c r="AC15" s="16"/>
      <c r="AD15" s="9">
        <v>3</v>
      </c>
      <c r="AE15" s="9">
        <v>3</v>
      </c>
      <c r="AF15" s="9">
        <v>1</v>
      </c>
      <c r="AG15" s="9">
        <v>0</v>
      </c>
      <c r="AH15" s="9">
        <v>1</v>
      </c>
      <c r="AI15" s="9">
        <v>0</v>
      </c>
      <c r="AJ15" s="12">
        <v>42420</v>
      </c>
      <c r="AK15" s="9">
        <v>2</v>
      </c>
      <c r="AL15" s="12">
        <v>42766</v>
      </c>
      <c r="AM15" s="9">
        <v>3</v>
      </c>
      <c r="AN15" s="12">
        <v>42629</v>
      </c>
      <c r="AO15" s="12">
        <v>42773</v>
      </c>
      <c r="AP15" s="12">
        <v>42773</v>
      </c>
      <c r="AQ15" s="9">
        <v>1</v>
      </c>
      <c r="AR15" s="9">
        <f t="shared" si="4"/>
        <v>1</v>
      </c>
      <c r="AS15" s="9">
        <v>1</v>
      </c>
      <c r="AT15" s="9">
        <v>2</v>
      </c>
      <c r="AU15" s="9">
        <v>1</v>
      </c>
      <c r="AV15" s="9">
        <f t="shared" si="5"/>
        <v>0</v>
      </c>
      <c r="AW15" s="12">
        <v>43713</v>
      </c>
      <c r="AX15" s="9"/>
      <c r="AY15" s="9"/>
      <c r="AZ15" s="9"/>
      <c r="BA15" s="9">
        <v>2976.434326171875</v>
      </c>
      <c r="BB15" s="9">
        <v>1845.5130615234375</v>
      </c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10" t="s">
        <v>401</v>
      </c>
      <c r="CA15" s="9"/>
      <c r="CB15" s="9"/>
      <c r="CC15" s="10">
        <f t="shared" si="6"/>
        <v>1.6127950477440038</v>
      </c>
      <c r="CF15" s="10">
        <f t="shared" si="9"/>
        <v>1</v>
      </c>
      <c r="CG15" s="10">
        <f t="shared" si="0"/>
        <v>0</v>
      </c>
      <c r="CH15" s="10">
        <f t="shared" si="1"/>
        <v>11</v>
      </c>
      <c r="CI15" s="9">
        <f t="shared" si="10"/>
        <v>0</v>
      </c>
      <c r="CJ15" s="10">
        <f t="shared" si="2"/>
        <v>43</v>
      </c>
      <c r="CK15" s="10" t="b">
        <f t="shared" si="11"/>
        <v>1</v>
      </c>
      <c r="CL15" s="10" t="b">
        <f t="shared" si="12"/>
        <v>1</v>
      </c>
      <c r="CM15" s="10" t="b">
        <f t="shared" si="13"/>
        <v>1</v>
      </c>
      <c r="CN15" s="9">
        <f t="shared" si="14"/>
        <v>1</v>
      </c>
      <c r="CO15" s="10">
        <f t="shared" si="18"/>
        <v>12</v>
      </c>
      <c r="CP15" s="10" t="b">
        <f t="shared" si="15"/>
        <v>1</v>
      </c>
      <c r="CQ15" s="10" t="b">
        <f t="shared" si="16"/>
        <v>1</v>
      </c>
      <c r="CR15" s="10" cm="1">
        <f t="array" ref="CR15">_xlfn.IFS(AND($CI15=0, CK15=FALSE), NA(), AND($CI15=1, CK15=FALSE), 0, CK15=TRUE, 1)</f>
        <v>1</v>
      </c>
      <c r="CS15" s="10" cm="1">
        <f t="array" ref="CS15">_xlfn.IFS(AND($CI15=0, CL15=FALSE), NA(), AND($CI15=1, CL15=FALSE), 0, CL15=TRUE, 1)</f>
        <v>1</v>
      </c>
      <c r="CT15" s="10" cm="1">
        <f t="array" ref="CT15">_xlfn.IFS(AND($CI15=0, CM15=FALSE), NA(), AND($CI15=1, CM15=FALSE), 0, CM15=TRUE, 1)</f>
        <v>1</v>
      </c>
      <c r="CU15" s="10" cm="1">
        <f t="array" ref="CU15">_xlfn.IFS(AND($CN15=0, CP15=FALSE), NA(), AND($CN15=1, CP15=FALSE), 0, CP15=TRUE, 1)</f>
        <v>1</v>
      </c>
      <c r="CV15" s="10" cm="1">
        <f t="array" ref="CV15">_xlfn.IFS(AND($CN15=0, CQ15=FALSE), NA(), AND($CN15=1, CQ15=FALSE), 0, CQ15=TRUE, 1)</f>
        <v>1</v>
      </c>
    </row>
    <row r="16" spans="1:100" ht="15.75" x14ac:dyDescent="0.25">
      <c r="A16" s="8">
        <v>15</v>
      </c>
      <c r="B16" s="9">
        <v>12</v>
      </c>
      <c r="C16" s="10" t="s">
        <v>3</v>
      </c>
      <c r="D16" s="11" t="s">
        <v>45</v>
      </c>
      <c r="E16" s="12">
        <v>15394</v>
      </c>
      <c r="F16" s="13">
        <v>1</v>
      </c>
      <c r="G16" s="9">
        <v>54.253250122070313</v>
      </c>
      <c r="H16" s="12">
        <v>35210</v>
      </c>
      <c r="I16" s="9">
        <v>1</v>
      </c>
      <c r="J16" s="12">
        <v>35210</v>
      </c>
      <c r="K16" s="9">
        <v>0</v>
      </c>
      <c r="L16" s="9">
        <v>1</v>
      </c>
      <c r="M16" s="10" t="s">
        <v>401</v>
      </c>
      <c r="N16" s="9"/>
      <c r="O16" s="10" t="s">
        <v>401</v>
      </c>
      <c r="P16" s="9"/>
      <c r="Q16" s="10" t="s">
        <v>401</v>
      </c>
      <c r="R16" s="12">
        <v>38367</v>
      </c>
      <c r="S16" s="10" t="s">
        <v>150</v>
      </c>
      <c r="T16" s="9">
        <v>3</v>
      </c>
      <c r="U16" s="10" t="s">
        <v>401</v>
      </c>
      <c r="V16" s="10" t="s">
        <v>401</v>
      </c>
      <c r="W16" s="9"/>
      <c r="X16" s="9"/>
      <c r="Y16" s="9">
        <v>3</v>
      </c>
      <c r="Z16" s="19"/>
      <c r="AA16" s="15">
        <v>11.4</v>
      </c>
      <c r="AB16" s="16">
        <v>90.4</v>
      </c>
      <c r="AC16" s="9"/>
      <c r="AD16" s="9">
        <v>2</v>
      </c>
      <c r="AE16" s="9">
        <v>2</v>
      </c>
      <c r="AF16" s="9">
        <v>1</v>
      </c>
      <c r="AG16" s="9">
        <v>0</v>
      </c>
      <c r="AH16" s="9">
        <v>1</v>
      </c>
      <c r="AI16" s="9">
        <v>0</v>
      </c>
      <c r="AJ16" s="12">
        <v>43488</v>
      </c>
      <c r="AK16" s="9">
        <v>2</v>
      </c>
      <c r="AL16" s="12">
        <v>43572</v>
      </c>
      <c r="AM16" s="9">
        <v>3</v>
      </c>
      <c r="AN16" s="12">
        <v>43538</v>
      </c>
      <c r="AO16" s="12">
        <v>43585</v>
      </c>
      <c r="AP16" s="12">
        <v>43585</v>
      </c>
      <c r="AQ16" s="9">
        <v>1</v>
      </c>
      <c r="AR16" s="9">
        <f t="shared" si="4"/>
        <v>1</v>
      </c>
      <c r="AS16" s="9">
        <v>1</v>
      </c>
      <c r="AT16" s="9">
        <v>2</v>
      </c>
      <c r="AU16" s="9">
        <v>2</v>
      </c>
      <c r="AV16" s="9">
        <f t="shared" si="5"/>
        <v>1</v>
      </c>
      <c r="AW16" s="12">
        <v>44489</v>
      </c>
      <c r="AX16" s="9">
        <v>8740</v>
      </c>
      <c r="AY16" s="9">
        <v>6090</v>
      </c>
      <c r="AZ16" s="9">
        <v>1700</v>
      </c>
      <c r="BA16" s="9">
        <v>6090</v>
      </c>
      <c r="BB16" s="9">
        <v>1700.0001220703125</v>
      </c>
      <c r="BC16" s="9">
        <v>209000</v>
      </c>
      <c r="BD16" s="9">
        <v>820</v>
      </c>
      <c r="BE16" s="9">
        <v>90</v>
      </c>
      <c r="BF16" s="9"/>
      <c r="BG16" s="9">
        <v>9360</v>
      </c>
      <c r="BH16" s="9">
        <v>7060</v>
      </c>
      <c r="BI16" s="9">
        <v>1320</v>
      </c>
      <c r="BJ16" s="9">
        <v>175000</v>
      </c>
      <c r="BK16" s="9">
        <v>820</v>
      </c>
      <c r="BL16" s="9">
        <v>120</v>
      </c>
      <c r="BM16" s="9"/>
      <c r="BN16" s="9">
        <v>7760</v>
      </c>
      <c r="BO16" s="9">
        <v>5380</v>
      </c>
      <c r="BP16" s="9">
        <v>1710</v>
      </c>
      <c r="BQ16" s="9">
        <v>191000</v>
      </c>
      <c r="BR16" s="9">
        <v>490</v>
      </c>
      <c r="BS16" s="9">
        <v>160</v>
      </c>
      <c r="BT16" s="9"/>
      <c r="BU16" s="9">
        <v>6750</v>
      </c>
      <c r="BV16" s="9">
        <v>4740</v>
      </c>
      <c r="BW16" s="9">
        <v>1250</v>
      </c>
      <c r="BX16" s="9">
        <v>154000</v>
      </c>
      <c r="BY16" s="9">
        <v>590</v>
      </c>
      <c r="BZ16" s="10" t="s">
        <v>530</v>
      </c>
      <c r="CA16" s="9">
        <v>140</v>
      </c>
      <c r="CB16" s="9"/>
      <c r="CC16" s="10">
        <f t="shared" si="6"/>
        <v>3.5823526839418167</v>
      </c>
      <c r="CD16" s="10">
        <f t="shared" si="7"/>
        <v>122.94116764266661</v>
      </c>
      <c r="CE16" s="10">
        <f t="shared" ref="CE16:CE29" si="19">BC16*CC16</f>
        <v>748711.71094383975</v>
      </c>
      <c r="CF16" s="10">
        <f t="shared" si="9"/>
        <v>1</v>
      </c>
      <c r="CG16" s="10">
        <f t="shared" si="0"/>
        <v>0</v>
      </c>
      <c r="CH16" s="10">
        <f t="shared" si="1"/>
        <v>3</v>
      </c>
      <c r="CI16" s="9">
        <f t="shared" si="10"/>
        <v>1</v>
      </c>
      <c r="CJ16" s="10">
        <f t="shared" si="2"/>
        <v>33</v>
      </c>
      <c r="CK16" s="10" t="b">
        <f t="shared" si="11"/>
        <v>1</v>
      </c>
      <c r="CL16" s="10" t="b">
        <f t="shared" si="12"/>
        <v>1</v>
      </c>
      <c r="CM16" s="10" t="b">
        <f t="shared" si="13"/>
        <v>1</v>
      </c>
      <c r="CN16" s="9">
        <f t="shared" si="14"/>
        <v>1</v>
      </c>
      <c r="CO16" s="10">
        <f t="shared" si="18"/>
        <v>3</v>
      </c>
      <c r="CP16" s="10" t="b">
        <f t="shared" si="15"/>
        <v>1</v>
      </c>
      <c r="CQ16" s="10" t="b">
        <f t="shared" si="16"/>
        <v>0</v>
      </c>
      <c r="CR16" s="10" cm="1">
        <f t="array" ref="CR16">_xlfn.IFS(AND($CI16=0, CK16=FALSE), NA(), AND($CI16=1, CK16=FALSE), 0, CK16=TRUE, 1)</f>
        <v>1</v>
      </c>
      <c r="CS16" s="10" cm="1">
        <f t="array" ref="CS16">_xlfn.IFS(AND($CI16=0, CL16=FALSE), NA(), AND($CI16=1, CL16=FALSE), 0, CL16=TRUE, 1)</f>
        <v>1</v>
      </c>
      <c r="CT16" s="10" cm="1">
        <f t="array" ref="CT16">_xlfn.IFS(AND($CI16=0, CM16=FALSE), NA(), AND($CI16=1, CM16=FALSE), 0, CM16=TRUE, 1)</f>
        <v>1</v>
      </c>
      <c r="CU16" s="10" cm="1">
        <f t="array" ref="CU16">_xlfn.IFS(AND($CN16=0, CP16=FALSE), NA(), AND($CN16=1, CP16=FALSE), 0, CP16=TRUE, 1)</f>
        <v>1</v>
      </c>
      <c r="CV16" s="10" cm="1">
        <f t="array" ref="CV16">_xlfn.IFS(AND($CN16=0, CQ16=FALSE), NA(), AND($CN16=1, CQ16=FALSE), 0, CQ16=TRUE, 1)</f>
        <v>0</v>
      </c>
    </row>
    <row r="17" spans="1:100" ht="15.75" x14ac:dyDescent="0.25">
      <c r="A17" s="8">
        <v>16</v>
      </c>
      <c r="B17" s="9">
        <v>46</v>
      </c>
      <c r="C17" s="10" t="s">
        <v>7</v>
      </c>
      <c r="D17" s="11" t="s">
        <v>80</v>
      </c>
      <c r="E17" s="12">
        <v>17653</v>
      </c>
      <c r="F17" s="13">
        <v>1</v>
      </c>
      <c r="G17" s="9">
        <v>49.125255584716797</v>
      </c>
      <c r="H17" s="12">
        <v>35596</v>
      </c>
      <c r="I17" s="9">
        <v>1</v>
      </c>
      <c r="J17" s="12"/>
      <c r="K17" s="9">
        <v>0</v>
      </c>
      <c r="L17" s="9">
        <v>1</v>
      </c>
      <c r="M17" s="10" t="s">
        <v>401</v>
      </c>
      <c r="N17" s="9">
        <v>1</v>
      </c>
      <c r="O17" s="10" t="s">
        <v>401</v>
      </c>
      <c r="P17" s="9">
        <v>1</v>
      </c>
      <c r="Q17" s="10" t="s">
        <v>401</v>
      </c>
      <c r="R17" s="12">
        <v>39480</v>
      </c>
      <c r="S17" s="10" t="s">
        <v>145</v>
      </c>
      <c r="T17" s="9">
        <v>5</v>
      </c>
      <c r="U17" s="10" t="s">
        <v>147</v>
      </c>
      <c r="V17" s="10" t="s">
        <v>145</v>
      </c>
      <c r="W17" s="9"/>
      <c r="X17" s="9"/>
      <c r="Y17" s="9">
        <v>5</v>
      </c>
      <c r="Z17" s="14">
        <v>1</v>
      </c>
      <c r="AA17" s="21">
        <v>14.1</v>
      </c>
      <c r="AB17" s="22">
        <v>101</v>
      </c>
      <c r="AC17" s="22">
        <v>14.4</v>
      </c>
      <c r="AD17" s="9">
        <v>1</v>
      </c>
      <c r="AE17" s="9">
        <v>1</v>
      </c>
      <c r="AF17" s="9">
        <v>1</v>
      </c>
      <c r="AG17" s="9">
        <v>0</v>
      </c>
      <c r="AH17" s="9">
        <v>1</v>
      </c>
      <c r="AI17" s="9">
        <v>0</v>
      </c>
      <c r="AJ17" s="12">
        <v>42426</v>
      </c>
      <c r="AK17" s="9">
        <v>2</v>
      </c>
      <c r="AL17" s="12">
        <v>42753</v>
      </c>
      <c r="AM17" s="9">
        <v>3</v>
      </c>
      <c r="AN17" s="12">
        <v>42515</v>
      </c>
      <c r="AO17" s="12">
        <v>42746</v>
      </c>
      <c r="AP17" s="12">
        <v>42746</v>
      </c>
      <c r="AQ17" s="9">
        <v>1</v>
      </c>
      <c r="AR17" s="9">
        <f t="shared" si="4"/>
        <v>1</v>
      </c>
      <c r="AS17" s="9">
        <v>1</v>
      </c>
      <c r="AT17" s="9">
        <v>2</v>
      </c>
      <c r="AU17" s="9">
        <v>1</v>
      </c>
      <c r="AV17" s="9">
        <f t="shared" si="5"/>
        <v>0</v>
      </c>
      <c r="AW17" s="12">
        <v>44860</v>
      </c>
      <c r="AX17" s="9">
        <v>8000</v>
      </c>
      <c r="AY17" s="9">
        <v>3600</v>
      </c>
      <c r="AZ17" s="9">
        <v>3050</v>
      </c>
      <c r="BA17" s="9">
        <v>3600</v>
      </c>
      <c r="BB17" s="9">
        <v>3049.999755859375</v>
      </c>
      <c r="BC17" s="9">
        <v>240000</v>
      </c>
      <c r="BD17" s="9">
        <v>980</v>
      </c>
      <c r="BE17" s="9">
        <v>290</v>
      </c>
      <c r="BF17" s="9"/>
      <c r="BG17" s="9">
        <v>8000</v>
      </c>
      <c r="BH17" s="9">
        <v>3920</v>
      </c>
      <c r="BI17" s="9">
        <v>2650</v>
      </c>
      <c r="BJ17" s="9">
        <v>259000</v>
      </c>
      <c r="BK17" s="9">
        <v>1030</v>
      </c>
      <c r="BL17" s="9">
        <v>30</v>
      </c>
      <c r="BM17" s="9"/>
      <c r="BN17" s="9">
        <v>9140</v>
      </c>
      <c r="BO17" s="9">
        <v>3940</v>
      </c>
      <c r="BP17" s="9">
        <v>3630</v>
      </c>
      <c r="BQ17" s="9">
        <v>239000</v>
      </c>
      <c r="BR17" s="9">
        <v>1120</v>
      </c>
      <c r="BS17" s="9">
        <v>36</v>
      </c>
      <c r="BT17" s="9"/>
      <c r="BU17" s="9">
        <v>6780</v>
      </c>
      <c r="BV17" s="9">
        <v>3410</v>
      </c>
      <c r="BW17" s="9">
        <v>2160</v>
      </c>
      <c r="BX17" s="9">
        <v>229000</v>
      </c>
      <c r="BY17" s="9">
        <v>860</v>
      </c>
      <c r="BZ17" s="10" t="s">
        <v>531</v>
      </c>
      <c r="CA17" s="9">
        <v>270</v>
      </c>
      <c r="CB17" s="9"/>
      <c r="CC17" s="10">
        <f t="shared" si="6"/>
        <v>1.180327963333117</v>
      </c>
      <c r="CD17" s="10">
        <f t="shared" si="7"/>
        <v>78.688530888874467</v>
      </c>
      <c r="CE17" s="10">
        <f t="shared" si="19"/>
        <v>283278.7111999481</v>
      </c>
      <c r="CF17" s="10">
        <f t="shared" si="9"/>
        <v>1</v>
      </c>
      <c r="CG17" s="10">
        <f t="shared" si="0"/>
        <v>0</v>
      </c>
      <c r="CH17" s="10">
        <f t="shared" si="1"/>
        <v>11</v>
      </c>
      <c r="CI17" s="9">
        <f t="shared" si="10"/>
        <v>0</v>
      </c>
      <c r="CJ17" s="10">
        <f t="shared" si="2"/>
        <v>80</v>
      </c>
      <c r="CK17" s="10" t="b">
        <f t="shared" si="11"/>
        <v>1</v>
      </c>
      <c r="CL17" s="10" t="b">
        <f t="shared" si="12"/>
        <v>1</v>
      </c>
      <c r="CM17" s="10" t="b">
        <f t="shared" si="13"/>
        <v>1</v>
      </c>
      <c r="CN17" s="9">
        <f t="shared" si="14"/>
        <v>1</v>
      </c>
      <c r="CO17" s="10">
        <f t="shared" si="18"/>
        <v>11</v>
      </c>
      <c r="CP17" s="10" t="b">
        <f t="shared" si="15"/>
        <v>1</v>
      </c>
      <c r="CQ17" s="10" t="b">
        <f t="shared" si="16"/>
        <v>1</v>
      </c>
      <c r="CR17" s="10" cm="1">
        <f t="array" ref="CR17">_xlfn.IFS(AND($CI17=0, CK17=FALSE), NA(), AND($CI17=1, CK17=FALSE), 0, CK17=TRUE, 1)</f>
        <v>1</v>
      </c>
      <c r="CS17" s="10" cm="1">
        <f t="array" ref="CS17">_xlfn.IFS(AND($CI17=0, CL17=FALSE), NA(), AND($CI17=1, CL17=FALSE), 0, CL17=TRUE, 1)</f>
        <v>1</v>
      </c>
      <c r="CT17" s="10" cm="1">
        <f t="array" ref="CT17">_xlfn.IFS(AND($CI17=0, CM17=FALSE), NA(), AND($CI17=1, CM17=FALSE), 0, CM17=TRUE, 1)</f>
        <v>1</v>
      </c>
      <c r="CU17" s="10" cm="1">
        <f t="array" ref="CU17">_xlfn.IFS(AND($CN17=0, CP17=FALSE), NA(), AND($CN17=1, CP17=FALSE), 0, CP17=TRUE, 1)</f>
        <v>1</v>
      </c>
      <c r="CV17" s="10" cm="1">
        <f t="array" ref="CV17">_xlfn.IFS(AND($CN17=0, CQ17=FALSE), NA(), AND($CN17=1, CQ17=FALSE), 0, CQ17=TRUE, 1)</f>
        <v>1</v>
      </c>
    </row>
    <row r="18" spans="1:100" ht="15.75" x14ac:dyDescent="0.25">
      <c r="A18" s="8">
        <v>17</v>
      </c>
      <c r="B18" s="9">
        <v>448</v>
      </c>
      <c r="C18" s="10" t="s">
        <v>30</v>
      </c>
      <c r="D18" s="11" t="s">
        <v>282</v>
      </c>
      <c r="E18" s="12">
        <v>15359</v>
      </c>
      <c r="F18" s="13">
        <v>1</v>
      </c>
      <c r="G18" s="9">
        <v>55.405887603759766</v>
      </c>
      <c r="H18" s="12">
        <v>35596</v>
      </c>
      <c r="I18" s="9">
        <v>1</v>
      </c>
      <c r="J18" s="12"/>
      <c r="K18" s="9">
        <v>0</v>
      </c>
      <c r="L18" s="9">
        <v>1</v>
      </c>
      <c r="M18" s="10" t="s">
        <v>401</v>
      </c>
      <c r="N18" s="9">
        <v>1</v>
      </c>
      <c r="O18" s="10" t="s">
        <v>401</v>
      </c>
      <c r="P18" s="9">
        <v>1</v>
      </c>
      <c r="Q18" s="10" t="s">
        <v>401</v>
      </c>
      <c r="R18" s="12">
        <v>38153</v>
      </c>
      <c r="S18" s="10" t="s">
        <v>513</v>
      </c>
      <c r="T18" s="9">
        <v>1</v>
      </c>
      <c r="U18" s="10" t="s">
        <v>401</v>
      </c>
      <c r="V18" s="10" t="s">
        <v>401</v>
      </c>
      <c r="W18" s="9"/>
      <c r="X18" s="9"/>
      <c r="Y18" s="9">
        <v>3</v>
      </c>
      <c r="Z18" s="16">
        <v>1</v>
      </c>
      <c r="AA18" s="15">
        <v>16.5</v>
      </c>
      <c r="AB18" s="16">
        <v>88</v>
      </c>
      <c r="AC18" s="16">
        <v>10</v>
      </c>
      <c r="AD18" s="9">
        <v>1</v>
      </c>
      <c r="AE18" s="9">
        <v>2</v>
      </c>
      <c r="AF18" s="9">
        <v>1</v>
      </c>
      <c r="AG18" s="9">
        <v>0</v>
      </c>
      <c r="AH18" s="9">
        <v>1</v>
      </c>
      <c r="AI18" s="9">
        <v>0</v>
      </c>
      <c r="AJ18" s="12">
        <v>43389</v>
      </c>
      <c r="AK18" s="9">
        <v>1</v>
      </c>
      <c r="AL18" s="12">
        <v>44959</v>
      </c>
      <c r="AM18" s="9">
        <v>2</v>
      </c>
      <c r="AN18" s="12">
        <v>43645</v>
      </c>
      <c r="AO18" s="12"/>
      <c r="AP18" s="12"/>
      <c r="AQ18" s="9">
        <v>2</v>
      </c>
      <c r="AR18" s="9">
        <f t="shared" si="4"/>
        <v>0</v>
      </c>
      <c r="AS18" s="9">
        <v>2</v>
      </c>
      <c r="AT18" s="9"/>
      <c r="AU18" s="9">
        <v>1</v>
      </c>
      <c r="AV18" s="9">
        <f t="shared" si="5"/>
        <v>0</v>
      </c>
      <c r="AW18" s="12">
        <v>44959</v>
      </c>
      <c r="AX18" s="9">
        <v>3000</v>
      </c>
      <c r="AY18" s="9">
        <v>1130</v>
      </c>
      <c r="AZ18" s="9">
        <v>1060</v>
      </c>
      <c r="BA18" s="9">
        <v>1130</v>
      </c>
      <c r="BB18" s="9">
        <v>1060.000244140625</v>
      </c>
      <c r="BC18" s="9">
        <v>144000</v>
      </c>
      <c r="BD18" s="9">
        <v>500</v>
      </c>
      <c r="BE18" s="9">
        <v>100</v>
      </c>
      <c r="BF18" s="9">
        <v>316</v>
      </c>
      <c r="BG18" s="9">
        <v>5780</v>
      </c>
      <c r="BH18" s="9">
        <v>3540</v>
      </c>
      <c r="BI18" s="9">
        <v>1680</v>
      </c>
      <c r="BJ18" s="9">
        <v>269000</v>
      </c>
      <c r="BK18" s="9">
        <v>430</v>
      </c>
      <c r="BL18" s="9">
        <v>90</v>
      </c>
      <c r="BM18" s="9">
        <v>422</v>
      </c>
      <c r="BN18" s="9">
        <v>6150</v>
      </c>
      <c r="BO18" s="9">
        <v>3760</v>
      </c>
      <c r="BP18" s="9">
        <v>1800</v>
      </c>
      <c r="BQ18" s="9">
        <v>210000</v>
      </c>
      <c r="BR18" s="9">
        <v>480</v>
      </c>
      <c r="BS18" s="9">
        <v>80</v>
      </c>
      <c r="BT18" s="9">
        <v>441</v>
      </c>
      <c r="BU18" s="9">
        <v>6090</v>
      </c>
      <c r="BV18" s="9">
        <v>3810</v>
      </c>
      <c r="BW18" s="9">
        <v>1800</v>
      </c>
      <c r="BX18" s="9">
        <v>220000</v>
      </c>
      <c r="BY18" s="9">
        <v>350</v>
      </c>
      <c r="BZ18" s="10" t="s">
        <v>532</v>
      </c>
      <c r="CA18" s="9">
        <v>90</v>
      </c>
      <c r="CB18" s="9">
        <v>440</v>
      </c>
      <c r="CC18" s="10">
        <f t="shared" si="6"/>
        <v>1.0660374903178687</v>
      </c>
      <c r="CD18" s="10">
        <f t="shared" si="7"/>
        <v>135.84902531484346</v>
      </c>
      <c r="CE18" s="10">
        <f t="shared" si="19"/>
        <v>153509.39860577308</v>
      </c>
      <c r="CF18" s="10">
        <f t="shared" si="9"/>
        <v>1</v>
      </c>
      <c r="CG18" s="10">
        <f t="shared" si="0"/>
        <v>1</v>
      </c>
      <c r="CH18" s="10">
        <f t="shared" si="1"/>
        <v>52</v>
      </c>
      <c r="CI18" s="9">
        <f t="shared" si="10"/>
        <v>0</v>
      </c>
      <c r="CJ18" s="10">
        <f t="shared" si="2"/>
        <v>52</v>
      </c>
      <c r="CK18" s="10" t="b">
        <f t="shared" si="11"/>
        <v>1</v>
      </c>
      <c r="CL18" s="10" t="b">
        <f t="shared" si="12"/>
        <v>1</v>
      </c>
      <c r="CM18" s="10" t="b">
        <f t="shared" si="13"/>
        <v>1</v>
      </c>
      <c r="CN18" s="9">
        <f t="shared" si="14"/>
        <v>0</v>
      </c>
      <c r="CO18" s="10">
        <f>CJ18</f>
        <v>52</v>
      </c>
      <c r="CP18" s="10" t="b">
        <f t="shared" si="15"/>
        <v>1</v>
      </c>
      <c r="CQ18" s="10" t="b">
        <f t="shared" si="16"/>
        <v>1</v>
      </c>
      <c r="CR18" s="10" cm="1">
        <f t="array" ref="CR18">_xlfn.IFS(AND($CI18=0, CK18=FALSE), NA(), AND($CI18=1, CK18=FALSE), 0, CK18=TRUE, 1)</f>
        <v>1</v>
      </c>
      <c r="CS18" s="10" cm="1">
        <f t="array" ref="CS18">_xlfn.IFS(AND($CI18=0, CL18=FALSE), NA(), AND($CI18=1, CL18=FALSE), 0, CL18=TRUE, 1)</f>
        <v>1</v>
      </c>
      <c r="CT18" s="10" cm="1">
        <f t="array" ref="CT18">_xlfn.IFS(AND($CI18=0, CM18=FALSE), NA(), AND($CI18=1, CM18=FALSE), 0, CM18=TRUE, 1)</f>
        <v>1</v>
      </c>
      <c r="CU18" s="10" cm="1">
        <f t="array" ref="CU18">_xlfn.IFS(AND($CN18=0, CP18=FALSE), NA(), AND($CN18=1, CP18=FALSE), 0, CP18=TRUE, 1)</f>
        <v>1</v>
      </c>
      <c r="CV18" s="10" cm="1">
        <f t="array" ref="CV18">_xlfn.IFS(AND($CN18=0, CQ18=FALSE), NA(), AND($CN18=1, CQ18=FALSE), 0, CQ18=TRUE, 1)</f>
        <v>1</v>
      </c>
    </row>
    <row r="19" spans="1:100" ht="15.75" x14ac:dyDescent="0.25">
      <c r="A19" s="8">
        <v>18</v>
      </c>
      <c r="B19" s="9">
        <v>73</v>
      </c>
      <c r="C19" s="10" t="s">
        <v>9</v>
      </c>
      <c r="D19" s="11" t="s">
        <v>101</v>
      </c>
      <c r="E19" s="12">
        <v>23631</v>
      </c>
      <c r="F19" s="13">
        <v>1</v>
      </c>
      <c r="G19" s="9">
        <v>32.758384704589844</v>
      </c>
      <c r="H19" s="12">
        <v>35596</v>
      </c>
      <c r="I19" s="9">
        <v>1</v>
      </c>
      <c r="J19" s="12">
        <v>35596</v>
      </c>
      <c r="K19" s="9">
        <v>0</v>
      </c>
      <c r="L19" s="9">
        <v>1</v>
      </c>
      <c r="M19" s="10" t="s">
        <v>401</v>
      </c>
      <c r="N19" s="9">
        <v>1</v>
      </c>
      <c r="O19" s="10" t="s">
        <v>401</v>
      </c>
      <c r="P19" s="9">
        <v>1</v>
      </c>
      <c r="Q19" s="10" t="s">
        <v>401</v>
      </c>
      <c r="R19" s="12">
        <v>42157</v>
      </c>
      <c r="S19" s="10" t="s">
        <v>145</v>
      </c>
      <c r="T19" s="9">
        <v>4</v>
      </c>
      <c r="U19" s="10" t="s">
        <v>401</v>
      </c>
      <c r="V19" s="10" t="s">
        <v>401</v>
      </c>
      <c r="W19" s="9"/>
      <c r="X19" s="9"/>
      <c r="Y19" s="9">
        <v>3</v>
      </c>
      <c r="Z19" s="14">
        <v>1</v>
      </c>
      <c r="AA19" s="15">
        <v>15</v>
      </c>
      <c r="AB19" s="9"/>
      <c r="AC19" s="9"/>
      <c r="AD19" s="9">
        <v>1</v>
      </c>
      <c r="AE19" s="9">
        <v>1</v>
      </c>
      <c r="AF19" s="9">
        <v>1</v>
      </c>
      <c r="AG19" s="9">
        <v>0</v>
      </c>
      <c r="AH19" s="9">
        <v>1</v>
      </c>
      <c r="AI19" s="9">
        <v>0</v>
      </c>
      <c r="AJ19" s="12">
        <v>43763</v>
      </c>
      <c r="AK19" s="9">
        <v>2</v>
      </c>
      <c r="AL19" s="12">
        <v>43805</v>
      </c>
      <c r="AM19" s="9">
        <v>3</v>
      </c>
      <c r="AN19" s="12">
        <v>43799</v>
      </c>
      <c r="AO19" s="12">
        <v>43837</v>
      </c>
      <c r="AP19" s="12">
        <v>43837</v>
      </c>
      <c r="AQ19" s="9">
        <v>1</v>
      </c>
      <c r="AR19" s="9">
        <f t="shared" si="4"/>
        <v>1</v>
      </c>
      <c r="AS19" s="9">
        <v>1</v>
      </c>
      <c r="AT19" s="9">
        <v>2</v>
      </c>
      <c r="AU19" s="9">
        <v>2</v>
      </c>
      <c r="AV19" s="9">
        <f t="shared" si="5"/>
        <v>1</v>
      </c>
      <c r="AW19" s="12">
        <v>44128</v>
      </c>
      <c r="AX19" s="9">
        <v>4010</v>
      </c>
      <c r="AY19" s="9">
        <v>2210</v>
      </c>
      <c r="AZ19" s="9"/>
      <c r="BA19" s="9">
        <v>2210</v>
      </c>
      <c r="BB19" s="9">
        <v>1282.556884765625</v>
      </c>
      <c r="BC19" s="9">
        <v>281000</v>
      </c>
      <c r="BD19" s="9"/>
      <c r="BE19" s="9"/>
      <c r="BF19" s="9">
        <v>341</v>
      </c>
      <c r="BG19" s="9"/>
      <c r="BH19" s="9"/>
      <c r="BI19" s="9"/>
      <c r="BJ19" s="9"/>
      <c r="BK19" s="9"/>
      <c r="BL19" s="9"/>
      <c r="BM19" s="9"/>
      <c r="BN19" s="9">
        <v>5710</v>
      </c>
      <c r="BO19" s="9">
        <v>2980</v>
      </c>
      <c r="BP19" s="9"/>
      <c r="BQ19" s="9">
        <v>384000</v>
      </c>
      <c r="BR19" s="9"/>
      <c r="BS19" s="9"/>
      <c r="BT19" s="9"/>
      <c r="BU19" s="9"/>
      <c r="BV19" s="9"/>
      <c r="BW19" s="9"/>
      <c r="BX19" s="9"/>
      <c r="BY19" s="9"/>
      <c r="BZ19" s="10" t="s">
        <v>401</v>
      </c>
      <c r="CA19" s="9"/>
      <c r="CB19" s="9"/>
      <c r="CC19" s="10">
        <f t="shared" si="6"/>
        <v>1.7231204527851069</v>
      </c>
      <c r="CD19" s="10">
        <f t="shared" si="7"/>
        <v>219.0935960328575</v>
      </c>
      <c r="CE19" s="10">
        <f t="shared" si="19"/>
        <v>484196.84723261505</v>
      </c>
      <c r="CF19" s="10">
        <f t="shared" si="9"/>
        <v>1</v>
      </c>
      <c r="CG19" s="10">
        <f t="shared" si="0"/>
        <v>0</v>
      </c>
      <c r="CH19" s="10">
        <f t="shared" si="1"/>
        <v>2</v>
      </c>
      <c r="CI19" s="9">
        <f t="shared" si="10"/>
        <v>1</v>
      </c>
      <c r="CJ19" s="10">
        <f t="shared" si="2"/>
        <v>12</v>
      </c>
      <c r="CK19" s="10" t="b">
        <f t="shared" si="11"/>
        <v>1</v>
      </c>
      <c r="CL19" s="10" t="b">
        <f t="shared" si="12"/>
        <v>0</v>
      </c>
      <c r="CM19" s="10" t="b">
        <f t="shared" si="13"/>
        <v>0</v>
      </c>
      <c r="CN19" s="9">
        <f t="shared" si="14"/>
        <v>1</v>
      </c>
      <c r="CO19" s="10">
        <f>(YEAR(AO19)-YEAR(AJ19))*12+MONTH(AO19)-MONTH(AJ19)</f>
        <v>3</v>
      </c>
      <c r="CP19" s="10" t="b">
        <f t="shared" si="15"/>
        <v>1</v>
      </c>
      <c r="CQ19" s="10" t="b">
        <f t="shared" si="16"/>
        <v>0</v>
      </c>
      <c r="CR19" s="10" cm="1">
        <f t="array" ref="CR19">_xlfn.IFS(AND($CI19=0, CK19=FALSE), NA(), AND($CI19=1, CK19=FALSE), 0, CK19=TRUE, 1)</f>
        <v>1</v>
      </c>
      <c r="CS19" s="10" cm="1">
        <f t="array" ref="CS19">_xlfn.IFS(AND($CI19=0, CL19=FALSE), NA(), AND($CI19=1, CL19=FALSE), 0, CL19=TRUE, 1)</f>
        <v>0</v>
      </c>
      <c r="CT19" s="10" cm="1">
        <f t="array" ref="CT19">_xlfn.IFS(AND($CI19=0, CM19=FALSE), NA(), AND($CI19=1, CM19=FALSE), 0, CM19=TRUE, 1)</f>
        <v>0</v>
      </c>
      <c r="CU19" s="10" cm="1">
        <f t="array" ref="CU19">_xlfn.IFS(AND($CN19=0, CP19=FALSE), NA(), AND($CN19=1, CP19=FALSE), 0, CP19=TRUE, 1)</f>
        <v>1</v>
      </c>
      <c r="CV19" s="10" cm="1">
        <f t="array" ref="CV19">_xlfn.IFS(AND($CN19=0, CQ19=FALSE), NA(), AND($CN19=1, CQ19=FALSE), 0, CQ19=TRUE, 1)</f>
        <v>0</v>
      </c>
    </row>
    <row r="20" spans="1:100" ht="15.75" x14ac:dyDescent="0.25">
      <c r="A20" s="8">
        <v>19</v>
      </c>
      <c r="B20" s="9">
        <v>6</v>
      </c>
      <c r="C20" s="10" t="s">
        <v>3</v>
      </c>
      <c r="D20" s="11" t="s">
        <v>42</v>
      </c>
      <c r="E20" s="12">
        <v>20187</v>
      </c>
      <c r="F20" s="13">
        <v>1</v>
      </c>
      <c r="G20" s="9">
        <v>42.27789306640625</v>
      </c>
      <c r="H20" s="12">
        <v>35629</v>
      </c>
      <c r="I20" s="9">
        <v>1</v>
      </c>
      <c r="J20" s="12">
        <v>35629</v>
      </c>
      <c r="K20" s="9">
        <v>0</v>
      </c>
      <c r="L20" s="9">
        <v>1</v>
      </c>
      <c r="M20" s="10" t="s">
        <v>401</v>
      </c>
      <c r="N20" s="9">
        <v>2</v>
      </c>
      <c r="O20" s="10" t="s">
        <v>147</v>
      </c>
      <c r="P20" s="9">
        <v>2</v>
      </c>
      <c r="Q20" s="10" t="s">
        <v>147</v>
      </c>
      <c r="R20" s="12">
        <v>42083</v>
      </c>
      <c r="S20" s="10" t="s">
        <v>146</v>
      </c>
      <c r="T20" s="9"/>
      <c r="U20" s="10" t="s">
        <v>401</v>
      </c>
      <c r="V20" s="10" t="s">
        <v>401</v>
      </c>
      <c r="W20" s="9"/>
      <c r="X20" s="9"/>
      <c r="Y20" s="9">
        <v>2</v>
      </c>
      <c r="Z20" s="14">
        <v>2</v>
      </c>
      <c r="AA20" s="15">
        <v>14.3</v>
      </c>
      <c r="AB20" s="16">
        <v>96.9</v>
      </c>
      <c r="AC20" s="9"/>
      <c r="AD20" s="9">
        <v>1</v>
      </c>
      <c r="AE20" s="9">
        <v>1</v>
      </c>
      <c r="AF20" s="9">
        <v>1</v>
      </c>
      <c r="AG20" s="9">
        <v>0</v>
      </c>
      <c r="AH20" s="9">
        <v>1</v>
      </c>
      <c r="AI20" s="9">
        <v>0</v>
      </c>
      <c r="AJ20" s="12">
        <v>43228</v>
      </c>
      <c r="AK20" s="9">
        <v>1</v>
      </c>
      <c r="AL20" s="12">
        <v>45016</v>
      </c>
      <c r="AM20" s="9">
        <v>3</v>
      </c>
      <c r="AN20" s="12">
        <v>43313</v>
      </c>
      <c r="AO20" s="12"/>
      <c r="AP20" s="12"/>
      <c r="AQ20" s="9">
        <v>2</v>
      </c>
      <c r="AR20" s="9">
        <f t="shared" si="4"/>
        <v>0</v>
      </c>
      <c r="AS20" s="9">
        <v>2</v>
      </c>
      <c r="AT20" s="9"/>
      <c r="AU20" s="9">
        <v>1</v>
      </c>
      <c r="AV20" s="9">
        <f t="shared" si="5"/>
        <v>0</v>
      </c>
      <c r="AW20" s="12">
        <v>45016</v>
      </c>
      <c r="AX20" s="9">
        <v>5820</v>
      </c>
      <c r="AY20" s="9">
        <v>3220</v>
      </c>
      <c r="AZ20" s="9">
        <v>1700</v>
      </c>
      <c r="BA20" s="9">
        <v>3220</v>
      </c>
      <c r="BB20" s="9">
        <v>1700.0001220703125</v>
      </c>
      <c r="BC20" s="9">
        <v>221000</v>
      </c>
      <c r="BD20" s="9">
        <v>580</v>
      </c>
      <c r="BE20" s="9">
        <v>280</v>
      </c>
      <c r="BF20" s="9"/>
      <c r="BG20" s="9">
        <v>5170</v>
      </c>
      <c r="BH20" s="9">
        <v>2730</v>
      </c>
      <c r="BI20" s="9">
        <v>1400</v>
      </c>
      <c r="BJ20" s="9">
        <v>182000</v>
      </c>
      <c r="BK20" s="9">
        <v>620</v>
      </c>
      <c r="BL20" s="9">
        <v>360</v>
      </c>
      <c r="BM20" s="9"/>
      <c r="BN20" s="9">
        <v>5220</v>
      </c>
      <c r="BO20" s="9">
        <v>2770</v>
      </c>
      <c r="BP20" s="9">
        <v>1670</v>
      </c>
      <c r="BQ20" s="9">
        <v>227000</v>
      </c>
      <c r="BR20" s="9">
        <v>610</v>
      </c>
      <c r="BS20" s="9">
        <v>420</v>
      </c>
      <c r="BT20" s="9"/>
      <c r="BU20" s="9">
        <v>5490</v>
      </c>
      <c r="BV20" s="9">
        <v>3060</v>
      </c>
      <c r="BW20" s="9">
        <v>1490</v>
      </c>
      <c r="BX20" s="9">
        <v>209000</v>
      </c>
      <c r="BY20" s="9">
        <v>570</v>
      </c>
      <c r="BZ20" s="10" t="s">
        <v>533</v>
      </c>
      <c r="CA20" s="9">
        <v>330</v>
      </c>
      <c r="CB20" s="9"/>
      <c r="CC20" s="10">
        <f t="shared" si="6"/>
        <v>1.8941175110496962</v>
      </c>
      <c r="CD20" s="10">
        <f t="shared" si="7"/>
        <v>129.99999066521207</v>
      </c>
      <c r="CE20" s="10">
        <f t="shared" si="19"/>
        <v>418599.96994198282</v>
      </c>
      <c r="CF20" s="10">
        <f t="shared" si="9"/>
        <v>1</v>
      </c>
      <c r="CG20" s="10">
        <f t="shared" si="0"/>
        <v>0</v>
      </c>
      <c r="CH20" s="10">
        <f t="shared" si="1"/>
        <v>58</v>
      </c>
      <c r="CI20" s="9">
        <f t="shared" si="10"/>
        <v>0</v>
      </c>
      <c r="CJ20" s="10">
        <f t="shared" si="2"/>
        <v>58</v>
      </c>
      <c r="CK20" s="10" t="b">
        <f t="shared" si="11"/>
        <v>1</v>
      </c>
      <c r="CL20" s="10" t="b">
        <f t="shared" si="12"/>
        <v>1</v>
      </c>
      <c r="CM20" s="10" t="b">
        <f t="shared" si="13"/>
        <v>1</v>
      </c>
      <c r="CN20" s="9">
        <f t="shared" si="14"/>
        <v>0</v>
      </c>
      <c r="CO20" s="10">
        <f t="shared" ref="CO20:CO21" si="20">CJ20</f>
        <v>58</v>
      </c>
      <c r="CP20" s="10" t="b">
        <f t="shared" si="15"/>
        <v>1</v>
      </c>
      <c r="CQ20" s="10" t="b">
        <f t="shared" si="16"/>
        <v>1</v>
      </c>
      <c r="CR20" s="10" cm="1">
        <f t="array" ref="CR20">_xlfn.IFS(AND($CI20=0, CK20=FALSE), NA(), AND($CI20=1, CK20=FALSE), 0, CK20=TRUE, 1)</f>
        <v>1</v>
      </c>
      <c r="CS20" s="10" cm="1">
        <f t="array" ref="CS20">_xlfn.IFS(AND($CI20=0, CL20=FALSE), NA(), AND($CI20=1, CL20=FALSE), 0, CL20=TRUE, 1)</f>
        <v>1</v>
      </c>
      <c r="CT20" s="10" cm="1">
        <f t="array" ref="CT20">_xlfn.IFS(AND($CI20=0, CM20=FALSE), NA(), AND($CI20=1, CM20=FALSE), 0, CM20=TRUE, 1)</f>
        <v>1</v>
      </c>
      <c r="CU20" s="10" cm="1">
        <f t="array" ref="CU20">_xlfn.IFS(AND($CN20=0, CP20=FALSE), NA(), AND($CN20=1, CP20=FALSE), 0, CP20=TRUE, 1)</f>
        <v>1</v>
      </c>
      <c r="CV20" s="10" cm="1">
        <f t="array" ref="CV20">_xlfn.IFS(AND($CN20=0, CQ20=FALSE), NA(), AND($CN20=1, CQ20=FALSE), 0, CQ20=TRUE, 1)</f>
        <v>1</v>
      </c>
    </row>
    <row r="21" spans="1:100" ht="15.75" x14ac:dyDescent="0.25">
      <c r="A21" s="8">
        <v>20</v>
      </c>
      <c r="B21" s="9">
        <v>412</v>
      </c>
      <c r="C21" s="10" t="s">
        <v>29</v>
      </c>
      <c r="D21" s="11" t="s">
        <v>325</v>
      </c>
      <c r="E21" s="12">
        <v>13437</v>
      </c>
      <c r="F21" s="13">
        <v>2</v>
      </c>
      <c r="G21" s="9">
        <v>61.062286376953125</v>
      </c>
      <c r="H21" s="12">
        <v>35740</v>
      </c>
      <c r="I21" s="9">
        <v>1</v>
      </c>
      <c r="J21" s="12">
        <v>35740</v>
      </c>
      <c r="K21" s="9">
        <v>0</v>
      </c>
      <c r="L21" s="9">
        <v>1</v>
      </c>
      <c r="M21" s="10" t="s">
        <v>401</v>
      </c>
      <c r="N21" s="9">
        <v>1</v>
      </c>
      <c r="O21" s="10" t="s">
        <v>401</v>
      </c>
      <c r="P21" s="9">
        <v>1</v>
      </c>
      <c r="Q21" s="10" t="s">
        <v>401</v>
      </c>
      <c r="R21" s="12">
        <v>40456</v>
      </c>
      <c r="S21" s="10" t="s">
        <v>145</v>
      </c>
      <c r="T21" s="9"/>
      <c r="U21" s="10" t="s">
        <v>401</v>
      </c>
      <c r="V21" s="10" t="s">
        <v>401</v>
      </c>
      <c r="W21" s="9"/>
      <c r="X21" s="9"/>
      <c r="Y21" s="9">
        <v>2</v>
      </c>
      <c r="Z21" s="14">
        <v>1</v>
      </c>
      <c r="AA21" s="17">
        <v>13.2</v>
      </c>
      <c r="AB21" s="18">
        <v>95</v>
      </c>
      <c r="AC21" s="18">
        <v>13</v>
      </c>
      <c r="AD21" s="9">
        <v>2</v>
      </c>
      <c r="AE21" s="9">
        <v>2</v>
      </c>
      <c r="AF21" s="9">
        <v>1</v>
      </c>
      <c r="AG21" s="9">
        <v>0</v>
      </c>
      <c r="AH21" s="9">
        <v>1</v>
      </c>
      <c r="AI21" s="9">
        <v>0</v>
      </c>
      <c r="AJ21" s="12">
        <v>43018</v>
      </c>
      <c r="AK21" s="9">
        <v>1</v>
      </c>
      <c r="AL21" s="12">
        <v>44953</v>
      </c>
      <c r="AM21" s="9">
        <v>2</v>
      </c>
      <c r="AN21" s="12">
        <v>43123</v>
      </c>
      <c r="AO21" s="12"/>
      <c r="AP21" s="12"/>
      <c r="AQ21" s="9">
        <v>2</v>
      </c>
      <c r="AR21" s="9">
        <f t="shared" si="4"/>
        <v>0</v>
      </c>
      <c r="AS21" s="9">
        <v>2</v>
      </c>
      <c r="AT21" s="9"/>
      <c r="AU21" s="9">
        <v>1</v>
      </c>
      <c r="AV21" s="9">
        <f t="shared" si="5"/>
        <v>0</v>
      </c>
      <c r="AW21" s="12">
        <v>44946</v>
      </c>
      <c r="AX21" s="9">
        <v>4500</v>
      </c>
      <c r="AY21" s="9">
        <v>2390</v>
      </c>
      <c r="AZ21" s="9">
        <v>1720</v>
      </c>
      <c r="BA21" s="9">
        <v>2390</v>
      </c>
      <c r="BB21" s="9">
        <v>1719.999755859375</v>
      </c>
      <c r="BC21" s="9">
        <v>125000</v>
      </c>
      <c r="BD21" s="9">
        <v>270</v>
      </c>
      <c r="BE21" s="9">
        <v>80</v>
      </c>
      <c r="BF21" s="9"/>
      <c r="BG21" s="9">
        <v>4920</v>
      </c>
      <c r="BH21" s="9">
        <v>3120</v>
      </c>
      <c r="BI21" s="9">
        <v>2190</v>
      </c>
      <c r="BJ21" s="9">
        <v>143000</v>
      </c>
      <c r="BK21" s="9">
        <v>270</v>
      </c>
      <c r="BL21" s="9">
        <v>70</v>
      </c>
      <c r="BM21" s="9"/>
      <c r="BN21" s="9">
        <v>4350</v>
      </c>
      <c r="BO21" s="9">
        <v>2280</v>
      </c>
      <c r="BP21" s="9">
        <v>1140</v>
      </c>
      <c r="BQ21" s="9">
        <v>145000</v>
      </c>
      <c r="BR21" s="9">
        <v>460</v>
      </c>
      <c r="BS21" s="9">
        <v>100</v>
      </c>
      <c r="BT21" s="9"/>
      <c r="BU21" s="9">
        <v>5180</v>
      </c>
      <c r="BV21" s="9">
        <v>2700</v>
      </c>
      <c r="BW21" s="9">
        <v>1190</v>
      </c>
      <c r="BX21" s="9">
        <v>14300</v>
      </c>
      <c r="BY21" s="9">
        <v>700</v>
      </c>
      <c r="BZ21" s="10" t="s">
        <v>524</v>
      </c>
      <c r="CA21" s="9">
        <v>200</v>
      </c>
      <c r="CB21" s="9"/>
      <c r="CC21" s="10">
        <f t="shared" si="6"/>
        <v>1.3895350809546296</v>
      </c>
      <c r="CD21" s="10">
        <f t="shared" si="7"/>
        <v>72.674428920221217</v>
      </c>
      <c r="CE21" s="10">
        <f t="shared" si="19"/>
        <v>173691.88511932871</v>
      </c>
      <c r="CF21" s="10">
        <f t="shared" si="9"/>
        <v>1</v>
      </c>
      <c r="CG21" s="10">
        <f t="shared" si="0"/>
        <v>1</v>
      </c>
      <c r="CH21" s="10">
        <f t="shared" si="1"/>
        <v>63</v>
      </c>
      <c r="CI21" s="9">
        <f t="shared" si="10"/>
        <v>0</v>
      </c>
      <c r="CJ21" s="10">
        <f t="shared" si="2"/>
        <v>63</v>
      </c>
      <c r="CK21" s="10" t="b">
        <f t="shared" si="11"/>
        <v>1</v>
      </c>
      <c r="CL21" s="10" t="b">
        <f t="shared" si="12"/>
        <v>1</v>
      </c>
      <c r="CM21" s="10" t="b">
        <f t="shared" si="13"/>
        <v>1</v>
      </c>
      <c r="CN21" s="9">
        <f t="shared" si="14"/>
        <v>0</v>
      </c>
      <c r="CO21" s="10">
        <f t="shared" si="20"/>
        <v>63</v>
      </c>
      <c r="CP21" s="10" t="b">
        <f t="shared" si="15"/>
        <v>1</v>
      </c>
      <c r="CQ21" s="10" t="b">
        <f t="shared" si="16"/>
        <v>1</v>
      </c>
      <c r="CR21" s="10" cm="1">
        <f t="array" ref="CR21">_xlfn.IFS(AND($CI21=0, CK21=FALSE), NA(), AND($CI21=1, CK21=FALSE), 0, CK21=TRUE, 1)</f>
        <v>1</v>
      </c>
      <c r="CS21" s="10" cm="1">
        <f t="array" ref="CS21">_xlfn.IFS(AND($CI21=0, CL21=FALSE), NA(), AND($CI21=1, CL21=FALSE), 0, CL21=TRUE, 1)</f>
        <v>1</v>
      </c>
      <c r="CT21" s="10" cm="1">
        <f t="array" ref="CT21">_xlfn.IFS(AND($CI21=0, CM21=FALSE), NA(), AND($CI21=1, CM21=FALSE), 0, CM21=TRUE, 1)</f>
        <v>1</v>
      </c>
      <c r="CU21" s="10" cm="1">
        <f t="array" ref="CU21">_xlfn.IFS(AND($CN21=0, CP21=FALSE), NA(), AND($CN21=1, CP21=FALSE), 0, CP21=TRUE, 1)</f>
        <v>1</v>
      </c>
      <c r="CV21" s="10" cm="1">
        <f t="array" ref="CV21">_xlfn.IFS(AND($CN21=0, CQ21=FALSE), NA(), AND($CN21=1, CQ21=FALSE), 0, CQ21=TRUE, 1)</f>
        <v>1</v>
      </c>
    </row>
    <row r="22" spans="1:100" ht="15.75" x14ac:dyDescent="0.25">
      <c r="A22" s="8">
        <v>21</v>
      </c>
      <c r="B22" s="9">
        <v>72</v>
      </c>
      <c r="C22" s="10" t="s">
        <v>9</v>
      </c>
      <c r="D22" s="11" t="s">
        <v>100</v>
      </c>
      <c r="E22" s="12">
        <v>13104</v>
      </c>
      <c r="F22" s="13">
        <v>2</v>
      </c>
      <c r="G22" s="9">
        <v>62.579055786132813</v>
      </c>
      <c r="H22" s="12">
        <v>35961</v>
      </c>
      <c r="I22" s="9">
        <v>1</v>
      </c>
      <c r="J22" s="12">
        <v>35961</v>
      </c>
      <c r="K22" s="9">
        <v>0</v>
      </c>
      <c r="L22" s="9">
        <v>1</v>
      </c>
      <c r="M22" s="10" t="s">
        <v>401</v>
      </c>
      <c r="N22" s="9">
        <v>2</v>
      </c>
      <c r="O22" s="10" t="s">
        <v>147</v>
      </c>
      <c r="P22" s="9">
        <v>2</v>
      </c>
      <c r="Q22" s="10" t="s">
        <v>147</v>
      </c>
      <c r="R22" s="12">
        <v>41936</v>
      </c>
      <c r="S22" s="10" t="s">
        <v>145</v>
      </c>
      <c r="T22" s="9"/>
      <c r="U22" s="10" t="s">
        <v>401</v>
      </c>
      <c r="V22" s="10" t="s">
        <v>401</v>
      </c>
      <c r="W22" s="9"/>
      <c r="X22" s="9"/>
      <c r="Y22" s="9">
        <v>2</v>
      </c>
      <c r="Z22" s="14">
        <v>1</v>
      </c>
      <c r="AA22" s="15">
        <v>10.1</v>
      </c>
      <c r="AB22" s="16">
        <v>86</v>
      </c>
      <c r="AC22" s="9"/>
      <c r="AD22" s="9">
        <v>1</v>
      </c>
      <c r="AE22" s="9">
        <v>1</v>
      </c>
      <c r="AF22" s="9">
        <v>1</v>
      </c>
      <c r="AG22" s="9">
        <v>1</v>
      </c>
      <c r="AH22" s="9">
        <v>1</v>
      </c>
      <c r="AI22" s="9">
        <v>0</v>
      </c>
      <c r="AJ22" s="12">
        <v>42996</v>
      </c>
      <c r="AK22" s="9">
        <v>2</v>
      </c>
      <c r="AL22" s="12">
        <v>43437</v>
      </c>
      <c r="AM22" s="9">
        <v>2</v>
      </c>
      <c r="AN22" s="12">
        <v>43435</v>
      </c>
      <c r="AO22" s="12">
        <v>44510</v>
      </c>
      <c r="AP22" s="12">
        <v>44510</v>
      </c>
      <c r="AQ22" s="9">
        <v>1</v>
      </c>
      <c r="AR22" s="9">
        <f t="shared" si="4"/>
        <v>1</v>
      </c>
      <c r="AS22" s="9">
        <v>1</v>
      </c>
      <c r="AT22" s="9">
        <v>2</v>
      </c>
      <c r="AU22" s="9">
        <v>2</v>
      </c>
      <c r="AV22" s="9">
        <f t="shared" si="5"/>
        <v>1</v>
      </c>
      <c r="AW22" s="12">
        <v>44510</v>
      </c>
      <c r="AX22" s="9">
        <v>4630</v>
      </c>
      <c r="AY22" s="9">
        <v>2450</v>
      </c>
      <c r="AZ22" s="9">
        <v>1550</v>
      </c>
      <c r="BA22" s="9">
        <v>2450</v>
      </c>
      <c r="BB22" s="9">
        <v>1550</v>
      </c>
      <c r="BC22" s="9">
        <v>286000</v>
      </c>
      <c r="BD22" s="9">
        <v>470</v>
      </c>
      <c r="BE22" s="9">
        <v>130</v>
      </c>
      <c r="BF22" s="9"/>
      <c r="BG22" s="9">
        <v>6900</v>
      </c>
      <c r="BH22" s="9">
        <v>3730</v>
      </c>
      <c r="BI22" s="9">
        <v>1570</v>
      </c>
      <c r="BJ22" s="9">
        <v>210000</v>
      </c>
      <c r="BK22" s="9">
        <v>540</v>
      </c>
      <c r="BL22" s="9">
        <v>230</v>
      </c>
      <c r="BM22" s="9"/>
      <c r="BN22" s="9">
        <v>7200</v>
      </c>
      <c r="BO22" s="9">
        <v>4380</v>
      </c>
      <c r="BP22" s="9">
        <v>1920</v>
      </c>
      <c r="BQ22" s="9">
        <v>191000</v>
      </c>
      <c r="BR22" s="9">
        <v>580</v>
      </c>
      <c r="BS22" s="9">
        <v>260</v>
      </c>
      <c r="BT22" s="9"/>
      <c r="BU22" s="9">
        <v>7020</v>
      </c>
      <c r="BV22" s="9">
        <v>4170</v>
      </c>
      <c r="BW22" s="9">
        <v>2060</v>
      </c>
      <c r="BX22" s="9">
        <v>218000</v>
      </c>
      <c r="BY22" s="9">
        <v>550</v>
      </c>
      <c r="BZ22" s="10" t="s">
        <v>534</v>
      </c>
      <c r="CA22" s="9">
        <v>220</v>
      </c>
      <c r="CB22" s="9"/>
      <c r="CC22" s="10">
        <f t="shared" si="6"/>
        <v>1.5806451612903225</v>
      </c>
      <c r="CD22" s="10">
        <f t="shared" si="7"/>
        <v>184.51612903225808</v>
      </c>
      <c r="CE22" s="10">
        <f t="shared" si="19"/>
        <v>452064.51612903224</v>
      </c>
      <c r="CF22" s="10">
        <f t="shared" si="9"/>
        <v>1</v>
      </c>
      <c r="CG22" s="10">
        <f t="shared" si="0"/>
        <v>1</v>
      </c>
      <c r="CH22" s="10">
        <f t="shared" si="1"/>
        <v>15</v>
      </c>
      <c r="CI22" s="9">
        <f t="shared" si="10"/>
        <v>1</v>
      </c>
      <c r="CJ22" s="10">
        <f t="shared" si="2"/>
        <v>50</v>
      </c>
      <c r="CK22" s="10" t="b">
        <f t="shared" si="11"/>
        <v>1</v>
      </c>
      <c r="CL22" s="10" t="b">
        <f t="shared" si="12"/>
        <v>1</v>
      </c>
      <c r="CM22" s="10" t="b">
        <f t="shared" si="13"/>
        <v>1</v>
      </c>
      <c r="CN22" s="9">
        <f t="shared" si="14"/>
        <v>1</v>
      </c>
      <c r="CO22" s="10">
        <f>(YEAR(AO22)-YEAR(AJ22))*12+MONTH(AO22)-MONTH(AJ22)</f>
        <v>50</v>
      </c>
      <c r="CP22" s="10" t="b">
        <f t="shared" si="15"/>
        <v>1</v>
      </c>
      <c r="CQ22" s="10" t="b">
        <f t="shared" si="16"/>
        <v>1</v>
      </c>
      <c r="CR22" s="10" cm="1">
        <f t="array" ref="CR22">_xlfn.IFS(AND($CI22=0, CK22=FALSE), NA(), AND($CI22=1, CK22=FALSE), 0, CK22=TRUE, 1)</f>
        <v>1</v>
      </c>
      <c r="CS22" s="10" cm="1">
        <f t="array" ref="CS22">_xlfn.IFS(AND($CI22=0, CL22=FALSE), NA(), AND($CI22=1, CL22=FALSE), 0, CL22=TRUE, 1)</f>
        <v>1</v>
      </c>
      <c r="CT22" s="10" cm="1">
        <f t="array" ref="CT22">_xlfn.IFS(AND($CI22=0, CM22=FALSE), NA(), AND($CI22=1, CM22=FALSE), 0, CM22=TRUE, 1)</f>
        <v>1</v>
      </c>
      <c r="CU22" s="10" cm="1">
        <f t="array" ref="CU22">_xlfn.IFS(AND($CN22=0, CP22=FALSE), NA(), AND($CN22=1, CP22=FALSE), 0, CP22=TRUE, 1)</f>
        <v>1</v>
      </c>
      <c r="CV22" s="10" cm="1">
        <f t="array" ref="CV22">_xlfn.IFS(AND($CN22=0, CQ22=FALSE), NA(), AND($CN22=1, CQ22=FALSE), 0, CQ22=TRUE, 1)</f>
        <v>1</v>
      </c>
    </row>
    <row r="23" spans="1:100" ht="15.75" x14ac:dyDescent="0.25">
      <c r="A23" s="8">
        <v>22</v>
      </c>
      <c r="B23" s="9">
        <v>316</v>
      </c>
      <c r="C23" s="10" t="s">
        <v>24</v>
      </c>
      <c r="D23" s="11" t="s">
        <v>93</v>
      </c>
      <c r="E23" s="12"/>
      <c r="F23" s="13">
        <v>2</v>
      </c>
      <c r="G23" s="9">
        <v>51</v>
      </c>
      <c r="H23" s="12">
        <v>36039</v>
      </c>
      <c r="I23" s="9">
        <v>1</v>
      </c>
      <c r="J23" s="12">
        <v>36039</v>
      </c>
      <c r="K23" s="9">
        <v>0</v>
      </c>
      <c r="L23" s="9">
        <v>1</v>
      </c>
      <c r="M23" s="10" t="s">
        <v>401</v>
      </c>
      <c r="N23" s="9">
        <v>1</v>
      </c>
      <c r="O23" s="10" t="s">
        <v>401</v>
      </c>
      <c r="P23" s="9">
        <v>1</v>
      </c>
      <c r="Q23" s="10" t="s">
        <v>401</v>
      </c>
      <c r="R23" s="12">
        <v>39083</v>
      </c>
      <c r="S23" s="10" t="s">
        <v>145</v>
      </c>
      <c r="T23" s="9"/>
      <c r="U23" s="10" t="s">
        <v>401</v>
      </c>
      <c r="V23" s="10" t="s">
        <v>401</v>
      </c>
      <c r="W23" s="9"/>
      <c r="X23" s="9"/>
      <c r="Y23" s="9">
        <v>2</v>
      </c>
      <c r="Z23" s="14">
        <v>1</v>
      </c>
      <c r="AA23" s="21">
        <v>12.9</v>
      </c>
      <c r="AB23" s="22">
        <v>100</v>
      </c>
      <c r="AC23" s="22">
        <v>12</v>
      </c>
      <c r="AD23" s="9">
        <v>1</v>
      </c>
      <c r="AE23" s="9">
        <v>1</v>
      </c>
      <c r="AF23" s="9">
        <v>1</v>
      </c>
      <c r="AG23" s="9">
        <v>1</v>
      </c>
      <c r="AH23" s="9">
        <v>1</v>
      </c>
      <c r="AI23" s="9">
        <v>0</v>
      </c>
      <c r="AJ23" s="12">
        <v>42780</v>
      </c>
      <c r="AK23" s="9">
        <v>2</v>
      </c>
      <c r="AL23" s="12">
        <v>42913</v>
      </c>
      <c r="AM23" s="9">
        <v>4</v>
      </c>
      <c r="AN23" s="12">
        <v>42931</v>
      </c>
      <c r="AO23" s="12">
        <v>42931</v>
      </c>
      <c r="AP23" s="12">
        <v>42931</v>
      </c>
      <c r="AQ23" s="9">
        <v>1</v>
      </c>
      <c r="AR23" s="9">
        <f t="shared" si="4"/>
        <v>1</v>
      </c>
      <c r="AS23" s="9">
        <v>1</v>
      </c>
      <c r="AT23" s="9">
        <v>2</v>
      </c>
      <c r="AU23" s="9">
        <v>1</v>
      </c>
      <c r="AV23" s="9">
        <f t="shared" si="5"/>
        <v>0</v>
      </c>
      <c r="AW23" s="12">
        <v>43739</v>
      </c>
      <c r="AX23" s="9">
        <v>6110</v>
      </c>
      <c r="AY23" s="9">
        <v>3320</v>
      </c>
      <c r="AZ23" s="9">
        <v>2370</v>
      </c>
      <c r="BA23" s="9">
        <v>3320</v>
      </c>
      <c r="BB23" s="9">
        <v>2369.999755859375</v>
      </c>
      <c r="BC23" s="9">
        <v>291000</v>
      </c>
      <c r="BD23" s="9">
        <v>310</v>
      </c>
      <c r="BE23" s="9">
        <v>10</v>
      </c>
      <c r="BF23" s="9">
        <v>382</v>
      </c>
      <c r="BG23" s="9">
        <v>6470</v>
      </c>
      <c r="BH23" s="9">
        <v>3650</v>
      </c>
      <c r="BI23" s="9">
        <v>2300</v>
      </c>
      <c r="BJ23" s="9">
        <v>284000</v>
      </c>
      <c r="BK23" s="9">
        <v>360</v>
      </c>
      <c r="BL23" s="9">
        <v>120</v>
      </c>
      <c r="BM23" s="9">
        <v>416</v>
      </c>
      <c r="BN23" s="9">
        <v>7460</v>
      </c>
      <c r="BO23" s="9">
        <v>3270</v>
      </c>
      <c r="BP23" s="9">
        <v>1640</v>
      </c>
      <c r="BQ23" s="9">
        <v>301000</v>
      </c>
      <c r="BR23" s="9">
        <v>260</v>
      </c>
      <c r="BS23" s="9">
        <v>250</v>
      </c>
      <c r="BT23" s="9">
        <v>451</v>
      </c>
      <c r="BU23" s="9">
        <v>7950</v>
      </c>
      <c r="BV23" s="9">
        <v>4438</v>
      </c>
      <c r="BW23" s="9"/>
      <c r="BX23" s="9">
        <v>313000</v>
      </c>
      <c r="BY23" s="9"/>
      <c r="BZ23" s="10" t="s">
        <v>401</v>
      </c>
      <c r="CA23" s="9"/>
      <c r="CB23" s="9">
        <v>420</v>
      </c>
      <c r="CC23" s="10">
        <f t="shared" si="6"/>
        <v>1.4008440261615764</v>
      </c>
      <c r="CD23" s="10">
        <f t="shared" si="7"/>
        <v>122.78482277500564</v>
      </c>
      <c r="CE23" s="10">
        <f t="shared" si="19"/>
        <v>407645.61161301873</v>
      </c>
      <c r="CF23" s="10">
        <f t="shared" si="9"/>
        <v>0</v>
      </c>
      <c r="CG23" s="10">
        <f t="shared" si="0"/>
        <v>0</v>
      </c>
      <c r="CH23" s="10">
        <f t="shared" si="1"/>
        <v>4</v>
      </c>
      <c r="CI23" s="9">
        <f t="shared" si="10"/>
        <v>0</v>
      </c>
      <c r="CJ23" s="10">
        <f t="shared" si="2"/>
        <v>32</v>
      </c>
      <c r="CK23" s="10" t="b">
        <f t="shared" si="11"/>
        <v>1</v>
      </c>
      <c r="CL23" s="10" t="b">
        <f t="shared" si="12"/>
        <v>1</v>
      </c>
      <c r="CM23" s="10" t="b">
        <f t="shared" si="13"/>
        <v>1</v>
      </c>
      <c r="CN23" s="9">
        <f t="shared" si="14"/>
        <v>1</v>
      </c>
      <c r="CO23" s="10">
        <f>(YEAR(AO23)-YEAR(AJ23))*12+MONTH(AO23)-MONTH(AJ23)</f>
        <v>5</v>
      </c>
      <c r="CP23" s="10" t="b">
        <f t="shared" si="15"/>
        <v>1</v>
      </c>
      <c r="CQ23" s="10" t="b">
        <f t="shared" si="16"/>
        <v>0</v>
      </c>
      <c r="CR23" s="10" cm="1">
        <f t="array" ref="CR23">_xlfn.IFS(AND($CI23=0, CK23=FALSE), NA(), AND($CI23=1, CK23=FALSE), 0, CK23=TRUE, 1)</f>
        <v>1</v>
      </c>
      <c r="CS23" s="10" cm="1">
        <f t="array" ref="CS23">_xlfn.IFS(AND($CI23=0, CL23=FALSE), NA(), AND($CI23=1, CL23=FALSE), 0, CL23=TRUE, 1)</f>
        <v>1</v>
      </c>
      <c r="CT23" s="10" cm="1">
        <f t="array" ref="CT23">_xlfn.IFS(AND($CI23=0, CM23=FALSE), NA(), AND($CI23=1, CM23=FALSE), 0, CM23=TRUE, 1)</f>
        <v>1</v>
      </c>
      <c r="CU23" s="10" cm="1">
        <f t="array" ref="CU23">_xlfn.IFS(AND($CN23=0, CP23=FALSE), NA(), AND($CN23=1, CP23=FALSE), 0, CP23=TRUE, 1)</f>
        <v>1</v>
      </c>
      <c r="CV23" s="10" cm="1">
        <f t="array" ref="CV23">_xlfn.IFS(AND($CN23=0, CQ23=FALSE), NA(), AND($CN23=1, CQ23=FALSE), 0, CQ23=TRUE, 1)</f>
        <v>0</v>
      </c>
    </row>
    <row r="24" spans="1:100" ht="15.75" x14ac:dyDescent="0.25">
      <c r="A24" s="8">
        <v>23</v>
      </c>
      <c r="B24" s="9">
        <v>125</v>
      </c>
      <c r="C24" s="10" t="s">
        <v>16</v>
      </c>
      <c r="D24" s="11" t="s">
        <v>39</v>
      </c>
      <c r="E24" s="12">
        <v>20916</v>
      </c>
      <c r="F24" s="13">
        <v>2</v>
      </c>
      <c r="G24" s="9">
        <v>42.160163879394531</v>
      </c>
      <c r="H24" s="12">
        <v>36315</v>
      </c>
      <c r="I24" s="9">
        <v>1</v>
      </c>
      <c r="J24" s="12">
        <v>36315</v>
      </c>
      <c r="K24" s="9">
        <v>0</v>
      </c>
      <c r="L24" s="9">
        <v>1</v>
      </c>
      <c r="M24" s="10" t="s">
        <v>401</v>
      </c>
      <c r="N24" s="9"/>
      <c r="O24" s="10" t="s">
        <v>425</v>
      </c>
      <c r="P24" s="9"/>
      <c r="Q24" s="10" t="s">
        <v>425</v>
      </c>
      <c r="R24" s="12">
        <v>38462</v>
      </c>
      <c r="S24" s="10" t="s">
        <v>512</v>
      </c>
      <c r="T24" s="9">
        <v>2</v>
      </c>
      <c r="U24" s="10" t="s">
        <v>147</v>
      </c>
      <c r="V24" s="10" t="s">
        <v>150</v>
      </c>
      <c r="W24" s="9"/>
      <c r="X24" s="9"/>
      <c r="Y24" s="9">
        <v>5</v>
      </c>
      <c r="Z24" s="16">
        <v>2</v>
      </c>
      <c r="AA24" s="23">
        <v>11.8</v>
      </c>
      <c r="AB24" s="24">
        <v>77</v>
      </c>
      <c r="AC24" s="24">
        <v>16</v>
      </c>
      <c r="AD24" s="9">
        <v>1</v>
      </c>
      <c r="AE24" s="9">
        <v>2</v>
      </c>
      <c r="AF24" s="9">
        <v>1</v>
      </c>
      <c r="AG24" s="9">
        <v>0</v>
      </c>
      <c r="AH24" s="9">
        <v>1</v>
      </c>
      <c r="AI24" s="9">
        <v>0</v>
      </c>
      <c r="AJ24" s="12">
        <v>42509</v>
      </c>
      <c r="AK24" s="9">
        <v>2</v>
      </c>
      <c r="AL24" s="12">
        <v>44658</v>
      </c>
      <c r="AM24" s="9">
        <v>3</v>
      </c>
      <c r="AN24" s="12">
        <v>42580</v>
      </c>
      <c r="AO24" s="12"/>
      <c r="AP24" s="12"/>
      <c r="AQ24" s="9">
        <v>2</v>
      </c>
      <c r="AR24" s="9">
        <f t="shared" si="4"/>
        <v>0</v>
      </c>
      <c r="AS24" s="9">
        <v>2</v>
      </c>
      <c r="AT24" s="9"/>
      <c r="AU24" s="9">
        <v>1</v>
      </c>
      <c r="AV24" s="9">
        <f t="shared" si="5"/>
        <v>0</v>
      </c>
      <c r="AW24" s="12">
        <v>44939</v>
      </c>
      <c r="AX24" s="9">
        <v>5320</v>
      </c>
      <c r="AY24" s="9">
        <v>3600</v>
      </c>
      <c r="AZ24" s="9"/>
      <c r="BA24" s="9">
        <v>3600</v>
      </c>
      <c r="BB24" s="9">
        <v>1288.9827880859375</v>
      </c>
      <c r="BC24" s="9">
        <v>274000</v>
      </c>
      <c r="BD24" s="9"/>
      <c r="BE24" s="9"/>
      <c r="BF24" s="9">
        <v>236</v>
      </c>
      <c r="BG24" s="9">
        <v>6390</v>
      </c>
      <c r="BH24" s="9">
        <v>4300</v>
      </c>
      <c r="BI24" s="9"/>
      <c r="BJ24" s="9">
        <v>229000</v>
      </c>
      <c r="BK24" s="9"/>
      <c r="BL24" s="9"/>
      <c r="BM24" s="9">
        <v>180</v>
      </c>
      <c r="BN24" s="9"/>
      <c r="BO24" s="9">
        <v>3800</v>
      </c>
      <c r="BP24" s="9"/>
      <c r="BQ24" s="9">
        <v>277000</v>
      </c>
      <c r="BR24" s="9"/>
      <c r="BS24" s="9"/>
      <c r="BT24" s="9"/>
      <c r="BU24" s="9">
        <v>5870</v>
      </c>
      <c r="BV24" s="9">
        <v>3600</v>
      </c>
      <c r="BW24" s="9"/>
      <c r="BX24" s="9">
        <v>221000</v>
      </c>
      <c r="BY24" s="9"/>
      <c r="BZ24" s="10" t="s">
        <v>401</v>
      </c>
      <c r="CA24" s="9"/>
      <c r="CB24" s="9">
        <v>199</v>
      </c>
      <c r="CC24" s="10">
        <f t="shared" si="6"/>
        <v>2.792899977621722</v>
      </c>
      <c r="CD24" s="10">
        <f t="shared" si="7"/>
        <v>212.57072051898663</v>
      </c>
      <c r="CE24" s="10">
        <f t="shared" si="19"/>
        <v>765254.59386835189</v>
      </c>
      <c r="CF24" s="10">
        <f t="shared" si="9"/>
        <v>1</v>
      </c>
      <c r="CG24" s="10">
        <f t="shared" si="0"/>
        <v>0</v>
      </c>
      <c r="CH24" s="10">
        <f t="shared" si="1"/>
        <v>71</v>
      </c>
      <c r="CI24" s="9">
        <f t="shared" si="10"/>
        <v>0</v>
      </c>
      <c r="CJ24" s="10">
        <f t="shared" si="2"/>
        <v>80</v>
      </c>
      <c r="CK24" s="10" t="b">
        <f t="shared" si="11"/>
        <v>1</v>
      </c>
      <c r="CL24" s="10" t="b">
        <f t="shared" si="12"/>
        <v>1</v>
      </c>
      <c r="CM24" s="10" t="b">
        <f t="shared" si="13"/>
        <v>1</v>
      </c>
      <c r="CN24" s="9">
        <f t="shared" si="14"/>
        <v>0</v>
      </c>
      <c r="CO24" s="10">
        <f>CJ24</f>
        <v>80</v>
      </c>
      <c r="CP24" s="10" t="b">
        <f t="shared" si="15"/>
        <v>1</v>
      </c>
      <c r="CQ24" s="10" t="b">
        <f t="shared" si="16"/>
        <v>1</v>
      </c>
      <c r="CR24" s="10" cm="1">
        <f t="array" ref="CR24">_xlfn.IFS(AND($CI24=0, CK24=FALSE), NA(), AND($CI24=1, CK24=FALSE), 0, CK24=TRUE, 1)</f>
        <v>1</v>
      </c>
      <c r="CS24" s="10" cm="1">
        <f t="array" ref="CS24">_xlfn.IFS(AND($CI24=0, CL24=FALSE), NA(), AND($CI24=1, CL24=FALSE), 0, CL24=TRUE, 1)</f>
        <v>1</v>
      </c>
      <c r="CT24" s="10" cm="1">
        <f t="array" ref="CT24">_xlfn.IFS(AND($CI24=0, CM24=FALSE), NA(), AND($CI24=1, CM24=FALSE), 0, CM24=TRUE, 1)</f>
        <v>1</v>
      </c>
      <c r="CU24" s="10" cm="1">
        <f t="array" ref="CU24">_xlfn.IFS(AND($CN24=0, CP24=FALSE), NA(), AND($CN24=1, CP24=FALSE), 0, CP24=TRUE, 1)</f>
        <v>1</v>
      </c>
      <c r="CV24" s="10" cm="1">
        <f t="array" ref="CV24">_xlfn.IFS(AND($CN24=0, CQ24=FALSE), NA(), AND($CN24=1, CQ24=FALSE), 0, CQ24=TRUE, 1)</f>
        <v>1</v>
      </c>
    </row>
    <row r="25" spans="1:100" ht="15.75" x14ac:dyDescent="0.25">
      <c r="A25" s="8">
        <v>24</v>
      </c>
      <c r="B25" s="9">
        <v>60</v>
      </c>
      <c r="C25" s="10" t="s">
        <v>8</v>
      </c>
      <c r="D25" s="11" t="s">
        <v>90</v>
      </c>
      <c r="E25" s="12">
        <v>19915</v>
      </c>
      <c r="F25" s="13">
        <v>1</v>
      </c>
      <c r="G25" s="9">
        <v>44.930870056152344</v>
      </c>
      <c r="H25" s="12">
        <v>36326</v>
      </c>
      <c r="I25" s="9">
        <v>1</v>
      </c>
      <c r="J25" s="12">
        <v>36346</v>
      </c>
      <c r="K25" s="9">
        <v>0</v>
      </c>
      <c r="L25" s="9">
        <v>1</v>
      </c>
      <c r="M25" s="10" t="s">
        <v>401</v>
      </c>
      <c r="N25" s="9">
        <v>2</v>
      </c>
      <c r="O25" s="10" t="s">
        <v>148</v>
      </c>
      <c r="P25" s="9">
        <v>2</v>
      </c>
      <c r="Q25" s="10" t="s">
        <v>148</v>
      </c>
      <c r="R25" s="12">
        <v>43026</v>
      </c>
      <c r="S25" s="10" t="s">
        <v>510</v>
      </c>
      <c r="T25" s="9"/>
      <c r="U25" s="10" t="s">
        <v>401</v>
      </c>
      <c r="V25" s="10" t="s">
        <v>401</v>
      </c>
      <c r="W25" s="9"/>
      <c r="X25" s="9"/>
      <c r="Y25" s="9">
        <v>2</v>
      </c>
      <c r="Z25" s="19"/>
      <c r="AA25" s="17">
        <v>9</v>
      </c>
      <c r="AB25" s="18">
        <v>91</v>
      </c>
      <c r="AC25" s="18">
        <v>15.8</v>
      </c>
      <c r="AD25" s="9">
        <v>3</v>
      </c>
      <c r="AE25" s="9">
        <v>3</v>
      </c>
      <c r="AF25" s="9">
        <v>2</v>
      </c>
      <c r="AG25" s="9">
        <v>0</v>
      </c>
      <c r="AH25" s="9">
        <v>1</v>
      </c>
      <c r="AI25" s="9">
        <v>0</v>
      </c>
      <c r="AJ25" s="12">
        <v>43497</v>
      </c>
      <c r="AK25" s="9">
        <v>2</v>
      </c>
      <c r="AL25" s="12">
        <v>43579</v>
      </c>
      <c r="AM25" s="9">
        <v>3</v>
      </c>
      <c r="AN25" s="12">
        <v>43566</v>
      </c>
      <c r="AO25" s="12">
        <v>43636</v>
      </c>
      <c r="AP25" s="12">
        <v>43636</v>
      </c>
      <c r="AQ25" s="9">
        <v>1</v>
      </c>
      <c r="AR25" s="9">
        <f t="shared" si="4"/>
        <v>1</v>
      </c>
      <c r="AS25" s="9">
        <v>1</v>
      </c>
      <c r="AT25" s="9">
        <v>2</v>
      </c>
      <c r="AU25" s="9">
        <v>2</v>
      </c>
      <c r="AV25" s="9">
        <f t="shared" si="5"/>
        <v>1</v>
      </c>
      <c r="AW25" s="12">
        <v>43963</v>
      </c>
      <c r="AX25" s="9"/>
      <c r="AY25" s="9">
        <v>4110</v>
      </c>
      <c r="AZ25" s="9">
        <v>2260</v>
      </c>
      <c r="BA25" s="9">
        <v>4110</v>
      </c>
      <c r="BB25" s="9">
        <v>2260.000244140625</v>
      </c>
      <c r="BC25" s="9">
        <v>393000</v>
      </c>
      <c r="BD25" s="9">
        <v>70</v>
      </c>
      <c r="BE25" s="9">
        <v>190</v>
      </c>
      <c r="BF25" s="9">
        <v>145</v>
      </c>
      <c r="BG25" s="9"/>
      <c r="BH25" s="9"/>
      <c r="BI25" s="9"/>
      <c r="BJ25" s="9"/>
      <c r="BK25" s="9"/>
      <c r="BL25" s="9"/>
      <c r="BM25" s="9"/>
      <c r="BN25" s="9">
        <v>6600</v>
      </c>
      <c r="BO25" s="9"/>
      <c r="BP25" s="9"/>
      <c r="BQ25" s="9">
        <v>409000</v>
      </c>
      <c r="BR25" s="9"/>
      <c r="BS25" s="9"/>
      <c r="BT25" s="9"/>
      <c r="BU25" s="9"/>
      <c r="BV25" s="9">
        <v>4300</v>
      </c>
      <c r="BW25" s="9"/>
      <c r="BX25" s="9">
        <v>365000</v>
      </c>
      <c r="BY25" s="9"/>
      <c r="BZ25" s="10" t="s">
        <v>401</v>
      </c>
      <c r="CA25" s="9"/>
      <c r="CB25" s="9"/>
      <c r="CC25" s="10">
        <f t="shared" si="6"/>
        <v>1.8185838743406177</v>
      </c>
      <c r="CD25" s="10">
        <f t="shared" si="7"/>
        <v>173.89378652454084</v>
      </c>
      <c r="CE25" s="10">
        <f t="shared" si="19"/>
        <v>714703.46261586272</v>
      </c>
      <c r="CF25" s="10">
        <f t="shared" si="9"/>
        <v>1</v>
      </c>
      <c r="CG25" s="10">
        <f t="shared" si="0"/>
        <v>0</v>
      </c>
      <c r="CH25" s="10">
        <f t="shared" si="1"/>
        <v>2</v>
      </c>
      <c r="CI25" s="9">
        <f t="shared" si="10"/>
        <v>1</v>
      </c>
      <c r="CJ25" s="10">
        <f t="shared" si="2"/>
        <v>15</v>
      </c>
      <c r="CK25" s="10" t="b">
        <f t="shared" si="11"/>
        <v>1</v>
      </c>
      <c r="CL25" s="10" t="b">
        <f t="shared" si="12"/>
        <v>0</v>
      </c>
      <c r="CM25" s="10" t="b">
        <f t="shared" si="13"/>
        <v>0</v>
      </c>
      <c r="CN25" s="9">
        <f t="shared" si="14"/>
        <v>1</v>
      </c>
      <c r="CO25" s="10">
        <f t="shared" ref="CO25:CO49" si="21">(YEAR(AO25)-YEAR(AJ25))*12+MONTH(AO25)-MONTH(AJ25)</f>
        <v>4</v>
      </c>
      <c r="CP25" s="10" t="b">
        <f t="shared" si="15"/>
        <v>1</v>
      </c>
      <c r="CQ25" s="10" t="b">
        <f t="shared" si="16"/>
        <v>0</v>
      </c>
      <c r="CR25" s="10" cm="1">
        <f t="array" ref="CR25">_xlfn.IFS(AND($CI25=0, CK25=FALSE), NA(), AND($CI25=1, CK25=FALSE), 0, CK25=TRUE, 1)</f>
        <v>1</v>
      </c>
      <c r="CS25" s="10" cm="1">
        <f t="array" ref="CS25">_xlfn.IFS(AND($CI25=0, CL25=FALSE), NA(), AND($CI25=1, CL25=FALSE), 0, CL25=TRUE, 1)</f>
        <v>0</v>
      </c>
      <c r="CT25" s="10" cm="1">
        <f t="array" ref="CT25">_xlfn.IFS(AND($CI25=0, CM25=FALSE), NA(), AND($CI25=1, CM25=FALSE), 0, CM25=TRUE, 1)</f>
        <v>0</v>
      </c>
      <c r="CU25" s="10" cm="1">
        <f t="array" ref="CU25">_xlfn.IFS(AND($CN25=0, CP25=FALSE), NA(), AND($CN25=1, CP25=FALSE), 0, CP25=TRUE, 1)</f>
        <v>1</v>
      </c>
      <c r="CV25" s="10" cm="1">
        <f t="array" ref="CV25">_xlfn.IFS(AND($CN25=0, CQ25=FALSE), NA(), AND($CN25=1, CQ25=FALSE), 0, CQ25=TRUE, 1)</f>
        <v>0</v>
      </c>
    </row>
    <row r="26" spans="1:100" ht="15.75" x14ac:dyDescent="0.25">
      <c r="A26" s="8">
        <v>25</v>
      </c>
      <c r="B26" s="9">
        <v>570</v>
      </c>
      <c r="C26" s="10" t="s">
        <v>7</v>
      </c>
      <c r="D26" s="11" t="s">
        <v>38</v>
      </c>
      <c r="E26" s="12">
        <v>24134</v>
      </c>
      <c r="F26" s="13">
        <v>1</v>
      </c>
      <c r="G26" s="9">
        <v>33.379875183105469</v>
      </c>
      <c r="H26" s="12">
        <v>36326</v>
      </c>
      <c r="I26" s="9">
        <v>1</v>
      </c>
      <c r="J26" s="12">
        <v>36326</v>
      </c>
      <c r="K26" s="9">
        <v>0</v>
      </c>
      <c r="L26" s="9">
        <v>1</v>
      </c>
      <c r="M26" s="10" t="s">
        <v>401</v>
      </c>
      <c r="N26" s="9"/>
      <c r="O26" s="10" t="s">
        <v>401</v>
      </c>
      <c r="P26" s="9"/>
      <c r="Q26" s="10" t="s">
        <v>401</v>
      </c>
      <c r="R26" s="12"/>
      <c r="S26" s="10" t="s">
        <v>146</v>
      </c>
      <c r="T26" s="9"/>
      <c r="U26" s="10" t="s">
        <v>401</v>
      </c>
      <c r="V26" s="10" t="s">
        <v>401</v>
      </c>
      <c r="W26" s="9"/>
      <c r="X26" s="9"/>
      <c r="Y26" s="9">
        <v>2</v>
      </c>
      <c r="Z26" s="14">
        <v>2</v>
      </c>
      <c r="AA26" s="21">
        <v>14.1</v>
      </c>
      <c r="AB26" s="22">
        <v>93</v>
      </c>
      <c r="AC26" s="22">
        <v>14.8</v>
      </c>
      <c r="AD26" s="9">
        <v>1</v>
      </c>
      <c r="AE26" s="9">
        <v>1</v>
      </c>
      <c r="AF26" s="9">
        <v>1</v>
      </c>
      <c r="AG26" s="9">
        <v>1</v>
      </c>
      <c r="AH26" s="9">
        <v>1</v>
      </c>
      <c r="AI26" s="9">
        <v>0</v>
      </c>
      <c r="AJ26" s="12">
        <v>43523</v>
      </c>
      <c r="AK26" s="9">
        <v>2</v>
      </c>
      <c r="AL26" s="12">
        <v>44013</v>
      </c>
      <c r="AM26" s="9">
        <v>3</v>
      </c>
      <c r="AN26" s="12">
        <v>43613</v>
      </c>
      <c r="AO26" s="12">
        <v>44020</v>
      </c>
      <c r="AP26" s="12">
        <v>44020</v>
      </c>
      <c r="AQ26" s="9">
        <v>1</v>
      </c>
      <c r="AR26" s="9">
        <f t="shared" si="4"/>
        <v>1</v>
      </c>
      <c r="AS26" s="9">
        <v>1</v>
      </c>
      <c r="AT26" s="9">
        <v>2</v>
      </c>
      <c r="AU26" s="9">
        <v>1</v>
      </c>
      <c r="AV26" s="9">
        <f t="shared" si="5"/>
        <v>0</v>
      </c>
      <c r="AW26" s="12">
        <v>44930</v>
      </c>
      <c r="AX26" s="9">
        <v>7320</v>
      </c>
      <c r="AY26" s="9">
        <v>4150</v>
      </c>
      <c r="AZ26" s="9">
        <v>1910</v>
      </c>
      <c r="BA26" s="9">
        <v>4150</v>
      </c>
      <c r="BB26" s="9">
        <v>1910.0003662109375</v>
      </c>
      <c r="BC26" s="9">
        <v>208000</v>
      </c>
      <c r="BD26" s="9">
        <v>550</v>
      </c>
      <c r="BE26" s="9">
        <v>660</v>
      </c>
      <c r="BF26" s="9">
        <v>182</v>
      </c>
      <c r="BG26" s="9">
        <v>7820</v>
      </c>
      <c r="BH26" s="9">
        <v>5120</v>
      </c>
      <c r="BI26" s="9">
        <v>1780</v>
      </c>
      <c r="BJ26" s="9">
        <v>262000</v>
      </c>
      <c r="BK26" s="9">
        <v>550</v>
      </c>
      <c r="BL26" s="9">
        <v>330</v>
      </c>
      <c r="BM26" s="9">
        <v>230</v>
      </c>
      <c r="BN26" s="9">
        <v>8260</v>
      </c>
      <c r="BO26" s="9">
        <v>5640</v>
      </c>
      <c r="BP26" s="9">
        <v>1630</v>
      </c>
      <c r="BQ26" s="9">
        <v>216000</v>
      </c>
      <c r="BR26" s="9">
        <v>560</v>
      </c>
      <c r="BS26" s="9">
        <v>360</v>
      </c>
      <c r="BT26" s="9">
        <v>187</v>
      </c>
      <c r="BU26" s="9">
        <v>9150</v>
      </c>
      <c r="BV26" s="9">
        <v>6650</v>
      </c>
      <c r="BW26" s="9">
        <v>1650</v>
      </c>
      <c r="BX26" s="9">
        <v>296000</v>
      </c>
      <c r="BY26" s="9">
        <v>580</v>
      </c>
      <c r="BZ26" s="10" t="s">
        <v>526</v>
      </c>
      <c r="CA26" s="9">
        <v>190</v>
      </c>
      <c r="CB26" s="9"/>
      <c r="CC26" s="10">
        <f t="shared" si="6"/>
        <v>2.172774452516351</v>
      </c>
      <c r="CD26" s="10">
        <f t="shared" si="7"/>
        <v>108.9005026803376</v>
      </c>
      <c r="CE26" s="10">
        <f t="shared" si="19"/>
        <v>451937.08612340101</v>
      </c>
      <c r="CF26" s="10">
        <f t="shared" si="9"/>
        <v>1</v>
      </c>
      <c r="CG26" s="10">
        <f t="shared" si="0"/>
        <v>0</v>
      </c>
      <c r="CH26" s="10">
        <f t="shared" si="1"/>
        <v>17</v>
      </c>
      <c r="CI26" s="9">
        <f t="shared" si="10"/>
        <v>0</v>
      </c>
      <c r="CJ26" s="10">
        <f t="shared" si="2"/>
        <v>47</v>
      </c>
      <c r="CK26" s="10" t="b">
        <f t="shared" si="11"/>
        <v>1</v>
      </c>
      <c r="CL26" s="10" t="b">
        <f t="shared" si="12"/>
        <v>1</v>
      </c>
      <c r="CM26" s="10" t="b">
        <f t="shared" si="13"/>
        <v>1</v>
      </c>
      <c r="CN26" s="9">
        <f t="shared" si="14"/>
        <v>1</v>
      </c>
      <c r="CO26" s="10">
        <f t="shared" si="21"/>
        <v>17</v>
      </c>
      <c r="CP26" s="10" t="b">
        <f t="shared" si="15"/>
        <v>1</v>
      </c>
      <c r="CQ26" s="10" t="b">
        <f t="shared" si="16"/>
        <v>1</v>
      </c>
      <c r="CR26" s="10" cm="1">
        <f t="array" ref="CR26">_xlfn.IFS(AND($CI26=0, CK26=FALSE), NA(), AND($CI26=1, CK26=FALSE), 0, CK26=TRUE, 1)</f>
        <v>1</v>
      </c>
      <c r="CS26" s="10" cm="1">
        <f t="array" ref="CS26">_xlfn.IFS(AND($CI26=0, CL26=FALSE), NA(), AND($CI26=1, CL26=FALSE), 0, CL26=TRUE, 1)</f>
        <v>1</v>
      </c>
      <c r="CT26" s="10" cm="1">
        <f t="array" ref="CT26">_xlfn.IFS(AND($CI26=0, CM26=FALSE), NA(), AND($CI26=1, CM26=FALSE), 0, CM26=TRUE, 1)</f>
        <v>1</v>
      </c>
      <c r="CU26" s="10" cm="1">
        <f t="array" ref="CU26">_xlfn.IFS(AND($CN26=0, CP26=FALSE), NA(), AND($CN26=1, CP26=FALSE), 0, CP26=TRUE, 1)</f>
        <v>1</v>
      </c>
      <c r="CV26" s="10" cm="1">
        <f t="array" ref="CV26">_xlfn.IFS(AND($CN26=0, CQ26=FALSE), NA(), AND($CN26=1, CQ26=FALSE), 0, CQ26=TRUE, 1)</f>
        <v>1</v>
      </c>
    </row>
    <row r="27" spans="1:100" ht="15.75" x14ac:dyDescent="0.25">
      <c r="A27" s="8">
        <v>26</v>
      </c>
      <c r="B27" s="9">
        <v>407</v>
      </c>
      <c r="C27" s="10" t="s">
        <v>29</v>
      </c>
      <c r="D27" s="11" t="s">
        <v>320</v>
      </c>
      <c r="E27" s="12">
        <v>12648</v>
      </c>
      <c r="F27" s="13">
        <v>1</v>
      </c>
      <c r="G27" s="9">
        <v>64.977409362792969</v>
      </c>
      <c r="H27" s="12">
        <v>36381</v>
      </c>
      <c r="I27" s="9">
        <v>1</v>
      </c>
      <c r="J27" s="12">
        <v>36381</v>
      </c>
      <c r="K27" s="9">
        <v>0</v>
      </c>
      <c r="L27" s="9">
        <v>1</v>
      </c>
      <c r="M27" s="10" t="s">
        <v>401</v>
      </c>
      <c r="N27" s="9">
        <v>1</v>
      </c>
      <c r="O27" s="10" t="s">
        <v>401</v>
      </c>
      <c r="P27" s="9">
        <v>1</v>
      </c>
      <c r="Q27" s="10" t="s">
        <v>401</v>
      </c>
      <c r="R27" s="12">
        <v>41091</v>
      </c>
      <c r="S27" s="10" t="s">
        <v>145</v>
      </c>
      <c r="T27" s="9">
        <v>6</v>
      </c>
      <c r="U27" s="10" t="s">
        <v>401</v>
      </c>
      <c r="V27" s="10" t="s">
        <v>401</v>
      </c>
      <c r="W27" s="9"/>
      <c r="X27" s="9"/>
      <c r="Y27" s="9">
        <v>3</v>
      </c>
      <c r="Z27" s="14">
        <v>1</v>
      </c>
      <c r="AA27" s="17">
        <v>12.7</v>
      </c>
      <c r="AB27" s="18">
        <v>81</v>
      </c>
      <c r="AC27" s="18">
        <v>14</v>
      </c>
      <c r="AD27" s="9">
        <v>1</v>
      </c>
      <c r="AE27" s="9">
        <v>1</v>
      </c>
      <c r="AF27" s="9">
        <v>1</v>
      </c>
      <c r="AG27" s="9">
        <v>0</v>
      </c>
      <c r="AH27" s="9">
        <v>0</v>
      </c>
      <c r="AI27" s="9">
        <v>1</v>
      </c>
      <c r="AJ27" s="12">
        <v>42927</v>
      </c>
      <c r="AK27" s="9">
        <v>2</v>
      </c>
      <c r="AL27" s="12">
        <v>43397</v>
      </c>
      <c r="AM27" s="9">
        <v>2</v>
      </c>
      <c r="AN27" s="12">
        <v>43053</v>
      </c>
      <c r="AO27" s="12">
        <v>43425</v>
      </c>
      <c r="AP27" s="12">
        <v>43425</v>
      </c>
      <c r="AQ27" s="9">
        <v>1</v>
      </c>
      <c r="AR27" s="9">
        <f t="shared" si="4"/>
        <v>1</v>
      </c>
      <c r="AS27" s="9">
        <v>1</v>
      </c>
      <c r="AT27" s="9">
        <v>2</v>
      </c>
      <c r="AU27" s="9">
        <v>2</v>
      </c>
      <c r="AV27" s="9">
        <f t="shared" si="5"/>
        <v>1</v>
      </c>
      <c r="AW27" s="12">
        <v>43436</v>
      </c>
      <c r="AX27" s="9">
        <v>7370</v>
      </c>
      <c r="AY27" s="9">
        <v>4480</v>
      </c>
      <c r="AZ27" s="9">
        <v>1780</v>
      </c>
      <c r="BA27" s="9">
        <v>4480</v>
      </c>
      <c r="BB27" s="9">
        <v>1780.000244140625</v>
      </c>
      <c r="BC27" s="9">
        <v>268000</v>
      </c>
      <c r="BD27" s="9">
        <v>900</v>
      </c>
      <c r="BE27" s="9">
        <v>180</v>
      </c>
      <c r="BF27" s="9"/>
      <c r="BG27" s="9">
        <v>7730</v>
      </c>
      <c r="BH27" s="9">
        <v>5490</v>
      </c>
      <c r="BI27" s="9">
        <v>1380</v>
      </c>
      <c r="BJ27" s="9">
        <v>261000</v>
      </c>
      <c r="BK27" s="9">
        <v>770</v>
      </c>
      <c r="BL27" s="9">
        <v>300</v>
      </c>
      <c r="BM27" s="9"/>
      <c r="BN27" s="9">
        <v>9210</v>
      </c>
      <c r="BO27" s="9">
        <v>5760</v>
      </c>
      <c r="BP27" s="9">
        <v>2420</v>
      </c>
      <c r="BQ27" s="9">
        <v>249000</v>
      </c>
      <c r="BR27" s="9">
        <v>400</v>
      </c>
      <c r="BS27" s="9">
        <v>120</v>
      </c>
      <c r="BT27" s="9"/>
      <c r="BU27" s="9">
        <v>12080</v>
      </c>
      <c r="BV27" s="9">
        <v>8770</v>
      </c>
      <c r="BW27" s="9">
        <v>2710</v>
      </c>
      <c r="BX27" s="9">
        <v>251000</v>
      </c>
      <c r="BY27" s="9">
        <v>1000</v>
      </c>
      <c r="BZ27" s="10" t="s">
        <v>527</v>
      </c>
      <c r="CA27" s="9">
        <v>120</v>
      </c>
      <c r="CB27" s="9"/>
      <c r="CC27" s="10">
        <f t="shared" si="6"/>
        <v>2.5168535873785349</v>
      </c>
      <c r="CD27" s="10">
        <f t="shared" si="7"/>
        <v>150.56177710210878</v>
      </c>
      <c r="CE27" s="10">
        <f t="shared" si="19"/>
        <v>674516.76141744736</v>
      </c>
      <c r="CF27" s="10">
        <f t="shared" si="9"/>
        <v>1</v>
      </c>
      <c r="CG27" s="10">
        <f t="shared" si="0"/>
        <v>1</v>
      </c>
      <c r="CH27" s="10">
        <f t="shared" si="1"/>
        <v>15</v>
      </c>
      <c r="CI27" s="9">
        <f t="shared" si="10"/>
        <v>1</v>
      </c>
      <c r="CJ27" s="10">
        <f t="shared" si="2"/>
        <v>17</v>
      </c>
      <c r="CK27" s="10" t="b">
        <f t="shared" si="11"/>
        <v>1</v>
      </c>
      <c r="CL27" s="10" t="b">
        <f t="shared" si="12"/>
        <v>0</v>
      </c>
      <c r="CM27" s="10" t="b">
        <f t="shared" si="13"/>
        <v>0</v>
      </c>
      <c r="CN27" s="9">
        <f t="shared" si="14"/>
        <v>1</v>
      </c>
      <c r="CO27" s="10">
        <f t="shared" si="21"/>
        <v>16</v>
      </c>
      <c r="CP27" s="10" t="b">
        <f t="shared" si="15"/>
        <v>1</v>
      </c>
      <c r="CQ27" s="10" t="b">
        <f t="shared" si="16"/>
        <v>1</v>
      </c>
      <c r="CR27" s="10" cm="1">
        <f t="array" ref="CR27">_xlfn.IFS(AND($CI27=0, CK27=FALSE), NA(), AND($CI27=1, CK27=FALSE), 0, CK27=TRUE, 1)</f>
        <v>1</v>
      </c>
      <c r="CS27" s="10" cm="1">
        <f t="array" ref="CS27">_xlfn.IFS(AND($CI27=0, CL27=FALSE), NA(), AND($CI27=1, CL27=FALSE), 0, CL27=TRUE, 1)</f>
        <v>0</v>
      </c>
      <c r="CT27" s="10" cm="1">
        <f t="array" ref="CT27">_xlfn.IFS(AND($CI27=0, CM27=FALSE), NA(), AND($CI27=1, CM27=FALSE), 0, CM27=TRUE, 1)</f>
        <v>0</v>
      </c>
      <c r="CU27" s="10" cm="1">
        <f t="array" ref="CU27">_xlfn.IFS(AND($CN27=0, CP27=FALSE), NA(), AND($CN27=1, CP27=FALSE), 0, CP27=TRUE, 1)</f>
        <v>1</v>
      </c>
      <c r="CV27" s="10" cm="1">
        <f t="array" ref="CV27">_xlfn.IFS(AND($CN27=0, CQ27=FALSE), NA(), AND($CN27=1, CQ27=FALSE), 0, CQ27=TRUE, 1)</f>
        <v>1</v>
      </c>
    </row>
    <row r="28" spans="1:100" ht="15.75" x14ac:dyDescent="0.25">
      <c r="A28" s="8">
        <v>27</v>
      </c>
      <c r="B28" s="9">
        <v>232</v>
      </c>
      <c r="C28" s="10" t="s">
        <v>20</v>
      </c>
      <c r="D28" s="11" t="s">
        <v>49</v>
      </c>
      <c r="E28" s="12">
        <v>23033</v>
      </c>
      <c r="F28" s="13">
        <v>2</v>
      </c>
      <c r="G28" s="9">
        <v>37.160850524902344</v>
      </c>
      <c r="H28" s="12">
        <v>36606</v>
      </c>
      <c r="I28" s="9">
        <v>1</v>
      </c>
      <c r="J28" s="12">
        <v>36606</v>
      </c>
      <c r="K28" s="9">
        <v>0</v>
      </c>
      <c r="L28" s="9">
        <v>3</v>
      </c>
      <c r="M28" s="10" t="s">
        <v>401</v>
      </c>
      <c r="N28" s="9">
        <v>1</v>
      </c>
      <c r="O28" s="10" t="s">
        <v>401</v>
      </c>
      <c r="P28" s="9">
        <v>1</v>
      </c>
      <c r="Q28" s="10" t="s">
        <v>401</v>
      </c>
      <c r="R28" s="12">
        <v>37343</v>
      </c>
      <c r="S28" s="10" t="s">
        <v>512</v>
      </c>
      <c r="T28" s="10" t="s">
        <v>513</v>
      </c>
      <c r="U28" s="10">
        <v>1</v>
      </c>
      <c r="V28" s="10">
        <v>3</v>
      </c>
      <c r="W28" s="9">
        <v>6</v>
      </c>
      <c r="X28" s="9">
        <v>2</v>
      </c>
      <c r="Y28" s="9">
        <v>7</v>
      </c>
      <c r="Z28" s="25"/>
      <c r="AB28" s="9"/>
      <c r="AC28" s="9"/>
      <c r="AD28" s="9">
        <v>2</v>
      </c>
      <c r="AE28" s="9">
        <v>2</v>
      </c>
      <c r="AF28" s="9">
        <v>2</v>
      </c>
      <c r="AG28" s="9">
        <v>1</v>
      </c>
      <c r="AH28" s="9">
        <v>1</v>
      </c>
      <c r="AI28" s="9">
        <v>0</v>
      </c>
      <c r="AJ28" s="12">
        <v>42392</v>
      </c>
      <c r="AK28" s="9">
        <v>2</v>
      </c>
      <c r="AL28" s="12">
        <v>42943</v>
      </c>
      <c r="AM28" s="9">
        <v>3</v>
      </c>
      <c r="AN28" s="12">
        <v>42873</v>
      </c>
      <c r="AO28" s="12">
        <v>42976</v>
      </c>
      <c r="AP28" s="12">
        <v>42976</v>
      </c>
      <c r="AQ28" s="9">
        <v>1</v>
      </c>
      <c r="AR28" s="9">
        <f t="shared" si="4"/>
        <v>1</v>
      </c>
      <c r="AS28" s="9">
        <v>1</v>
      </c>
      <c r="AT28" s="9">
        <v>2</v>
      </c>
      <c r="AU28" s="9">
        <v>2</v>
      </c>
      <c r="AV28" s="9">
        <f t="shared" si="5"/>
        <v>1</v>
      </c>
      <c r="AW28" s="12">
        <v>43781</v>
      </c>
      <c r="AX28" s="9">
        <v>6200</v>
      </c>
      <c r="AY28" s="9"/>
      <c r="AZ28" s="9"/>
      <c r="BA28" s="9">
        <v>4023.00390625</v>
      </c>
      <c r="BB28" s="9">
        <v>1192.7044677734375</v>
      </c>
      <c r="BC28" s="9">
        <v>275000</v>
      </c>
      <c r="BD28" s="9"/>
      <c r="BE28" s="9"/>
      <c r="BF28" s="9"/>
      <c r="BG28" s="9">
        <v>7700</v>
      </c>
      <c r="BH28" s="9">
        <v>4928</v>
      </c>
      <c r="BI28" s="9"/>
      <c r="BJ28" s="9">
        <v>317000</v>
      </c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>
        <v>6200</v>
      </c>
      <c r="BV28" s="9"/>
      <c r="BW28" s="9"/>
      <c r="BX28" s="9">
        <v>275000</v>
      </c>
      <c r="BY28" s="9"/>
      <c r="BZ28" s="10" t="s">
        <v>401</v>
      </c>
      <c r="CA28" s="9"/>
      <c r="CB28" s="9"/>
      <c r="CC28" s="10">
        <f t="shared" si="6"/>
        <v>3.3730098401997415</v>
      </c>
      <c r="CD28" s="10">
        <f t="shared" si="7"/>
        <v>230.56843286030028</v>
      </c>
      <c r="CE28" s="10">
        <f t="shared" si="19"/>
        <v>927577.70605492895</v>
      </c>
      <c r="CF28" s="10">
        <f t="shared" si="9"/>
        <v>1</v>
      </c>
      <c r="CG28" s="10">
        <f t="shared" si="0"/>
        <v>0</v>
      </c>
      <c r="CH28" s="10">
        <f t="shared" si="1"/>
        <v>18</v>
      </c>
      <c r="CI28" s="9">
        <f t="shared" si="10"/>
        <v>1</v>
      </c>
      <c r="CJ28" s="10">
        <f t="shared" si="2"/>
        <v>46</v>
      </c>
      <c r="CK28" s="10" t="b">
        <f t="shared" si="11"/>
        <v>1</v>
      </c>
      <c r="CL28" s="10" t="b">
        <f t="shared" si="12"/>
        <v>1</v>
      </c>
      <c r="CM28" s="10" t="b">
        <f t="shared" si="13"/>
        <v>1</v>
      </c>
      <c r="CN28" s="9">
        <f t="shared" si="14"/>
        <v>1</v>
      </c>
      <c r="CO28" s="10">
        <f t="shared" si="21"/>
        <v>19</v>
      </c>
      <c r="CP28" s="10" t="b">
        <f t="shared" si="15"/>
        <v>1</v>
      </c>
      <c r="CQ28" s="10" t="b">
        <f t="shared" si="16"/>
        <v>1</v>
      </c>
      <c r="CR28" s="10" cm="1">
        <f t="array" ref="CR28">_xlfn.IFS(AND($CI28=0, CK28=FALSE), NA(), AND($CI28=1, CK28=FALSE), 0, CK28=TRUE, 1)</f>
        <v>1</v>
      </c>
      <c r="CS28" s="10" cm="1">
        <f t="array" ref="CS28">_xlfn.IFS(AND($CI28=0, CL28=FALSE), NA(), AND($CI28=1, CL28=FALSE), 0, CL28=TRUE, 1)</f>
        <v>1</v>
      </c>
      <c r="CT28" s="10" cm="1">
        <f t="array" ref="CT28">_xlfn.IFS(AND($CI28=0, CM28=FALSE), NA(), AND($CI28=1, CM28=FALSE), 0, CM28=TRUE, 1)</f>
        <v>1</v>
      </c>
      <c r="CU28" s="10" cm="1">
        <f t="array" ref="CU28">_xlfn.IFS(AND($CN28=0, CP28=FALSE), NA(), AND($CN28=1, CP28=FALSE), 0, CP28=TRUE, 1)</f>
        <v>1</v>
      </c>
      <c r="CV28" s="10" cm="1">
        <f t="array" ref="CV28">_xlfn.IFS(AND($CN28=0, CQ28=FALSE), NA(), AND($CN28=1, CQ28=FALSE), 0, CQ28=TRUE, 1)</f>
        <v>1</v>
      </c>
    </row>
    <row r="29" spans="1:100" ht="15.75" x14ac:dyDescent="0.25">
      <c r="A29" s="8">
        <v>28</v>
      </c>
      <c r="B29" s="9">
        <v>66</v>
      </c>
      <c r="C29" s="10" t="s">
        <v>9</v>
      </c>
      <c r="D29" s="11" t="s">
        <v>53</v>
      </c>
      <c r="E29" s="12">
        <v>16586</v>
      </c>
      <c r="F29" s="13">
        <v>1</v>
      </c>
      <c r="G29" s="9">
        <v>55.019847869873047</v>
      </c>
      <c r="H29" s="12">
        <v>36682</v>
      </c>
      <c r="I29" s="9">
        <v>1</v>
      </c>
      <c r="J29" s="12">
        <v>36681</v>
      </c>
      <c r="K29" s="9">
        <v>0</v>
      </c>
      <c r="L29" s="9">
        <v>1</v>
      </c>
      <c r="M29" s="10" t="s">
        <v>401</v>
      </c>
      <c r="N29" s="9">
        <v>2</v>
      </c>
      <c r="O29" s="10" t="s">
        <v>147</v>
      </c>
      <c r="P29" s="9">
        <v>2</v>
      </c>
      <c r="Q29" s="10" t="s">
        <v>147</v>
      </c>
      <c r="R29" s="12">
        <v>39361</v>
      </c>
      <c r="S29" s="10" t="s">
        <v>147</v>
      </c>
      <c r="T29" s="9">
        <v>1</v>
      </c>
      <c r="U29" s="10" t="s">
        <v>150</v>
      </c>
      <c r="V29" s="10" t="s">
        <v>401</v>
      </c>
      <c r="W29" s="9"/>
      <c r="X29" s="9"/>
      <c r="Y29" s="9">
        <v>4</v>
      </c>
      <c r="Z29" s="16">
        <v>1</v>
      </c>
      <c r="AA29" s="15">
        <v>12.1</v>
      </c>
      <c r="AB29" s="9"/>
      <c r="AC29" s="9"/>
      <c r="AD29" s="9">
        <v>2</v>
      </c>
      <c r="AE29" s="9">
        <v>2</v>
      </c>
      <c r="AF29" s="9">
        <v>1</v>
      </c>
      <c r="AG29" s="9">
        <v>0</v>
      </c>
      <c r="AH29" s="9">
        <v>1</v>
      </c>
      <c r="AI29" s="9">
        <v>0</v>
      </c>
      <c r="AJ29" s="12">
        <v>43137</v>
      </c>
      <c r="AK29" s="9">
        <v>2</v>
      </c>
      <c r="AL29" s="12">
        <v>43713</v>
      </c>
      <c r="AM29" s="9">
        <v>3</v>
      </c>
      <c r="AN29" s="12">
        <v>43445</v>
      </c>
      <c r="AO29" s="12">
        <v>43889</v>
      </c>
      <c r="AP29" s="12">
        <v>43889</v>
      </c>
      <c r="AQ29" s="9">
        <v>1</v>
      </c>
      <c r="AR29" s="9">
        <f t="shared" si="4"/>
        <v>1</v>
      </c>
      <c r="AS29" s="9">
        <v>1</v>
      </c>
      <c r="AT29" s="9">
        <v>2</v>
      </c>
      <c r="AU29" s="9">
        <v>1</v>
      </c>
      <c r="AV29" s="9">
        <f t="shared" si="5"/>
        <v>0</v>
      </c>
      <c r="AW29" s="12">
        <v>44727</v>
      </c>
      <c r="AX29" s="9">
        <v>8000</v>
      </c>
      <c r="AY29" s="9">
        <v>1800</v>
      </c>
      <c r="AZ29" s="9">
        <v>1100</v>
      </c>
      <c r="BA29" s="9">
        <v>1800</v>
      </c>
      <c r="BB29" s="9">
        <v>1100.0001220703125</v>
      </c>
      <c r="BC29" s="9">
        <v>130000</v>
      </c>
      <c r="BD29" s="9">
        <v>200</v>
      </c>
      <c r="BE29" s="9">
        <v>100</v>
      </c>
      <c r="BF29" s="9">
        <v>135</v>
      </c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10" t="s">
        <v>401</v>
      </c>
      <c r="CA29" s="9"/>
      <c r="CB29" s="9"/>
      <c r="CC29" s="10">
        <f t="shared" si="6"/>
        <v>1.6363634547714561</v>
      </c>
      <c r="CD29" s="10">
        <f t="shared" si="7"/>
        <v>118.18180506682738</v>
      </c>
      <c r="CE29" s="10">
        <f t="shared" si="19"/>
        <v>212727.24912028929</v>
      </c>
      <c r="CF29" s="10">
        <f t="shared" si="9"/>
        <v>1</v>
      </c>
      <c r="CG29" s="10">
        <f t="shared" si="0"/>
        <v>0</v>
      </c>
      <c r="CH29" s="10">
        <f t="shared" si="1"/>
        <v>19</v>
      </c>
      <c r="CI29" s="9">
        <f t="shared" si="10"/>
        <v>0</v>
      </c>
      <c r="CJ29" s="10">
        <f t="shared" si="2"/>
        <v>52</v>
      </c>
      <c r="CK29" s="10" t="b">
        <f t="shared" si="11"/>
        <v>1</v>
      </c>
      <c r="CL29" s="10" t="b">
        <f t="shared" si="12"/>
        <v>1</v>
      </c>
      <c r="CM29" s="10" t="b">
        <f t="shared" si="13"/>
        <v>1</v>
      </c>
      <c r="CN29" s="9">
        <f t="shared" si="14"/>
        <v>1</v>
      </c>
      <c r="CO29" s="10">
        <f t="shared" si="21"/>
        <v>24</v>
      </c>
      <c r="CP29" s="10" t="b">
        <f t="shared" si="15"/>
        <v>1</v>
      </c>
      <c r="CQ29" s="10" t="b">
        <f t="shared" si="16"/>
        <v>1</v>
      </c>
      <c r="CR29" s="10" cm="1">
        <f t="array" ref="CR29">_xlfn.IFS(AND($CI29=0, CK29=FALSE), NA(), AND($CI29=1, CK29=FALSE), 0, CK29=TRUE, 1)</f>
        <v>1</v>
      </c>
      <c r="CS29" s="10" cm="1">
        <f t="array" ref="CS29">_xlfn.IFS(AND($CI29=0, CL29=FALSE), NA(), AND($CI29=1, CL29=FALSE), 0, CL29=TRUE, 1)</f>
        <v>1</v>
      </c>
      <c r="CT29" s="10" cm="1">
        <f t="array" ref="CT29">_xlfn.IFS(AND($CI29=0, CM29=FALSE), NA(), AND($CI29=1, CM29=FALSE), 0, CM29=TRUE, 1)</f>
        <v>1</v>
      </c>
      <c r="CU29" s="10" cm="1">
        <f t="array" ref="CU29">_xlfn.IFS(AND($CN29=0, CP29=FALSE), NA(), AND($CN29=1, CP29=FALSE), 0, CP29=TRUE, 1)</f>
        <v>1</v>
      </c>
      <c r="CV29" s="10" cm="1">
        <f t="array" ref="CV29">_xlfn.IFS(AND($CN29=0, CQ29=FALSE), NA(), AND($CN29=1, CQ29=FALSE), 0, CQ29=TRUE, 1)</f>
        <v>1</v>
      </c>
    </row>
    <row r="30" spans="1:100" ht="15.75" x14ac:dyDescent="0.25">
      <c r="A30" s="8">
        <v>29</v>
      </c>
      <c r="B30" s="9">
        <v>320</v>
      </c>
      <c r="C30" s="10" t="s">
        <v>25</v>
      </c>
      <c r="D30" s="11" t="s">
        <v>269</v>
      </c>
      <c r="E30" s="12">
        <v>14513</v>
      </c>
      <c r="F30" s="13">
        <v>1</v>
      </c>
      <c r="G30" s="9">
        <v>60.722793579101563</v>
      </c>
      <c r="H30" s="12">
        <v>36692</v>
      </c>
      <c r="I30" s="9">
        <v>1</v>
      </c>
      <c r="J30" s="12">
        <v>36692</v>
      </c>
      <c r="K30" s="9">
        <v>0</v>
      </c>
      <c r="L30" s="9">
        <v>1</v>
      </c>
      <c r="M30" s="10" t="s">
        <v>401</v>
      </c>
      <c r="N30" s="9">
        <v>2</v>
      </c>
      <c r="O30" s="10" t="s">
        <v>436</v>
      </c>
      <c r="P30" s="9">
        <v>3</v>
      </c>
      <c r="Q30" s="10" t="s">
        <v>436</v>
      </c>
      <c r="R30" s="12">
        <v>43054</v>
      </c>
      <c r="S30" s="10" t="s">
        <v>146</v>
      </c>
      <c r="T30" s="9"/>
      <c r="U30" s="10" t="s">
        <v>401</v>
      </c>
      <c r="V30" s="10" t="s">
        <v>401</v>
      </c>
      <c r="W30" s="9"/>
      <c r="X30" s="9"/>
      <c r="Y30" s="9">
        <v>2</v>
      </c>
      <c r="Z30" s="14">
        <v>2</v>
      </c>
      <c r="AA30" s="15"/>
      <c r="AB30" s="16"/>
      <c r="AC30" s="16"/>
      <c r="AD30" s="9">
        <v>2</v>
      </c>
      <c r="AE30" s="9">
        <v>2</v>
      </c>
      <c r="AF30" s="9">
        <v>1</v>
      </c>
      <c r="AG30" s="9">
        <v>1</v>
      </c>
      <c r="AH30" s="9">
        <v>0</v>
      </c>
      <c r="AI30" s="9">
        <v>1</v>
      </c>
      <c r="AJ30" s="12">
        <v>43208</v>
      </c>
      <c r="AK30" s="9">
        <v>2</v>
      </c>
      <c r="AL30" s="12">
        <v>43613</v>
      </c>
      <c r="AM30" s="9">
        <v>3</v>
      </c>
      <c r="AN30" s="12">
        <v>43357</v>
      </c>
      <c r="AO30" s="12">
        <v>43635</v>
      </c>
      <c r="AP30" s="12">
        <v>43635</v>
      </c>
      <c r="AQ30" s="9">
        <v>1</v>
      </c>
      <c r="AR30" s="9">
        <f t="shared" si="4"/>
        <v>1</v>
      </c>
      <c r="AS30" s="9">
        <v>1</v>
      </c>
      <c r="AT30" s="9">
        <v>2</v>
      </c>
      <c r="AU30" s="9">
        <v>2</v>
      </c>
      <c r="AV30" s="9">
        <f t="shared" si="5"/>
        <v>1</v>
      </c>
      <c r="AW30" s="12">
        <v>43748</v>
      </c>
      <c r="AX30" s="9"/>
      <c r="AY30" s="9"/>
      <c r="AZ30" s="9"/>
      <c r="BA30" s="9">
        <v>4075.0751953125</v>
      </c>
      <c r="BB30" s="9">
        <v>1466.087890625</v>
      </c>
      <c r="BC30" s="9"/>
      <c r="BD30" s="9"/>
      <c r="BE30" s="9"/>
      <c r="BF30" s="9"/>
      <c r="BG30" s="9">
        <v>5560</v>
      </c>
      <c r="BH30" s="9">
        <v>4800</v>
      </c>
      <c r="BI30" s="9">
        <v>300</v>
      </c>
      <c r="BJ30" s="9">
        <v>253000</v>
      </c>
      <c r="BK30" s="9">
        <v>300</v>
      </c>
      <c r="BL30" s="9">
        <v>100</v>
      </c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10" t="s">
        <v>401</v>
      </c>
      <c r="CA30" s="9"/>
      <c r="CB30" s="9"/>
      <c r="CC30" s="10">
        <f t="shared" si="6"/>
        <v>2.7795572293931685</v>
      </c>
      <c r="CF30" s="10">
        <f t="shared" si="9"/>
        <v>1</v>
      </c>
      <c r="CG30" s="10">
        <f t="shared" si="0"/>
        <v>0</v>
      </c>
      <c r="CH30" s="10">
        <f t="shared" si="1"/>
        <v>13</v>
      </c>
      <c r="CI30" s="9">
        <f t="shared" si="10"/>
        <v>1</v>
      </c>
      <c r="CJ30" s="10">
        <f t="shared" si="2"/>
        <v>18</v>
      </c>
      <c r="CK30" s="10" t="b">
        <f t="shared" si="11"/>
        <v>1</v>
      </c>
      <c r="CL30" s="10" t="b">
        <f t="shared" si="12"/>
        <v>1</v>
      </c>
      <c r="CM30" s="10" t="b">
        <f t="shared" si="13"/>
        <v>0</v>
      </c>
      <c r="CN30" s="9">
        <f t="shared" si="14"/>
        <v>1</v>
      </c>
      <c r="CO30" s="10">
        <f t="shared" si="21"/>
        <v>14</v>
      </c>
      <c r="CP30" s="10" t="b">
        <f t="shared" si="15"/>
        <v>1</v>
      </c>
      <c r="CQ30" s="10" t="b">
        <f t="shared" si="16"/>
        <v>1</v>
      </c>
      <c r="CR30" s="10" cm="1">
        <f t="array" ref="CR30">_xlfn.IFS(AND($CI30=0, CK30=FALSE), NA(), AND($CI30=1, CK30=FALSE), 0, CK30=TRUE, 1)</f>
        <v>1</v>
      </c>
      <c r="CS30" s="10" cm="1">
        <f t="array" ref="CS30">_xlfn.IFS(AND($CI30=0, CL30=FALSE), NA(), AND($CI30=1, CL30=FALSE), 0, CL30=TRUE, 1)</f>
        <v>1</v>
      </c>
      <c r="CT30" s="10" cm="1">
        <f t="array" ref="CT30">_xlfn.IFS(AND($CI30=0, CM30=FALSE), NA(), AND($CI30=1, CM30=FALSE), 0, CM30=TRUE, 1)</f>
        <v>0</v>
      </c>
      <c r="CU30" s="10" cm="1">
        <f t="array" ref="CU30">_xlfn.IFS(AND($CN30=0, CP30=FALSE), NA(), AND($CN30=1, CP30=FALSE), 0, CP30=TRUE, 1)</f>
        <v>1</v>
      </c>
      <c r="CV30" s="10" cm="1">
        <f t="array" ref="CV30">_xlfn.IFS(AND($CN30=0, CQ30=FALSE), NA(), AND($CN30=1, CQ30=FALSE), 0, CQ30=TRUE, 1)</f>
        <v>1</v>
      </c>
    </row>
    <row r="31" spans="1:100" ht="15.75" x14ac:dyDescent="0.25">
      <c r="A31" s="8">
        <v>30</v>
      </c>
      <c r="B31" s="9">
        <v>444</v>
      </c>
      <c r="C31" s="10" t="s">
        <v>30</v>
      </c>
      <c r="D31" s="11" t="s">
        <v>347</v>
      </c>
      <c r="E31" s="12">
        <v>15541</v>
      </c>
      <c r="F31" s="13">
        <v>2</v>
      </c>
      <c r="G31" s="9">
        <v>58.217658996582031</v>
      </c>
      <c r="H31" s="12">
        <v>36805</v>
      </c>
      <c r="I31" s="9">
        <v>1</v>
      </c>
      <c r="J31" s="12">
        <v>36805</v>
      </c>
      <c r="K31" s="9">
        <v>0</v>
      </c>
      <c r="L31" s="9">
        <v>1</v>
      </c>
      <c r="M31" s="10" t="s">
        <v>401</v>
      </c>
      <c r="N31" s="9">
        <v>1</v>
      </c>
      <c r="O31" s="10" t="s">
        <v>401</v>
      </c>
      <c r="P31" s="9">
        <v>1</v>
      </c>
      <c r="Q31" s="10" t="s">
        <v>401</v>
      </c>
      <c r="R31" s="12">
        <v>42047</v>
      </c>
      <c r="S31" s="10" t="s">
        <v>146</v>
      </c>
      <c r="T31" s="9">
        <v>6</v>
      </c>
      <c r="U31" s="10" t="s">
        <v>401</v>
      </c>
      <c r="V31" s="10" t="s">
        <v>401</v>
      </c>
      <c r="W31" s="9"/>
      <c r="X31" s="9"/>
      <c r="Y31" s="9">
        <v>3</v>
      </c>
      <c r="Z31" s="14">
        <v>2</v>
      </c>
      <c r="AA31" s="15">
        <v>13.3</v>
      </c>
      <c r="AB31" s="16">
        <v>99</v>
      </c>
      <c r="AC31" s="16">
        <v>11</v>
      </c>
      <c r="AD31" s="9">
        <v>1</v>
      </c>
      <c r="AE31" s="9">
        <v>2</v>
      </c>
      <c r="AF31" s="9">
        <v>1</v>
      </c>
      <c r="AG31" s="9">
        <v>1</v>
      </c>
      <c r="AH31" s="9">
        <v>1</v>
      </c>
      <c r="AI31" s="9">
        <v>1</v>
      </c>
      <c r="AJ31" s="12">
        <v>42863</v>
      </c>
      <c r="AK31" s="9">
        <v>2</v>
      </c>
      <c r="AL31" s="12">
        <v>43347</v>
      </c>
      <c r="AM31" s="9">
        <v>3</v>
      </c>
      <c r="AN31" s="12">
        <v>42948</v>
      </c>
      <c r="AO31" s="12">
        <v>43374</v>
      </c>
      <c r="AP31" s="12">
        <v>43374</v>
      </c>
      <c r="AQ31" s="9">
        <v>1</v>
      </c>
      <c r="AR31" s="9">
        <f t="shared" si="4"/>
        <v>1</v>
      </c>
      <c r="AS31" s="9">
        <v>1</v>
      </c>
      <c r="AT31" s="9">
        <v>2</v>
      </c>
      <c r="AU31" s="9">
        <v>2</v>
      </c>
      <c r="AV31" s="9">
        <f t="shared" si="5"/>
        <v>1</v>
      </c>
      <c r="AW31" s="12">
        <v>44160</v>
      </c>
      <c r="AX31" s="9">
        <v>6800</v>
      </c>
      <c r="AY31" s="9">
        <v>3660</v>
      </c>
      <c r="AZ31" s="9">
        <v>2160</v>
      </c>
      <c r="BA31" s="9">
        <v>3660</v>
      </c>
      <c r="BB31" s="9">
        <v>2160.000244140625</v>
      </c>
      <c r="BC31" s="9">
        <v>516000</v>
      </c>
      <c r="BD31" s="9"/>
      <c r="BE31" s="9"/>
      <c r="BF31" s="9"/>
      <c r="BG31" s="9">
        <v>5800</v>
      </c>
      <c r="BH31" s="9">
        <v>2680</v>
      </c>
      <c r="BI31" s="9">
        <v>2100</v>
      </c>
      <c r="BJ31" s="9">
        <v>282000</v>
      </c>
      <c r="BK31" s="9"/>
      <c r="BL31" s="9"/>
      <c r="BM31" s="9"/>
      <c r="BN31" s="9">
        <v>6847</v>
      </c>
      <c r="BO31" s="9">
        <v>2560</v>
      </c>
      <c r="BP31" s="9">
        <v>2260</v>
      </c>
      <c r="BQ31" s="9">
        <v>279000</v>
      </c>
      <c r="BR31" s="9"/>
      <c r="BS31" s="9"/>
      <c r="BT31" s="9"/>
      <c r="BU31" s="9">
        <v>5900</v>
      </c>
      <c r="BV31" s="9">
        <v>2850</v>
      </c>
      <c r="BW31" s="9">
        <v>2140</v>
      </c>
      <c r="BX31" s="9">
        <v>285000</v>
      </c>
      <c r="BY31" s="9"/>
      <c r="BZ31" s="10" t="s">
        <v>401</v>
      </c>
      <c r="CA31" s="9"/>
      <c r="CB31" s="9"/>
      <c r="CC31" s="10">
        <f t="shared" si="6"/>
        <v>1.6944442529246857</v>
      </c>
      <c r="CD31" s="10">
        <f t="shared" si="7"/>
        <v>238.88886188774256</v>
      </c>
      <c r="CE31" s="10">
        <f t="shared" ref="CE31:CE41" si="22">BC31*CC31</f>
        <v>874333.23450913781</v>
      </c>
      <c r="CF31" s="10">
        <f t="shared" si="9"/>
        <v>1</v>
      </c>
      <c r="CG31" s="10">
        <f t="shared" si="0"/>
        <v>0</v>
      </c>
      <c r="CH31" s="10">
        <f t="shared" si="1"/>
        <v>16</v>
      </c>
      <c r="CI31" s="9">
        <f t="shared" si="10"/>
        <v>1</v>
      </c>
      <c r="CJ31" s="10">
        <f t="shared" si="2"/>
        <v>42</v>
      </c>
      <c r="CK31" s="10" t="b">
        <f t="shared" si="11"/>
        <v>1</v>
      </c>
      <c r="CL31" s="10" t="b">
        <f t="shared" si="12"/>
        <v>1</v>
      </c>
      <c r="CM31" s="10" t="b">
        <f t="shared" si="13"/>
        <v>1</v>
      </c>
      <c r="CN31" s="9">
        <f t="shared" si="14"/>
        <v>1</v>
      </c>
      <c r="CO31" s="10">
        <f t="shared" si="21"/>
        <v>17</v>
      </c>
      <c r="CP31" s="10" t="b">
        <f t="shared" si="15"/>
        <v>1</v>
      </c>
      <c r="CQ31" s="10" t="b">
        <f t="shared" si="16"/>
        <v>1</v>
      </c>
      <c r="CR31" s="10" cm="1">
        <f t="array" ref="CR31">_xlfn.IFS(AND($CI31=0, CK31=FALSE), NA(), AND($CI31=1, CK31=FALSE), 0, CK31=TRUE, 1)</f>
        <v>1</v>
      </c>
      <c r="CS31" s="10" cm="1">
        <f t="array" ref="CS31">_xlfn.IFS(AND($CI31=0, CL31=FALSE), NA(), AND($CI31=1, CL31=FALSE), 0, CL31=TRUE, 1)</f>
        <v>1</v>
      </c>
      <c r="CT31" s="10" cm="1">
        <f t="array" ref="CT31">_xlfn.IFS(AND($CI31=0, CM31=FALSE), NA(), AND($CI31=1, CM31=FALSE), 0, CM31=TRUE, 1)</f>
        <v>1</v>
      </c>
      <c r="CU31" s="10" cm="1">
        <f t="array" ref="CU31">_xlfn.IFS(AND($CN31=0, CP31=FALSE), NA(), AND($CN31=1, CP31=FALSE), 0, CP31=TRUE, 1)</f>
        <v>1</v>
      </c>
      <c r="CV31" s="10" cm="1">
        <f t="array" ref="CV31">_xlfn.IFS(AND($CN31=0, CQ31=FALSE), NA(), AND($CN31=1, CQ31=FALSE), 0, CQ31=TRUE, 1)</f>
        <v>1</v>
      </c>
    </row>
    <row r="32" spans="1:100" ht="15.75" x14ac:dyDescent="0.25">
      <c r="A32" s="8">
        <v>31</v>
      </c>
      <c r="B32" s="9">
        <v>548</v>
      </c>
      <c r="C32" s="10" t="s">
        <v>35</v>
      </c>
      <c r="D32" s="11" t="s">
        <v>41</v>
      </c>
      <c r="E32" s="12">
        <v>19530</v>
      </c>
      <c r="F32" s="13">
        <v>1</v>
      </c>
      <c r="G32" s="9">
        <v>47.8275146484375</v>
      </c>
      <c r="H32" s="12">
        <v>36999</v>
      </c>
      <c r="I32" s="9">
        <v>1</v>
      </c>
      <c r="J32" s="12">
        <v>37033</v>
      </c>
      <c r="K32" s="9">
        <v>1</v>
      </c>
      <c r="L32" s="9">
        <v>1</v>
      </c>
      <c r="M32" s="10" t="s">
        <v>401</v>
      </c>
      <c r="N32" s="9">
        <v>2</v>
      </c>
      <c r="O32" s="10" t="s">
        <v>145</v>
      </c>
      <c r="P32" s="9">
        <v>2</v>
      </c>
      <c r="Q32" s="10" t="s">
        <v>145</v>
      </c>
      <c r="R32" s="12">
        <v>36999</v>
      </c>
      <c r="S32" s="10" t="s">
        <v>145</v>
      </c>
      <c r="T32" s="9"/>
      <c r="U32" s="10" t="s">
        <v>401</v>
      </c>
      <c r="V32" s="10" t="s">
        <v>401</v>
      </c>
      <c r="W32" s="9"/>
      <c r="X32" s="9"/>
      <c r="Y32" s="9">
        <v>2</v>
      </c>
      <c r="Z32" s="14">
        <v>1</v>
      </c>
      <c r="AA32" s="17">
        <v>14</v>
      </c>
      <c r="AB32" s="18">
        <v>85</v>
      </c>
      <c r="AC32" s="9"/>
      <c r="AD32" s="9">
        <v>2</v>
      </c>
      <c r="AE32" s="9">
        <v>2</v>
      </c>
      <c r="AF32" s="9">
        <v>2</v>
      </c>
      <c r="AG32" s="9">
        <v>1</v>
      </c>
      <c r="AH32" s="9">
        <v>1</v>
      </c>
      <c r="AI32" s="9">
        <v>0</v>
      </c>
      <c r="AJ32" s="12">
        <v>43487</v>
      </c>
      <c r="AK32" s="9">
        <v>2</v>
      </c>
      <c r="AL32" s="12">
        <v>43662</v>
      </c>
      <c r="AM32" s="9">
        <v>2</v>
      </c>
      <c r="AN32" s="12">
        <v>43623</v>
      </c>
      <c r="AO32" s="12">
        <v>43689</v>
      </c>
      <c r="AP32" s="12">
        <v>43689</v>
      </c>
      <c r="AQ32" s="9">
        <v>1</v>
      </c>
      <c r="AR32" s="9">
        <f t="shared" si="4"/>
        <v>1</v>
      </c>
      <c r="AS32" s="9">
        <v>1</v>
      </c>
      <c r="AT32" s="9">
        <v>2</v>
      </c>
      <c r="AU32" s="9">
        <v>2</v>
      </c>
      <c r="AV32" s="9">
        <f t="shared" si="5"/>
        <v>1</v>
      </c>
      <c r="AW32" s="12">
        <v>43826</v>
      </c>
      <c r="AX32" s="9">
        <v>7500</v>
      </c>
      <c r="AY32" s="9">
        <v>5440</v>
      </c>
      <c r="AZ32" s="9">
        <v>1240</v>
      </c>
      <c r="BA32" s="9">
        <v>5440</v>
      </c>
      <c r="BB32" s="9">
        <v>1240</v>
      </c>
      <c r="BC32" s="9">
        <v>139000</v>
      </c>
      <c r="BD32" s="9">
        <v>560</v>
      </c>
      <c r="BE32" s="9">
        <v>210</v>
      </c>
      <c r="BF32" s="9">
        <v>211</v>
      </c>
      <c r="BG32" s="9">
        <v>7400</v>
      </c>
      <c r="BH32" s="9">
        <v>5160</v>
      </c>
      <c r="BI32" s="9">
        <v>1310</v>
      </c>
      <c r="BJ32" s="9">
        <v>129000</v>
      </c>
      <c r="BK32" s="9">
        <v>620</v>
      </c>
      <c r="BL32" s="9">
        <v>240</v>
      </c>
      <c r="BM32" s="9">
        <v>251</v>
      </c>
      <c r="BN32" s="9">
        <v>7000</v>
      </c>
      <c r="BO32" s="9">
        <v>4880</v>
      </c>
      <c r="BP32" s="9">
        <v>1190</v>
      </c>
      <c r="BQ32" s="9">
        <v>142000</v>
      </c>
      <c r="BR32" s="9">
        <v>630</v>
      </c>
      <c r="BS32" s="9">
        <v>240</v>
      </c>
      <c r="BT32" s="9"/>
      <c r="BU32" s="9">
        <v>7300</v>
      </c>
      <c r="BV32" s="9">
        <v>5250</v>
      </c>
      <c r="BW32" s="9">
        <v>1100</v>
      </c>
      <c r="BX32" s="9">
        <v>127000</v>
      </c>
      <c r="BY32" s="9">
        <v>630</v>
      </c>
      <c r="BZ32" s="10" t="s">
        <v>535</v>
      </c>
      <c r="CA32" s="9">
        <v>260</v>
      </c>
      <c r="CB32" s="9"/>
      <c r="CC32" s="10">
        <f t="shared" si="6"/>
        <v>4.387096774193548</v>
      </c>
      <c r="CD32" s="10">
        <f t="shared" si="7"/>
        <v>112.09677419354838</v>
      </c>
      <c r="CE32" s="10">
        <f t="shared" si="22"/>
        <v>609806.45161290315</v>
      </c>
      <c r="CF32" s="10">
        <f t="shared" si="9"/>
        <v>1</v>
      </c>
      <c r="CG32" s="10">
        <f t="shared" si="0"/>
        <v>1</v>
      </c>
      <c r="CH32" s="10">
        <f t="shared" si="1"/>
        <v>6</v>
      </c>
      <c r="CI32" s="9">
        <f t="shared" si="10"/>
        <v>1</v>
      </c>
      <c r="CJ32" s="10">
        <f t="shared" si="2"/>
        <v>11</v>
      </c>
      <c r="CK32" s="10" t="b">
        <f t="shared" si="11"/>
        <v>1</v>
      </c>
      <c r="CL32" s="10" t="b">
        <f t="shared" si="12"/>
        <v>0</v>
      </c>
      <c r="CM32" s="10" t="b">
        <f t="shared" si="13"/>
        <v>0</v>
      </c>
      <c r="CN32" s="9">
        <f t="shared" si="14"/>
        <v>1</v>
      </c>
      <c r="CO32" s="10">
        <f t="shared" si="21"/>
        <v>7</v>
      </c>
      <c r="CP32" s="10" t="b">
        <f t="shared" si="15"/>
        <v>1</v>
      </c>
      <c r="CQ32" s="10" t="b">
        <f t="shared" si="16"/>
        <v>0</v>
      </c>
      <c r="CR32" s="10" cm="1">
        <f t="array" ref="CR32">_xlfn.IFS(AND($CI32=0, CK32=FALSE), NA(), AND($CI32=1, CK32=FALSE), 0, CK32=TRUE, 1)</f>
        <v>1</v>
      </c>
      <c r="CS32" s="10" cm="1">
        <f t="array" ref="CS32">_xlfn.IFS(AND($CI32=0, CL32=FALSE), NA(), AND($CI32=1, CL32=FALSE), 0, CL32=TRUE, 1)</f>
        <v>0</v>
      </c>
      <c r="CT32" s="10" cm="1">
        <f t="array" ref="CT32">_xlfn.IFS(AND($CI32=0, CM32=FALSE), NA(), AND($CI32=1, CM32=FALSE), 0, CM32=TRUE, 1)</f>
        <v>0</v>
      </c>
      <c r="CU32" s="10" cm="1">
        <f t="array" ref="CU32">_xlfn.IFS(AND($CN32=0, CP32=FALSE), NA(), AND($CN32=1, CP32=FALSE), 0, CP32=TRUE, 1)</f>
        <v>1</v>
      </c>
      <c r="CV32" s="10" cm="1">
        <f t="array" ref="CV32">_xlfn.IFS(AND($CN32=0, CQ32=FALSE), NA(), AND($CN32=1, CQ32=FALSE), 0, CQ32=TRUE, 1)</f>
        <v>0</v>
      </c>
    </row>
    <row r="33" spans="1:100" ht="15.75" x14ac:dyDescent="0.25">
      <c r="A33" s="8">
        <v>32</v>
      </c>
      <c r="B33" s="9">
        <v>49</v>
      </c>
      <c r="C33" s="10" t="s">
        <v>7</v>
      </c>
      <c r="D33" s="11" t="s">
        <v>51</v>
      </c>
      <c r="E33" s="12">
        <v>16777</v>
      </c>
      <c r="F33" s="13">
        <v>1</v>
      </c>
      <c r="G33" s="9">
        <v>55.523612976074219</v>
      </c>
      <c r="H33" s="12">
        <v>37057</v>
      </c>
      <c r="I33" s="9">
        <v>1</v>
      </c>
      <c r="J33" s="12"/>
      <c r="K33" s="9">
        <v>0</v>
      </c>
      <c r="L33" s="9">
        <v>2</v>
      </c>
      <c r="M33" s="10" t="s">
        <v>401</v>
      </c>
      <c r="N33" s="9">
        <v>1</v>
      </c>
      <c r="O33" s="10" t="s">
        <v>401</v>
      </c>
      <c r="P33" s="9">
        <v>1</v>
      </c>
      <c r="Q33" s="10" t="s">
        <v>401</v>
      </c>
      <c r="R33" s="12">
        <v>41528</v>
      </c>
      <c r="S33" s="10" t="s">
        <v>146</v>
      </c>
      <c r="T33" s="9">
        <v>1</v>
      </c>
      <c r="U33" s="10" t="s">
        <v>401</v>
      </c>
      <c r="V33" s="10" t="s">
        <v>401</v>
      </c>
      <c r="W33" s="9"/>
      <c r="X33" s="9"/>
      <c r="Y33" s="9">
        <v>3</v>
      </c>
      <c r="Z33" s="19"/>
      <c r="AA33" s="21">
        <v>12</v>
      </c>
      <c r="AB33" s="22">
        <v>105</v>
      </c>
      <c r="AC33" s="22">
        <v>13.4</v>
      </c>
      <c r="AD33" s="9">
        <v>2</v>
      </c>
      <c r="AE33" s="9">
        <v>2</v>
      </c>
      <c r="AF33" s="9">
        <v>1</v>
      </c>
      <c r="AG33" s="9">
        <v>1</v>
      </c>
      <c r="AH33" s="9">
        <v>1</v>
      </c>
      <c r="AI33" s="9">
        <v>0</v>
      </c>
      <c r="AJ33" s="12">
        <v>42473</v>
      </c>
      <c r="AK33" s="9">
        <v>2</v>
      </c>
      <c r="AL33" s="12">
        <v>43257</v>
      </c>
      <c r="AM33" s="9">
        <v>3</v>
      </c>
      <c r="AN33" s="12">
        <v>42549</v>
      </c>
      <c r="AO33" s="12">
        <v>43244</v>
      </c>
      <c r="AP33" s="12">
        <v>43244</v>
      </c>
      <c r="AQ33" s="9">
        <v>1</v>
      </c>
      <c r="AR33" s="9">
        <f t="shared" si="4"/>
        <v>1</v>
      </c>
      <c r="AS33" s="9">
        <v>1</v>
      </c>
      <c r="AT33" s="9">
        <v>2</v>
      </c>
      <c r="AU33" s="9">
        <v>2</v>
      </c>
      <c r="AV33" s="9">
        <f t="shared" si="5"/>
        <v>1</v>
      </c>
      <c r="AW33" s="12">
        <v>43381</v>
      </c>
      <c r="AX33" s="9">
        <v>6260</v>
      </c>
      <c r="AY33" s="9">
        <v>3090</v>
      </c>
      <c r="AZ33" s="9">
        <v>2360</v>
      </c>
      <c r="BA33" s="9">
        <v>3090</v>
      </c>
      <c r="BB33" s="9">
        <v>2360.000244140625</v>
      </c>
      <c r="BC33" s="9">
        <v>309000</v>
      </c>
      <c r="BD33" s="9">
        <v>590</v>
      </c>
      <c r="BE33" s="9">
        <v>190</v>
      </c>
      <c r="BF33" s="9"/>
      <c r="BG33" s="9">
        <v>5760</v>
      </c>
      <c r="BH33" s="9">
        <v>2620</v>
      </c>
      <c r="BI33" s="9">
        <v>2220</v>
      </c>
      <c r="BJ33" s="9">
        <v>232000</v>
      </c>
      <c r="BK33" s="9">
        <v>580</v>
      </c>
      <c r="BL33" s="9">
        <v>300</v>
      </c>
      <c r="BM33" s="9"/>
      <c r="BN33" s="9">
        <v>6430</v>
      </c>
      <c r="BO33" s="9">
        <v>3420</v>
      </c>
      <c r="BP33" s="9">
        <v>2190</v>
      </c>
      <c r="BQ33" s="9">
        <v>261000</v>
      </c>
      <c r="BR33" s="9">
        <v>470</v>
      </c>
      <c r="BS33" s="9">
        <v>280</v>
      </c>
      <c r="BT33" s="9"/>
      <c r="BU33" s="9">
        <v>6780</v>
      </c>
      <c r="BV33" s="9">
        <v>4400</v>
      </c>
      <c r="BW33" s="9">
        <v>1380</v>
      </c>
      <c r="BX33" s="9">
        <v>222000</v>
      </c>
      <c r="BY33" s="9">
        <v>760</v>
      </c>
      <c r="BZ33" s="10" t="s">
        <v>524</v>
      </c>
      <c r="CA33" s="9">
        <v>200</v>
      </c>
      <c r="CB33" s="9"/>
      <c r="CC33" s="10">
        <f t="shared" si="6"/>
        <v>1.3093218984497175</v>
      </c>
      <c r="CD33" s="10">
        <f t="shared" si="7"/>
        <v>130.93218984497176</v>
      </c>
      <c r="CE33" s="10">
        <f t="shared" si="22"/>
        <v>404580.46662096272</v>
      </c>
      <c r="CF33" s="10">
        <f t="shared" si="9"/>
        <v>1</v>
      </c>
      <c r="CG33" s="10">
        <f t="shared" si="0"/>
        <v>0</v>
      </c>
      <c r="CH33" s="10">
        <f t="shared" si="1"/>
        <v>26</v>
      </c>
      <c r="CI33" s="9">
        <f t="shared" si="10"/>
        <v>1</v>
      </c>
      <c r="CJ33" s="10">
        <f t="shared" si="2"/>
        <v>30</v>
      </c>
      <c r="CK33" s="10" t="b">
        <f t="shared" si="11"/>
        <v>1</v>
      </c>
      <c r="CL33" s="10" t="b">
        <f t="shared" si="12"/>
        <v>1</v>
      </c>
      <c r="CM33" s="10" t="b">
        <f t="shared" si="13"/>
        <v>1</v>
      </c>
      <c r="CN33" s="9">
        <f t="shared" si="14"/>
        <v>1</v>
      </c>
      <c r="CO33" s="10">
        <f t="shared" si="21"/>
        <v>25</v>
      </c>
      <c r="CP33" s="10" t="b">
        <f t="shared" si="15"/>
        <v>1</v>
      </c>
      <c r="CQ33" s="10" t="b">
        <f t="shared" si="16"/>
        <v>1</v>
      </c>
      <c r="CR33" s="10" cm="1">
        <f t="array" ref="CR33">_xlfn.IFS(AND($CI33=0, CK33=FALSE), NA(), AND($CI33=1, CK33=FALSE), 0, CK33=TRUE, 1)</f>
        <v>1</v>
      </c>
      <c r="CS33" s="10" cm="1">
        <f t="array" ref="CS33">_xlfn.IFS(AND($CI33=0, CL33=FALSE), NA(), AND($CI33=1, CL33=FALSE), 0, CL33=TRUE, 1)</f>
        <v>1</v>
      </c>
      <c r="CT33" s="10" cm="1">
        <f t="array" ref="CT33">_xlfn.IFS(AND($CI33=0, CM33=FALSE), NA(), AND($CI33=1, CM33=FALSE), 0, CM33=TRUE, 1)</f>
        <v>1</v>
      </c>
      <c r="CU33" s="10" cm="1">
        <f t="array" ref="CU33">_xlfn.IFS(AND($CN33=0, CP33=FALSE), NA(), AND($CN33=1, CP33=FALSE), 0, CP33=TRUE, 1)</f>
        <v>1</v>
      </c>
      <c r="CV33" s="10" cm="1">
        <f t="array" ref="CV33">_xlfn.IFS(AND($CN33=0, CQ33=FALSE), NA(), AND($CN33=1, CQ33=FALSE), 0, CQ33=TRUE, 1)</f>
        <v>1</v>
      </c>
    </row>
    <row r="34" spans="1:100" ht="15.75" x14ac:dyDescent="0.25">
      <c r="A34" s="8">
        <v>33</v>
      </c>
      <c r="B34" s="9">
        <v>187</v>
      </c>
      <c r="C34" s="10" t="s">
        <v>17</v>
      </c>
      <c r="D34" s="11" t="s">
        <v>43</v>
      </c>
      <c r="E34" s="12">
        <v>18722</v>
      </c>
      <c r="F34" s="13">
        <v>1</v>
      </c>
      <c r="G34" s="9">
        <v>50.198493957519531</v>
      </c>
      <c r="H34" s="12">
        <v>37057</v>
      </c>
      <c r="I34" s="9">
        <v>1</v>
      </c>
      <c r="J34" s="12">
        <v>37057</v>
      </c>
      <c r="K34" s="9">
        <v>0</v>
      </c>
      <c r="L34" s="9">
        <v>1</v>
      </c>
      <c r="M34" s="10" t="s">
        <v>401</v>
      </c>
      <c r="N34" s="9">
        <v>2</v>
      </c>
      <c r="O34" s="10" t="s">
        <v>148</v>
      </c>
      <c r="P34" s="9">
        <v>2</v>
      </c>
      <c r="Q34" s="10" t="s">
        <v>148</v>
      </c>
      <c r="R34" s="12">
        <v>40758</v>
      </c>
      <c r="S34" s="10" t="s">
        <v>145</v>
      </c>
      <c r="T34" s="9"/>
      <c r="U34" s="10" t="s">
        <v>401</v>
      </c>
      <c r="V34" s="10" t="s">
        <v>401</v>
      </c>
      <c r="W34" s="9"/>
      <c r="X34" s="9"/>
      <c r="Y34" s="9">
        <v>2</v>
      </c>
      <c r="Z34" s="14">
        <v>1</v>
      </c>
      <c r="AA34" s="15">
        <v>13.4</v>
      </c>
      <c r="AB34" s="16">
        <v>103</v>
      </c>
      <c r="AC34" s="16">
        <v>18</v>
      </c>
      <c r="AD34" s="9">
        <v>2</v>
      </c>
      <c r="AE34" s="9">
        <v>2</v>
      </c>
      <c r="AF34" s="9">
        <v>1</v>
      </c>
      <c r="AG34" s="9">
        <v>0</v>
      </c>
      <c r="AH34" s="9">
        <v>1</v>
      </c>
      <c r="AI34" s="9">
        <v>1</v>
      </c>
      <c r="AJ34" s="12">
        <v>43385</v>
      </c>
      <c r="AK34" s="9">
        <v>2</v>
      </c>
      <c r="AL34" s="12">
        <v>43427</v>
      </c>
      <c r="AM34" s="9">
        <v>4</v>
      </c>
      <c r="AN34" s="12">
        <v>43452</v>
      </c>
      <c r="AO34" s="12">
        <v>43427</v>
      </c>
      <c r="AP34" s="12">
        <v>43452</v>
      </c>
      <c r="AQ34" s="9">
        <v>1</v>
      </c>
      <c r="AR34" s="9">
        <f t="shared" si="4"/>
        <v>1</v>
      </c>
      <c r="AS34" s="9">
        <v>1</v>
      </c>
      <c r="AT34" s="9">
        <v>1</v>
      </c>
      <c r="AU34" s="9">
        <v>2</v>
      </c>
      <c r="AV34" s="9">
        <f t="shared" si="5"/>
        <v>1</v>
      </c>
      <c r="AW34" s="12">
        <v>43525</v>
      </c>
      <c r="AX34" s="9">
        <v>3350</v>
      </c>
      <c r="AY34" s="9">
        <v>2400</v>
      </c>
      <c r="AZ34" s="9">
        <v>400</v>
      </c>
      <c r="BA34" s="9">
        <v>2400</v>
      </c>
      <c r="BB34" s="9">
        <v>400.00003051757813</v>
      </c>
      <c r="BC34" s="9">
        <v>129000</v>
      </c>
      <c r="BD34" s="9">
        <v>300</v>
      </c>
      <c r="BE34" s="9">
        <v>200</v>
      </c>
      <c r="BF34" s="9"/>
      <c r="BG34" s="9">
        <v>5560</v>
      </c>
      <c r="BH34" s="9">
        <v>4300</v>
      </c>
      <c r="BI34" s="9">
        <v>600</v>
      </c>
      <c r="BJ34" s="9">
        <v>202000</v>
      </c>
      <c r="BK34" s="9">
        <v>500</v>
      </c>
      <c r="BL34" s="9">
        <v>0</v>
      </c>
      <c r="BM34" s="9"/>
      <c r="BN34" s="9">
        <v>6610</v>
      </c>
      <c r="BO34" s="9">
        <v>5500</v>
      </c>
      <c r="BP34" s="9">
        <v>300</v>
      </c>
      <c r="BQ34" s="9">
        <v>193000</v>
      </c>
      <c r="BR34" s="9">
        <v>700</v>
      </c>
      <c r="BS34" s="9">
        <v>100</v>
      </c>
      <c r="BT34" s="9"/>
      <c r="BU34" s="9"/>
      <c r="BV34" s="9"/>
      <c r="BW34" s="9"/>
      <c r="BX34" s="9"/>
      <c r="BY34" s="9"/>
      <c r="BZ34" s="10" t="s">
        <v>401</v>
      </c>
      <c r="CA34" s="9"/>
      <c r="CB34" s="9"/>
      <c r="CC34" s="10">
        <f t="shared" si="6"/>
        <v>5.9999995422363632</v>
      </c>
      <c r="CD34" s="10">
        <f t="shared" si="7"/>
        <v>322.4999753952045</v>
      </c>
      <c r="CE34" s="10">
        <f t="shared" si="22"/>
        <v>773999.94094849087</v>
      </c>
      <c r="CF34" s="10">
        <f t="shared" si="9"/>
        <v>0</v>
      </c>
      <c r="CG34" s="10">
        <f t="shared" si="0"/>
        <v>0</v>
      </c>
      <c r="CH34" s="10">
        <f t="shared" si="1"/>
        <v>1</v>
      </c>
      <c r="CI34" s="9">
        <f t="shared" si="10"/>
        <v>1</v>
      </c>
      <c r="CJ34" s="10">
        <f t="shared" si="2"/>
        <v>5</v>
      </c>
      <c r="CK34" s="10" t="b">
        <f t="shared" si="11"/>
        <v>0</v>
      </c>
      <c r="CL34" s="10" t="b">
        <f t="shared" si="12"/>
        <v>0</v>
      </c>
      <c r="CM34" s="10" t="b">
        <f t="shared" si="13"/>
        <v>0</v>
      </c>
      <c r="CN34" s="9">
        <f t="shared" si="14"/>
        <v>1</v>
      </c>
      <c r="CO34" s="10">
        <f t="shared" si="21"/>
        <v>1</v>
      </c>
      <c r="CP34" s="10" t="b">
        <f t="shared" si="15"/>
        <v>0</v>
      </c>
      <c r="CQ34" s="10" t="b">
        <f t="shared" si="16"/>
        <v>0</v>
      </c>
      <c r="CR34" s="10" cm="1">
        <f t="array" ref="CR34">_xlfn.IFS(AND($CI34=0, CK34=FALSE), NA(), AND($CI34=1, CK34=FALSE), 0, CK34=TRUE, 1)</f>
        <v>0</v>
      </c>
      <c r="CS34" s="10" cm="1">
        <f t="array" ref="CS34">_xlfn.IFS(AND($CI34=0, CL34=FALSE), NA(), AND($CI34=1, CL34=FALSE), 0, CL34=TRUE, 1)</f>
        <v>0</v>
      </c>
      <c r="CT34" s="10" cm="1">
        <f t="array" ref="CT34">_xlfn.IFS(AND($CI34=0, CM34=FALSE), NA(), AND($CI34=1, CM34=FALSE), 0, CM34=TRUE, 1)</f>
        <v>0</v>
      </c>
      <c r="CU34" s="10" cm="1">
        <f t="array" ref="CU34">_xlfn.IFS(AND($CN34=0, CP34=FALSE), NA(), AND($CN34=1, CP34=FALSE), 0, CP34=TRUE, 1)</f>
        <v>0</v>
      </c>
      <c r="CV34" s="10" cm="1">
        <f t="array" ref="CV34">_xlfn.IFS(AND($CN34=0, CQ34=FALSE), NA(), AND($CN34=1, CQ34=FALSE), 0, CQ34=TRUE, 1)</f>
        <v>0</v>
      </c>
    </row>
    <row r="35" spans="1:100" ht="15.75" x14ac:dyDescent="0.25">
      <c r="A35" s="8">
        <v>34</v>
      </c>
      <c r="B35" s="9">
        <v>268</v>
      </c>
      <c r="C35" s="10" t="s">
        <v>21</v>
      </c>
      <c r="D35" s="11" t="s">
        <v>216</v>
      </c>
      <c r="E35" s="12">
        <v>19912</v>
      </c>
      <c r="F35" s="13">
        <v>1</v>
      </c>
      <c r="G35" s="9">
        <v>47.441478729248047</v>
      </c>
      <c r="H35" s="12">
        <v>37240</v>
      </c>
      <c r="I35" s="9">
        <v>1</v>
      </c>
      <c r="J35" s="12">
        <v>37240</v>
      </c>
      <c r="K35" s="9">
        <v>0</v>
      </c>
      <c r="L35" s="9">
        <v>1</v>
      </c>
      <c r="M35" s="10" t="s">
        <v>401</v>
      </c>
      <c r="N35" s="9"/>
      <c r="O35" s="10" t="s">
        <v>401</v>
      </c>
      <c r="P35" s="9"/>
      <c r="Q35" s="10" t="s">
        <v>401</v>
      </c>
      <c r="R35" s="12">
        <v>41547</v>
      </c>
      <c r="S35" s="10" t="s">
        <v>146</v>
      </c>
      <c r="T35" s="9"/>
      <c r="U35" s="10" t="s">
        <v>401</v>
      </c>
      <c r="V35" s="10" t="s">
        <v>401</v>
      </c>
      <c r="W35" s="9"/>
      <c r="X35" s="9"/>
      <c r="Y35" s="9">
        <v>2</v>
      </c>
      <c r="Z35" s="14">
        <v>2</v>
      </c>
      <c r="AA35" s="15">
        <v>11.9</v>
      </c>
      <c r="AB35" s="16">
        <v>96</v>
      </c>
      <c r="AC35" s="16">
        <v>16</v>
      </c>
      <c r="AD35" s="9">
        <v>1</v>
      </c>
      <c r="AE35" s="9">
        <v>1</v>
      </c>
      <c r="AF35" s="9">
        <v>1</v>
      </c>
      <c r="AG35" s="9">
        <v>0</v>
      </c>
      <c r="AH35" s="9">
        <v>1</v>
      </c>
      <c r="AI35" s="9">
        <v>0</v>
      </c>
      <c r="AJ35" s="12">
        <v>42356</v>
      </c>
      <c r="AK35" s="9">
        <v>2</v>
      </c>
      <c r="AL35" s="12">
        <v>42405</v>
      </c>
      <c r="AM35" s="9">
        <v>4</v>
      </c>
      <c r="AN35" s="12">
        <v>42415</v>
      </c>
      <c r="AO35" s="12">
        <v>42415</v>
      </c>
      <c r="AP35" s="12">
        <v>42415</v>
      </c>
      <c r="AQ35" s="9">
        <v>1</v>
      </c>
      <c r="AR35" s="9">
        <f t="shared" si="4"/>
        <v>1</v>
      </c>
      <c r="AS35" s="9">
        <v>1</v>
      </c>
      <c r="AT35" s="9">
        <v>2</v>
      </c>
      <c r="AU35" s="9">
        <v>2</v>
      </c>
      <c r="AV35" s="9">
        <f t="shared" si="5"/>
        <v>1</v>
      </c>
      <c r="AW35" s="12">
        <v>42495</v>
      </c>
      <c r="AX35" s="9">
        <v>7200</v>
      </c>
      <c r="AY35" s="9">
        <v>5810</v>
      </c>
      <c r="AZ35" s="9">
        <v>680</v>
      </c>
      <c r="BA35" s="9">
        <v>5810</v>
      </c>
      <c r="BB35" s="9">
        <v>680</v>
      </c>
      <c r="BC35" s="9">
        <v>289000</v>
      </c>
      <c r="BD35" s="9">
        <v>650</v>
      </c>
      <c r="BE35" s="9">
        <v>40</v>
      </c>
      <c r="BF35" s="9">
        <v>199</v>
      </c>
      <c r="BG35" s="9">
        <v>7700</v>
      </c>
      <c r="BH35" s="9">
        <v>6090</v>
      </c>
      <c r="BI35" s="9">
        <v>720</v>
      </c>
      <c r="BJ35" s="9">
        <v>442000</v>
      </c>
      <c r="BK35" s="9">
        <v>700</v>
      </c>
      <c r="BL35" s="9">
        <v>160</v>
      </c>
      <c r="BM35" s="9">
        <v>193</v>
      </c>
      <c r="BN35" s="9">
        <v>8780</v>
      </c>
      <c r="BO35" s="9">
        <v>6940</v>
      </c>
      <c r="BP35" s="9">
        <v>840</v>
      </c>
      <c r="BQ35" s="9">
        <v>382000</v>
      </c>
      <c r="BR35" s="9">
        <v>900</v>
      </c>
      <c r="BS35" s="9">
        <v>70</v>
      </c>
      <c r="BT35" s="9">
        <v>216</v>
      </c>
      <c r="BU35" s="9">
        <v>11520</v>
      </c>
      <c r="BV35" s="9">
        <v>9330</v>
      </c>
      <c r="BW35" s="9">
        <v>860</v>
      </c>
      <c r="BX35" s="9">
        <v>505000</v>
      </c>
      <c r="BY35" s="9">
        <v>1280</v>
      </c>
      <c r="BZ35" s="10" t="s">
        <v>327</v>
      </c>
      <c r="CA35" s="9">
        <v>40</v>
      </c>
      <c r="CB35" s="9">
        <v>226</v>
      </c>
      <c r="CC35" s="10">
        <f t="shared" si="6"/>
        <v>8.5441176470588243</v>
      </c>
      <c r="CD35" s="10">
        <f t="shared" si="7"/>
        <v>425</v>
      </c>
      <c r="CE35" s="10">
        <f t="shared" si="22"/>
        <v>2469250</v>
      </c>
      <c r="CF35" s="10">
        <f t="shared" si="9"/>
        <v>0</v>
      </c>
      <c r="CG35" s="10">
        <f t="shared" si="0"/>
        <v>0</v>
      </c>
      <c r="CH35" s="10">
        <f t="shared" si="1"/>
        <v>2</v>
      </c>
      <c r="CI35" s="9">
        <f t="shared" si="10"/>
        <v>1</v>
      </c>
      <c r="CJ35" s="10">
        <f t="shared" si="2"/>
        <v>5</v>
      </c>
      <c r="CK35" s="10" t="b">
        <f t="shared" si="11"/>
        <v>0</v>
      </c>
      <c r="CL35" s="10" t="b">
        <f t="shared" si="12"/>
        <v>0</v>
      </c>
      <c r="CM35" s="10" t="b">
        <f t="shared" si="13"/>
        <v>0</v>
      </c>
      <c r="CN35" s="9">
        <f t="shared" si="14"/>
        <v>1</v>
      </c>
      <c r="CO35" s="10">
        <f t="shared" si="21"/>
        <v>2</v>
      </c>
      <c r="CP35" s="10" t="b">
        <f t="shared" si="15"/>
        <v>0</v>
      </c>
      <c r="CQ35" s="10" t="b">
        <f t="shared" si="16"/>
        <v>0</v>
      </c>
      <c r="CR35" s="10" cm="1">
        <f t="array" ref="CR35">_xlfn.IFS(AND($CI35=0, CK35=FALSE), NA(), AND($CI35=1, CK35=FALSE), 0, CK35=TRUE, 1)</f>
        <v>0</v>
      </c>
      <c r="CS35" s="10" cm="1">
        <f t="array" ref="CS35">_xlfn.IFS(AND($CI35=0, CL35=FALSE), NA(), AND($CI35=1, CL35=FALSE), 0, CL35=TRUE, 1)</f>
        <v>0</v>
      </c>
      <c r="CT35" s="10" cm="1">
        <f t="array" ref="CT35">_xlfn.IFS(AND($CI35=0, CM35=FALSE), NA(), AND($CI35=1, CM35=FALSE), 0, CM35=TRUE, 1)</f>
        <v>0</v>
      </c>
      <c r="CU35" s="10" cm="1">
        <f t="array" ref="CU35">_xlfn.IFS(AND($CN35=0, CP35=FALSE), NA(), AND($CN35=1, CP35=FALSE), 0, CP35=TRUE, 1)</f>
        <v>0</v>
      </c>
      <c r="CV35" s="10" cm="1">
        <f t="array" ref="CV35">_xlfn.IFS(AND($CN35=0, CQ35=FALSE), NA(), AND($CN35=1, CQ35=FALSE), 0, CQ35=TRUE, 1)</f>
        <v>0</v>
      </c>
    </row>
    <row r="36" spans="1:100" x14ac:dyDescent="0.25">
      <c r="A36" s="8">
        <v>35</v>
      </c>
      <c r="B36" s="9">
        <v>133</v>
      </c>
      <c r="C36" s="10" t="s">
        <v>16</v>
      </c>
      <c r="D36" s="11" t="s">
        <v>175</v>
      </c>
      <c r="E36" s="12">
        <v>17424</v>
      </c>
      <c r="F36" s="13">
        <v>2</v>
      </c>
      <c r="G36" s="9">
        <v>54.299793243408203</v>
      </c>
      <c r="H36" s="12">
        <v>37257</v>
      </c>
      <c r="I36" s="9">
        <v>1</v>
      </c>
      <c r="J36" s="12">
        <v>37257</v>
      </c>
      <c r="K36" s="9">
        <v>0</v>
      </c>
      <c r="L36" s="9">
        <v>2</v>
      </c>
      <c r="M36" s="10" t="s">
        <v>401</v>
      </c>
      <c r="N36" s="9"/>
      <c r="O36" s="10" t="s">
        <v>425</v>
      </c>
      <c r="P36" s="9"/>
      <c r="Q36" s="10" t="s">
        <v>425</v>
      </c>
      <c r="R36" s="12">
        <v>41749</v>
      </c>
      <c r="S36" s="10" t="s">
        <v>145</v>
      </c>
      <c r="T36" s="9">
        <v>2</v>
      </c>
      <c r="U36" s="10" t="s">
        <v>145</v>
      </c>
      <c r="V36" s="10" t="s">
        <v>401</v>
      </c>
      <c r="W36" s="9"/>
      <c r="X36" s="9"/>
      <c r="Y36" s="9">
        <v>4</v>
      </c>
      <c r="Z36" s="19"/>
      <c r="AB36" s="9"/>
      <c r="AC36" s="9"/>
      <c r="AD36" s="9">
        <v>2</v>
      </c>
      <c r="AE36" s="9">
        <v>2</v>
      </c>
      <c r="AF36" s="9">
        <v>2</v>
      </c>
      <c r="AG36" s="9">
        <v>1</v>
      </c>
      <c r="AH36" s="9">
        <v>1</v>
      </c>
      <c r="AI36" s="9">
        <v>0</v>
      </c>
      <c r="AJ36" s="12">
        <v>42998</v>
      </c>
      <c r="AK36" s="9">
        <v>2</v>
      </c>
      <c r="AL36" s="12">
        <v>43880</v>
      </c>
      <c r="AM36" s="9">
        <v>2</v>
      </c>
      <c r="AN36" s="12">
        <v>43087</v>
      </c>
      <c r="AO36" s="12">
        <v>43494</v>
      </c>
      <c r="AP36" s="12">
        <v>44075</v>
      </c>
      <c r="AQ36" s="9">
        <v>1</v>
      </c>
      <c r="AR36" s="9">
        <f t="shared" si="4"/>
        <v>1</v>
      </c>
      <c r="AS36" s="9">
        <v>1</v>
      </c>
      <c r="AT36" s="9">
        <v>1</v>
      </c>
      <c r="AU36" s="9">
        <v>2</v>
      </c>
      <c r="AV36" s="9">
        <f t="shared" si="5"/>
        <v>1</v>
      </c>
      <c r="AW36" s="12">
        <v>44456</v>
      </c>
      <c r="AX36" s="9">
        <v>2630</v>
      </c>
      <c r="AY36" s="9">
        <v>800</v>
      </c>
      <c r="AZ36" s="9"/>
      <c r="BA36" s="9">
        <v>800</v>
      </c>
      <c r="BB36" s="9">
        <v>1328.306884765625</v>
      </c>
      <c r="BC36" s="9">
        <v>123000</v>
      </c>
      <c r="BD36" s="9"/>
      <c r="BE36" s="9"/>
      <c r="BF36" s="9">
        <v>179</v>
      </c>
      <c r="BG36" s="9">
        <v>3650</v>
      </c>
      <c r="BH36" s="9">
        <v>2000</v>
      </c>
      <c r="BI36" s="9"/>
      <c r="BJ36" s="9">
        <v>165000</v>
      </c>
      <c r="BK36" s="9"/>
      <c r="BL36" s="9"/>
      <c r="BM36" s="9"/>
      <c r="BN36" s="9"/>
      <c r="BO36" s="9">
        <v>1700</v>
      </c>
      <c r="BP36" s="9"/>
      <c r="BQ36" s="9">
        <v>145000</v>
      </c>
      <c r="BR36" s="9"/>
      <c r="BS36" s="9"/>
      <c r="BT36" s="9">
        <v>213</v>
      </c>
      <c r="BU36" s="9">
        <v>3950</v>
      </c>
      <c r="BV36" s="9">
        <v>1500</v>
      </c>
      <c r="BW36" s="9"/>
      <c r="BX36" s="9">
        <v>128000</v>
      </c>
      <c r="BY36" s="9"/>
      <c r="BZ36" s="10" t="s">
        <v>401</v>
      </c>
      <c r="CA36" s="9"/>
      <c r="CB36" s="9"/>
      <c r="CC36" s="10">
        <f t="shared" si="6"/>
        <v>0.6022704611225117</v>
      </c>
      <c r="CD36" s="10">
        <f t="shared" si="7"/>
        <v>92.59908339758617</v>
      </c>
      <c r="CE36" s="10">
        <f t="shared" si="22"/>
        <v>74079.266718068946</v>
      </c>
      <c r="CF36" s="10">
        <f t="shared" si="9"/>
        <v>1</v>
      </c>
      <c r="CG36" s="10">
        <f t="shared" si="0"/>
        <v>1</v>
      </c>
      <c r="CH36" s="10">
        <f t="shared" si="1"/>
        <v>29</v>
      </c>
      <c r="CI36" s="9">
        <f t="shared" si="10"/>
        <v>1</v>
      </c>
      <c r="CJ36" s="10">
        <f t="shared" si="2"/>
        <v>48</v>
      </c>
      <c r="CK36" s="10" t="b">
        <f t="shared" si="11"/>
        <v>1</v>
      </c>
      <c r="CL36" s="10" t="b">
        <f t="shared" si="12"/>
        <v>1</v>
      </c>
      <c r="CM36" s="10" t="b">
        <f t="shared" si="13"/>
        <v>1</v>
      </c>
      <c r="CN36" s="9">
        <f t="shared" si="14"/>
        <v>1</v>
      </c>
      <c r="CO36" s="10">
        <f t="shared" si="21"/>
        <v>16</v>
      </c>
      <c r="CP36" s="10" t="b">
        <f t="shared" si="15"/>
        <v>1</v>
      </c>
      <c r="CQ36" s="10" t="b">
        <f t="shared" si="16"/>
        <v>1</v>
      </c>
      <c r="CR36" s="10" cm="1">
        <f t="array" ref="CR36">_xlfn.IFS(AND($CI36=0, CK36=FALSE), NA(), AND($CI36=1, CK36=FALSE), 0, CK36=TRUE, 1)</f>
        <v>1</v>
      </c>
      <c r="CS36" s="10" cm="1">
        <f t="array" ref="CS36">_xlfn.IFS(AND($CI36=0, CL36=FALSE), NA(), AND($CI36=1, CL36=FALSE), 0, CL36=TRUE, 1)</f>
        <v>1</v>
      </c>
      <c r="CT36" s="10" cm="1">
        <f t="array" ref="CT36">_xlfn.IFS(AND($CI36=0, CM36=FALSE), NA(), AND($CI36=1, CM36=FALSE), 0, CM36=TRUE, 1)</f>
        <v>1</v>
      </c>
      <c r="CU36" s="10" cm="1">
        <f t="array" ref="CU36">_xlfn.IFS(AND($CN36=0, CP36=FALSE), NA(), AND($CN36=1, CP36=FALSE), 0, CP36=TRUE, 1)</f>
        <v>1</v>
      </c>
      <c r="CV36" s="10" cm="1">
        <f t="array" ref="CV36">_xlfn.IFS(AND($CN36=0, CQ36=FALSE), NA(), AND($CN36=1, CQ36=FALSE), 0, CQ36=TRUE, 1)</f>
        <v>1</v>
      </c>
    </row>
    <row r="37" spans="1:100" ht="15.75" x14ac:dyDescent="0.25">
      <c r="A37" s="8">
        <v>36</v>
      </c>
      <c r="B37" s="9">
        <v>547</v>
      </c>
      <c r="C37" s="10" t="s">
        <v>34</v>
      </c>
      <c r="D37" s="11" t="s">
        <v>66</v>
      </c>
      <c r="E37" s="12">
        <v>22267</v>
      </c>
      <c r="F37" s="13">
        <v>1</v>
      </c>
      <c r="G37" s="9">
        <v>41.040382385253906</v>
      </c>
      <c r="H37" s="12">
        <v>37257</v>
      </c>
      <c r="I37" s="9">
        <v>1</v>
      </c>
      <c r="J37" s="12">
        <v>37257</v>
      </c>
      <c r="K37" s="9">
        <v>0</v>
      </c>
      <c r="L37" s="9">
        <v>1</v>
      </c>
      <c r="M37" s="10" t="s">
        <v>401</v>
      </c>
      <c r="N37" s="9">
        <v>1</v>
      </c>
      <c r="O37" s="10" t="s">
        <v>401</v>
      </c>
      <c r="P37" s="9">
        <v>1</v>
      </c>
      <c r="Q37" s="10" t="s">
        <v>401</v>
      </c>
      <c r="R37" s="12">
        <v>42762</v>
      </c>
      <c r="S37" s="10" t="s">
        <v>146</v>
      </c>
      <c r="T37" s="9"/>
      <c r="U37" s="10" t="s">
        <v>401</v>
      </c>
      <c r="V37" s="10" t="s">
        <v>401</v>
      </c>
      <c r="W37" s="9"/>
      <c r="X37" s="9"/>
      <c r="Y37" s="9">
        <v>2</v>
      </c>
      <c r="Z37" s="14">
        <v>2</v>
      </c>
      <c r="AA37" s="15">
        <v>13.7</v>
      </c>
      <c r="AB37" s="16">
        <v>96</v>
      </c>
      <c r="AC37" s="16">
        <v>14</v>
      </c>
      <c r="AD37" s="9">
        <v>1</v>
      </c>
      <c r="AE37" s="9">
        <v>1</v>
      </c>
      <c r="AF37" s="9">
        <v>1</v>
      </c>
      <c r="AG37" s="9">
        <v>0</v>
      </c>
      <c r="AH37" s="9">
        <v>1</v>
      </c>
      <c r="AI37" s="9">
        <v>0</v>
      </c>
      <c r="AJ37" s="12">
        <v>43441</v>
      </c>
      <c r="AK37" s="9">
        <v>2</v>
      </c>
      <c r="AL37" s="12">
        <v>43691</v>
      </c>
      <c r="AM37" s="9">
        <v>3</v>
      </c>
      <c r="AN37" s="12">
        <v>43525</v>
      </c>
      <c r="AO37" s="12">
        <v>43700</v>
      </c>
      <c r="AP37" s="12">
        <v>43700</v>
      </c>
      <c r="AQ37" s="9">
        <v>1</v>
      </c>
      <c r="AR37" s="9">
        <f t="shared" si="4"/>
        <v>1</v>
      </c>
      <c r="AS37" s="9">
        <v>1</v>
      </c>
      <c r="AT37" s="9">
        <v>2</v>
      </c>
      <c r="AU37" s="9">
        <v>2</v>
      </c>
      <c r="AV37" s="9">
        <f t="shared" si="5"/>
        <v>1</v>
      </c>
      <c r="AW37" s="12">
        <v>44032</v>
      </c>
      <c r="AX37" s="9">
        <v>7650</v>
      </c>
      <c r="AY37" s="9">
        <v>3620</v>
      </c>
      <c r="AZ37" s="9">
        <v>2440</v>
      </c>
      <c r="BA37" s="9">
        <v>3620</v>
      </c>
      <c r="BB37" s="9">
        <v>2439.999755859375</v>
      </c>
      <c r="BC37" s="9">
        <v>307000</v>
      </c>
      <c r="BD37" s="9">
        <v>1170</v>
      </c>
      <c r="BE37" s="9">
        <v>290</v>
      </c>
      <c r="BF37" s="9">
        <v>141</v>
      </c>
      <c r="BG37" s="9">
        <v>10330</v>
      </c>
      <c r="BH37" s="9">
        <v>6650</v>
      </c>
      <c r="BI37" s="9">
        <v>1920</v>
      </c>
      <c r="BJ37" s="9">
        <v>330000</v>
      </c>
      <c r="BK37" s="9">
        <v>1450</v>
      </c>
      <c r="BL37" s="9">
        <v>200</v>
      </c>
      <c r="BM37" s="9">
        <v>143</v>
      </c>
      <c r="BN37" s="9">
        <v>9170</v>
      </c>
      <c r="BO37" s="9">
        <v>5670</v>
      </c>
      <c r="BP37" s="9">
        <v>1860</v>
      </c>
      <c r="BQ37" s="9">
        <v>321000</v>
      </c>
      <c r="BR37" s="9">
        <v>1310</v>
      </c>
      <c r="BS37" s="9">
        <v>220</v>
      </c>
      <c r="BT37" s="9">
        <v>140</v>
      </c>
      <c r="BU37" s="9">
        <v>8420</v>
      </c>
      <c r="BV37" s="9">
        <v>5020</v>
      </c>
      <c r="BW37" s="9">
        <v>1870</v>
      </c>
      <c r="BX37" s="9">
        <v>320000</v>
      </c>
      <c r="BY37" s="9">
        <v>1290</v>
      </c>
      <c r="BZ37" s="10" t="s">
        <v>536</v>
      </c>
      <c r="CA37" s="9">
        <v>160</v>
      </c>
      <c r="CB37" s="9">
        <v>137</v>
      </c>
      <c r="CC37" s="10">
        <f t="shared" si="6"/>
        <v>1.4836067058232247</v>
      </c>
      <c r="CD37" s="10">
        <f t="shared" si="7"/>
        <v>125.81968472036741</v>
      </c>
      <c r="CE37" s="10">
        <f t="shared" si="22"/>
        <v>455467.25868773001</v>
      </c>
      <c r="CF37" s="10">
        <f t="shared" si="9"/>
        <v>1</v>
      </c>
      <c r="CG37" s="10">
        <f t="shared" si="0"/>
        <v>0</v>
      </c>
      <c r="CH37" s="10">
        <f t="shared" si="1"/>
        <v>8</v>
      </c>
      <c r="CI37" s="9">
        <f t="shared" si="10"/>
        <v>1</v>
      </c>
      <c r="CJ37" s="10">
        <f t="shared" si="2"/>
        <v>19</v>
      </c>
      <c r="CK37" s="10" t="b">
        <f t="shared" si="11"/>
        <v>1</v>
      </c>
      <c r="CL37" s="10" t="b">
        <f t="shared" si="12"/>
        <v>1</v>
      </c>
      <c r="CM37" s="10" t="b">
        <f t="shared" si="13"/>
        <v>0</v>
      </c>
      <c r="CN37" s="9">
        <f t="shared" si="14"/>
        <v>1</v>
      </c>
      <c r="CO37" s="10">
        <f t="shared" si="21"/>
        <v>8</v>
      </c>
      <c r="CP37" s="10" t="b">
        <f t="shared" si="15"/>
        <v>1</v>
      </c>
      <c r="CQ37" s="10" t="b">
        <f t="shared" si="16"/>
        <v>0</v>
      </c>
      <c r="CR37" s="10" cm="1">
        <f t="array" ref="CR37">_xlfn.IFS(AND($CI37=0, CK37=FALSE), NA(), AND($CI37=1, CK37=FALSE), 0, CK37=TRUE, 1)</f>
        <v>1</v>
      </c>
      <c r="CS37" s="10" cm="1">
        <f t="array" ref="CS37">_xlfn.IFS(AND($CI37=0, CL37=FALSE), NA(), AND($CI37=1, CL37=FALSE), 0, CL37=TRUE, 1)</f>
        <v>1</v>
      </c>
      <c r="CT37" s="10" cm="1">
        <f t="array" ref="CT37">_xlfn.IFS(AND($CI37=0, CM37=FALSE), NA(), AND($CI37=1, CM37=FALSE), 0, CM37=TRUE, 1)</f>
        <v>0</v>
      </c>
      <c r="CU37" s="10" cm="1">
        <f t="array" ref="CU37">_xlfn.IFS(AND($CN37=0, CP37=FALSE), NA(), AND($CN37=1, CP37=FALSE), 0, CP37=TRUE, 1)</f>
        <v>1</v>
      </c>
      <c r="CV37" s="10" cm="1">
        <f t="array" ref="CV37">_xlfn.IFS(AND($CN37=0, CQ37=FALSE), NA(), AND($CN37=1, CQ37=FALSE), 0, CQ37=TRUE, 1)</f>
        <v>0</v>
      </c>
    </row>
    <row r="38" spans="1:100" ht="15.75" x14ac:dyDescent="0.25">
      <c r="A38" s="8">
        <v>37</v>
      </c>
      <c r="B38" s="9">
        <v>144</v>
      </c>
      <c r="C38" s="10" t="s">
        <v>16</v>
      </c>
      <c r="D38" s="11" t="s">
        <v>182</v>
      </c>
      <c r="E38" s="12">
        <v>18816</v>
      </c>
      <c r="F38" s="13">
        <v>2</v>
      </c>
      <c r="G38" s="9">
        <v>50.584529876708984</v>
      </c>
      <c r="H38" s="12">
        <v>37292</v>
      </c>
      <c r="I38" s="9">
        <v>1</v>
      </c>
      <c r="J38" s="12">
        <v>37292</v>
      </c>
      <c r="K38" s="9">
        <v>0</v>
      </c>
      <c r="L38" s="9">
        <v>1</v>
      </c>
      <c r="M38" s="10" t="s">
        <v>401</v>
      </c>
      <c r="N38" s="9">
        <v>2</v>
      </c>
      <c r="O38" s="10" t="s">
        <v>421</v>
      </c>
      <c r="P38" s="9">
        <v>2</v>
      </c>
      <c r="Q38" s="10" t="s">
        <v>421</v>
      </c>
      <c r="R38" s="12">
        <v>41883</v>
      </c>
      <c r="S38" s="10" t="s">
        <v>146</v>
      </c>
      <c r="T38" s="9">
        <v>4</v>
      </c>
      <c r="U38" s="10" t="s">
        <v>401</v>
      </c>
      <c r="V38" s="10" t="s">
        <v>401</v>
      </c>
      <c r="W38" s="9"/>
      <c r="X38" s="9"/>
      <c r="Y38" s="9">
        <v>3</v>
      </c>
      <c r="Z38" s="14">
        <v>2</v>
      </c>
      <c r="AA38" s="15">
        <v>9.3000000000000007</v>
      </c>
      <c r="AB38" s="16">
        <v>81</v>
      </c>
      <c r="AC38" s="16">
        <v>21</v>
      </c>
      <c r="AD38" s="9">
        <v>2</v>
      </c>
      <c r="AE38" s="9">
        <v>2</v>
      </c>
      <c r="AF38" s="9">
        <v>1</v>
      </c>
      <c r="AG38" s="9">
        <v>0</v>
      </c>
      <c r="AH38" s="9">
        <v>1</v>
      </c>
      <c r="AI38" s="9">
        <v>0</v>
      </c>
      <c r="AJ38" s="12">
        <v>42865</v>
      </c>
      <c r="AK38" s="9">
        <v>2</v>
      </c>
      <c r="AL38" s="12">
        <v>42865</v>
      </c>
      <c r="AM38" s="9">
        <v>4</v>
      </c>
      <c r="AN38" s="12">
        <v>42876</v>
      </c>
      <c r="AO38" s="12">
        <v>42876</v>
      </c>
      <c r="AP38" s="12">
        <v>42876</v>
      </c>
      <c r="AQ38" s="9">
        <v>1</v>
      </c>
      <c r="AR38" s="9">
        <f t="shared" si="4"/>
        <v>1</v>
      </c>
      <c r="AS38" s="9">
        <v>1</v>
      </c>
      <c r="AT38" s="9">
        <v>2</v>
      </c>
      <c r="AU38" s="9">
        <v>2</v>
      </c>
      <c r="AV38" s="9">
        <f t="shared" si="5"/>
        <v>1</v>
      </c>
      <c r="AW38" s="12">
        <v>42876</v>
      </c>
      <c r="AX38" s="9">
        <v>6300</v>
      </c>
      <c r="AY38" s="9">
        <v>4500</v>
      </c>
      <c r="AZ38" s="9"/>
      <c r="BA38" s="9">
        <v>4500</v>
      </c>
      <c r="BB38" s="9">
        <v>1095.667724609375</v>
      </c>
      <c r="BC38" s="9">
        <v>323000</v>
      </c>
      <c r="BD38" s="9"/>
      <c r="BE38" s="9"/>
      <c r="BF38" s="9">
        <v>236</v>
      </c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10" t="s">
        <v>401</v>
      </c>
      <c r="CA38" s="9"/>
      <c r="CB38" s="9"/>
      <c r="CC38" s="10">
        <f t="shared" si="6"/>
        <v>4.1070845648979297</v>
      </c>
      <c r="CD38" s="10">
        <f t="shared" si="7"/>
        <v>294.79740321378478</v>
      </c>
      <c r="CE38" s="10">
        <f t="shared" si="22"/>
        <v>1326588.3144620312</v>
      </c>
      <c r="CF38" s="10">
        <f t="shared" si="9"/>
        <v>0</v>
      </c>
      <c r="CG38" s="10">
        <f t="shared" si="0"/>
        <v>0</v>
      </c>
      <c r="CH38" s="10">
        <f t="shared" si="1"/>
        <v>0</v>
      </c>
      <c r="CI38" s="9">
        <f t="shared" si="10"/>
        <v>1</v>
      </c>
      <c r="CJ38" s="10">
        <f t="shared" si="2"/>
        <v>0</v>
      </c>
      <c r="CK38" s="10" t="b">
        <f t="shared" si="11"/>
        <v>0</v>
      </c>
      <c r="CL38" s="10" t="b">
        <f t="shared" si="12"/>
        <v>0</v>
      </c>
      <c r="CM38" s="10" t="b">
        <f t="shared" si="13"/>
        <v>0</v>
      </c>
      <c r="CN38" s="9">
        <f t="shared" si="14"/>
        <v>1</v>
      </c>
      <c r="CO38" s="10">
        <f t="shared" si="21"/>
        <v>0</v>
      </c>
      <c r="CP38" s="10" t="b">
        <f t="shared" si="15"/>
        <v>0</v>
      </c>
      <c r="CQ38" s="10" t="b">
        <f t="shared" si="16"/>
        <v>0</v>
      </c>
      <c r="CR38" s="10" cm="1">
        <f t="array" ref="CR38">_xlfn.IFS(AND($CI38=0, CK38=FALSE), NA(), AND($CI38=1, CK38=FALSE), 0, CK38=TRUE, 1)</f>
        <v>0</v>
      </c>
      <c r="CS38" s="10" cm="1">
        <f t="array" ref="CS38">_xlfn.IFS(AND($CI38=0, CL38=FALSE), NA(), AND($CI38=1, CL38=FALSE), 0, CL38=TRUE, 1)</f>
        <v>0</v>
      </c>
      <c r="CT38" s="10" cm="1">
        <f t="array" ref="CT38">_xlfn.IFS(AND($CI38=0, CM38=FALSE), NA(), AND($CI38=1, CM38=FALSE), 0, CM38=TRUE, 1)</f>
        <v>0</v>
      </c>
      <c r="CU38" s="10" cm="1">
        <f t="array" ref="CU38">_xlfn.IFS(AND($CN38=0, CP38=FALSE), NA(), AND($CN38=1, CP38=FALSE), 0, CP38=TRUE, 1)</f>
        <v>0</v>
      </c>
      <c r="CV38" s="10" cm="1">
        <f t="array" ref="CV38">_xlfn.IFS(AND($CN38=0, CQ38=FALSE), NA(), AND($CN38=1, CQ38=FALSE), 0, CQ38=TRUE, 1)</f>
        <v>0</v>
      </c>
    </row>
    <row r="39" spans="1:100" ht="15.75" x14ac:dyDescent="0.25">
      <c r="A39" s="8">
        <v>38</v>
      </c>
      <c r="B39" s="9">
        <v>310</v>
      </c>
      <c r="C39" s="10" t="s">
        <v>24</v>
      </c>
      <c r="D39" s="11" t="s">
        <v>54</v>
      </c>
      <c r="E39" s="12"/>
      <c r="F39" s="13">
        <v>2</v>
      </c>
      <c r="G39" s="9">
        <v>61</v>
      </c>
      <c r="H39" s="12">
        <v>37338</v>
      </c>
      <c r="I39" s="9">
        <v>1</v>
      </c>
      <c r="J39" s="12">
        <v>37329</v>
      </c>
      <c r="K39" s="9">
        <v>0</v>
      </c>
      <c r="L39" s="9">
        <v>1</v>
      </c>
      <c r="M39" s="10" t="s">
        <v>401</v>
      </c>
      <c r="N39" s="9"/>
      <c r="O39" s="10" t="s">
        <v>401</v>
      </c>
      <c r="P39" s="9"/>
      <c r="Q39" s="10" t="s">
        <v>401</v>
      </c>
      <c r="R39" s="12">
        <v>42228</v>
      </c>
      <c r="S39" s="10" t="s">
        <v>145</v>
      </c>
      <c r="T39" s="9">
        <v>3</v>
      </c>
      <c r="U39" s="10" t="s">
        <v>150</v>
      </c>
      <c r="V39" s="10" t="s">
        <v>401</v>
      </c>
      <c r="W39" s="9"/>
      <c r="X39" s="9"/>
      <c r="Y39" s="9">
        <v>4</v>
      </c>
      <c r="Z39" s="14">
        <v>1</v>
      </c>
      <c r="AA39" s="21">
        <v>10.4</v>
      </c>
      <c r="AB39" s="22">
        <v>91</v>
      </c>
      <c r="AC39" s="22">
        <v>15</v>
      </c>
      <c r="AD39" s="9">
        <v>2</v>
      </c>
      <c r="AE39" s="9">
        <v>2</v>
      </c>
      <c r="AF39" s="9">
        <v>1</v>
      </c>
      <c r="AG39" s="9">
        <v>0</v>
      </c>
      <c r="AH39" s="9">
        <v>1</v>
      </c>
      <c r="AI39" s="9">
        <v>1</v>
      </c>
      <c r="AJ39" s="12">
        <v>42871</v>
      </c>
      <c r="AK39" s="9">
        <v>2</v>
      </c>
      <c r="AL39" s="12">
        <v>42955</v>
      </c>
      <c r="AM39" s="9">
        <v>4</v>
      </c>
      <c r="AN39" s="12">
        <v>42962</v>
      </c>
      <c r="AO39" s="12">
        <v>42962</v>
      </c>
      <c r="AP39" s="12">
        <v>42962</v>
      </c>
      <c r="AQ39" s="9">
        <v>1</v>
      </c>
      <c r="AR39" s="9">
        <f t="shared" si="4"/>
        <v>1</v>
      </c>
      <c r="AS39" s="9">
        <v>1</v>
      </c>
      <c r="AT39" s="9">
        <v>2</v>
      </c>
      <c r="AU39" s="9">
        <v>2</v>
      </c>
      <c r="AV39" s="9">
        <f t="shared" si="5"/>
        <v>1</v>
      </c>
      <c r="AW39" s="12">
        <v>43030</v>
      </c>
      <c r="AX39" s="9">
        <v>3040</v>
      </c>
      <c r="AY39" s="9">
        <v>2360</v>
      </c>
      <c r="AZ39" s="9">
        <v>540</v>
      </c>
      <c r="BA39" s="9">
        <v>2360</v>
      </c>
      <c r="BB39" s="9">
        <v>540.00006103515625</v>
      </c>
      <c r="BC39" s="9">
        <v>112000</v>
      </c>
      <c r="BD39" s="9">
        <v>90</v>
      </c>
      <c r="BE39" s="9">
        <v>50</v>
      </c>
      <c r="BF39" s="9">
        <v>355</v>
      </c>
      <c r="BG39" s="9">
        <v>1530</v>
      </c>
      <c r="BH39" s="9">
        <v>873</v>
      </c>
      <c r="BI39" s="9"/>
      <c r="BJ39" s="9">
        <v>128000</v>
      </c>
      <c r="BK39" s="9"/>
      <c r="BL39" s="9"/>
      <c r="BM39" s="9">
        <v>326</v>
      </c>
      <c r="BN39" s="9">
        <v>2400</v>
      </c>
      <c r="BO39" s="9">
        <v>1634</v>
      </c>
      <c r="BP39" s="9"/>
      <c r="BQ39" s="9">
        <v>140000</v>
      </c>
      <c r="BR39" s="9"/>
      <c r="BS39" s="9"/>
      <c r="BT39" s="9">
        <v>309</v>
      </c>
      <c r="BU39" s="9">
        <v>3040</v>
      </c>
      <c r="BV39" s="9">
        <v>2937</v>
      </c>
      <c r="BW39" s="9"/>
      <c r="BX39" s="9">
        <v>139000</v>
      </c>
      <c r="BY39" s="9"/>
      <c r="BZ39" s="10" t="s">
        <v>401</v>
      </c>
      <c r="CA39" s="9"/>
      <c r="CB39" s="9">
        <v>340</v>
      </c>
      <c r="CC39" s="10">
        <f t="shared" si="6"/>
        <v>4.3703698763959107</v>
      </c>
      <c r="CD39" s="10">
        <f t="shared" si="7"/>
        <v>207.40738396455168</v>
      </c>
      <c r="CE39" s="10">
        <f t="shared" si="22"/>
        <v>489481.42615634197</v>
      </c>
      <c r="CF39" s="10">
        <f t="shared" si="9"/>
        <v>0</v>
      </c>
      <c r="CG39" s="10">
        <f t="shared" si="0"/>
        <v>0</v>
      </c>
      <c r="CH39" s="10">
        <f t="shared" si="1"/>
        <v>3</v>
      </c>
      <c r="CI39" s="9">
        <f t="shared" si="10"/>
        <v>1</v>
      </c>
      <c r="CJ39" s="10">
        <f t="shared" si="2"/>
        <v>5</v>
      </c>
      <c r="CK39" s="10" t="b">
        <f t="shared" si="11"/>
        <v>0</v>
      </c>
      <c r="CL39" s="10" t="b">
        <f t="shared" si="12"/>
        <v>0</v>
      </c>
      <c r="CM39" s="10" t="b">
        <f t="shared" si="13"/>
        <v>0</v>
      </c>
      <c r="CN39" s="9">
        <f t="shared" si="14"/>
        <v>1</v>
      </c>
      <c r="CO39" s="10">
        <f t="shared" si="21"/>
        <v>3</v>
      </c>
      <c r="CP39" s="10" t="b">
        <f t="shared" si="15"/>
        <v>1</v>
      </c>
      <c r="CQ39" s="10" t="b">
        <f t="shared" si="16"/>
        <v>0</v>
      </c>
      <c r="CR39" s="10" cm="1">
        <f t="array" ref="CR39">_xlfn.IFS(AND($CI39=0, CK39=FALSE), NA(), AND($CI39=1, CK39=FALSE), 0, CK39=TRUE, 1)</f>
        <v>0</v>
      </c>
      <c r="CS39" s="10" cm="1">
        <f t="array" ref="CS39">_xlfn.IFS(AND($CI39=0, CL39=FALSE), NA(), AND($CI39=1, CL39=FALSE), 0, CL39=TRUE, 1)</f>
        <v>0</v>
      </c>
      <c r="CT39" s="10" cm="1">
        <f t="array" ref="CT39">_xlfn.IFS(AND($CI39=0, CM39=FALSE), NA(), AND($CI39=1, CM39=FALSE), 0, CM39=TRUE, 1)</f>
        <v>0</v>
      </c>
      <c r="CU39" s="10" cm="1">
        <f t="array" ref="CU39">_xlfn.IFS(AND($CN39=0, CP39=FALSE), NA(), AND($CN39=1, CP39=FALSE), 0, CP39=TRUE, 1)</f>
        <v>1</v>
      </c>
      <c r="CV39" s="10" cm="1">
        <f t="array" ref="CV39">_xlfn.IFS(AND($CN39=0, CQ39=FALSE), NA(), AND($CN39=1, CQ39=FALSE), 0, CQ39=TRUE, 1)</f>
        <v>0</v>
      </c>
    </row>
    <row r="40" spans="1:100" ht="15.75" x14ac:dyDescent="0.25">
      <c r="A40" s="8">
        <v>39</v>
      </c>
      <c r="B40" s="9">
        <v>43</v>
      </c>
      <c r="C40" s="10" t="s">
        <v>6</v>
      </c>
      <c r="D40" s="11" t="s">
        <v>77</v>
      </c>
      <c r="E40" s="12">
        <v>14427</v>
      </c>
      <c r="F40" s="13">
        <v>2</v>
      </c>
      <c r="G40" s="9">
        <v>62.828201293945313</v>
      </c>
      <c r="H40" s="12">
        <v>37375</v>
      </c>
      <c r="I40" s="9">
        <v>1</v>
      </c>
      <c r="J40" s="12">
        <v>37375</v>
      </c>
      <c r="K40" s="9">
        <v>0</v>
      </c>
      <c r="L40" s="9">
        <v>1</v>
      </c>
      <c r="M40" s="10" t="s">
        <v>401</v>
      </c>
      <c r="N40" s="9">
        <v>1</v>
      </c>
      <c r="O40" s="10" t="s">
        <v>401</v>
      </c>
      <c r="P40" s="9">
        <v>1</v>
      </c>
      <c r="Q40" s="10" t="s">
        <v>401</v>
      </c>
      <c r="R40" s="12">
        <v>40115</v>
      </c>
      <c r="S40" s="10" t="s">
        <v>145</v>
      </c>
      <c r="T40" s="9">
        <v>3</v>
      </c>
      <c r="U40" s="10" t="s">
        <v>150</v>
      </c>
      <c r="V40" s="10" t="s">
        <v>149</v>
      </c>
      <c r="W40" s="9"/>
      <c r="X40" s="9"/>
      <c r="Y40" s="9">
        <v>5</v>
      </c>
      <c r="Z40" s="14">
        <v>1</v>
      </c>
      <c r="AA40" s="17">
        <v>11.4</v>
      </c>
      <c r="AB40" s="18" t="s">
        <v>466</v>
      </c>
      <c r="AC40" s="18">
        <v>14</v>
      </c>
      <c r="AD40" s="9">
        <v>2</v>
      </c>
      <c r="AE40" s="9">
        <v>2</v>
      </c>
      <c r="AF40" s="9">
        <v>1</v>
      </c>
      <c r="AG40" s="9">
        <v>1</v>
      </c>
      <c r="AH40" s="9">
        <v>1</v>
      </c>
      <c r="AI40" s="9">
        <v>0</v>
      </c>
      <c r="AJ40" s="12">
        <v>42986</v>
      </c>
      <c r="AK40" s="9">
        <v>2</v>
      </c>
      <c r="AL40" s="12">
        <v>43014</v>
      </c>
      <c r="AM40" s="9">
        <v>3</v>
      </c>
      <c r="AN40" s="12">
        <v>43070</v>
      </c>
      <c r="AO40" s="12">
        <v>43115</v>
      </c>
      <c r="AP40" s="12">
        <v>43115</v>
      </c>
      <c r="AQ40" s="9">
        <v>1</v>
      </c>
      <c r="AR40" s="9">
        <f t="shared" si="4"/>
        <v>1</v>
      </c>
      <c r="AS40" s="9">
        <v>1</v>
      </c>
      <c r="AT40" s="9">
        <v>2</v>
      </c>
      <c r="AU40" s="9">
        <v>2</v>
      </c>
      <c r="AV40" s="9">
        <f t="shared" si="5"/>
        <v>1</v>
      </c>
      <c r="AW40" s="12">
        <v>43115</v>
      </c>
      <c r="AX40" s="9">
        <v>5200</v>
      </c>
      <c r="AY40" s="9">
        <v>1960</v>
      </c>
      <c r="AZ40" s="9">
        <v>1830</v>
      </c>
      <c r="BA40" s="9">
        <v>1960</v>
      </c>
      <c r="BB40" s="9">
        <v>1829.999755859375</v>
      </c>
      <c r="BC40" s="9">
        <v>138000</v>
      </c>
      <c r="BD40" s="9"/>
      <c r="BE40" s="9"/>
      <c r="BF40" s="9">
        <v>321</v>
      </c>
      <c r="BG40" s="9">
        <v>7700</v>
      </c>
      <c r="BH40" s="9">
        <v>2900</v>
      </c>
      <c r="BI40" s="9">
        <v>2300</v>
      </c>
      <c r="BJ40" s="9">
        <v>114000</v>
      </c>
      <c r="BK40" s="9"/>
      <c r="BL40" s="9"/>
      <c r="BM40" s="9">
        <v>379</v>
      </c>
      <c r="BN40" s="9">
        <v>6100</v>
      </c>
      <c r="BO40" s="9">
        <v>3620</v>
      </c>
      <c r="BP40" s="9">
        <v>2100</v>
      </c>
      <c r="BQ40" s="9">
        <v>86000</v>
      </c>
      <c r="BR40" s="9"/>
      <c r="BS40" s="9"/>
      <c r="BT40" s="9">
        <v>411</v>
      </c>
      <c r="BU40" s="9"/>
      <c r="BV40" s="9"/>
      <c r="BW40" s="9"/>
      <c r="BX40" s="9"/>
      <c r="BY40" s="9"/>
      <c r="BZ40" s="10" t="s">
        <v>401</v>
      </c>
      <c r="CA40" s="9"/>
      <c r="CB40" s="9"/>
      <c r="CC40" s="10">
        <f t="shared" si="6"/>
        <v>1.0710383942535426</v>
      </c>
      <c r="CD40" s="10">
        <f t="shared" si="7"/>
        <v>75.409846126014742</v>
      </c>
      <c r="CE40" s="10">
        <f t="shared" si="22"/>
        <v>147803.29840698888</v>
      </c>
      <c r="CF40" s="10">
        <f t="shared" si="9"/>
        <v>1</v>
      </c>
      <c r="CG40" s="10">
        <f t="shared" si="0"/>
        <v>0</v>
      </c>
      <c r="CH40" s="10">
        <f t="shared" si="1"/>
        <v>1</v>
      </c>
      <c r="CI40" s="9">
        <f t="shared" si="10"/>
        <v>1</v>
      </c>
      <c r="CJ40" s="10">
        <f t="shared" si="2"/>
        <v>4</v>
      </c>
      <c r="CK40" s="10" t="b">
        <f t="shared" si="11"/>
        <v>0</v>
      </c>
      <c r="CL40" s="10" t="b">
        <f t="shared" si="12"/>
        <v>0</v>
      </c>
      <c r="CM40" s="10" t="b">
        <f t="shared" si="13"/>
        <v>0</v>
      </c>
      <c r="CN40" s="9">
        <f t="shared" si="14"/>
        <v>1</v>
      </c>
      <c r="CO40" s="10">
        <f t="shared" si="21"/>
        <v>4</v>
      </c>
      <c r="CP40" s="10" t="b">
        <f t="shared" si="15"/>
        <v>1</v>
      </c>
      <c r="CQ40" s="10" t="b">
        <f t="shared" si="16"/>
        <v>0</v>
      </c>
      <c r="CR40" s="10" cm="1">
        <f t="array" ref="CR40">_xlfn.IFS(AND($CI40=0, CK40=FALSE), NA(), AND($CI40=1, CK40=FALSE), 0, CK40=TRUE, 1)</f>
        <v>0</v>
      </c>
      <c r="CS40" s="10" cm="1">
        <f t="array" ref="CS40">_xlfn.IFS(AND($CI40=0, CL40=FALSE), NA(), AND($CI40=1, CL40=FALSE), 0, CL40=TRUE, 1)</f>
        <v>0</v>
      </c>
      <c r="CT40" s="10" cm="1">
        <f t="array" ref="CT40">_xlfn.IFS(AND($CI40=0, CM40=FALSE), NA(), AND($CI40=1, CM40=FALSE), 0, CM40=TRUE, 1)</f>
        <v>0</v>
      </c>
      <c r="CU40" s="10" cm="1">
        <f t="array" ref="CU40">_xlfn.IFS(AND($CN40=0, CP40=FALSE), NA(), AND($CN40=1, CP40=FALSE), 0, CP40=TRUE, 1)</f>
        <v>1</v>
      </c>
      <c r="CV40" s="10" cm="1">
        <f t="array" ref="CV40">_xlfn.IFS(AND($CN40=0, CQ40=FALSE), NA(), AND($CN40=1, CQ40=FALSE), 0, CQ40=TRUE, 1)</f>
        <v>0</v>
      </c>
    </row>
    <row r="41" spans="1:100" ht="15.75" x14ac:dyDescent="0.25">
      <c r="A41" s="8">
        <v>40</v>
      </c>
      <c r="B41" s="9">
        <v>524</v>
      </c>
      <c r="C41" s="10" t="s">
        <v>33</v>
      </c>
      <c r="D41" s="11" t="s">
        <v>296</v>
      </c>
      <c r="E41" s="12">
        <v>15506</v>
      </c>
      <c r="F41" s="13">
        <v>1</v>
      </c>
      <c r="G41" s="9">
        <v>60.169746398925781</v>
      </c>
      <c r="H41" s="12">
        <v>37483</v>
      </c>
      <c r="I41" s="9">
        <v>0</v>
      </c>
      <c r="J41" s="12">
        <v>37500</v>
      </c>
      <c r="K41" s="9">
        <v>0</v>
      </c>
      <c r="L41" s="9">
        <v>1</v>
      </c>
      <c r="M41" s="10" t="s">
        <v>401</v>
      </c>
      <c r="N41" s="9">
        <v>1</v>
      </c>
      <c r="O41" s="10" t="s">
        <v>401</v>
      </c>
      <c r="P41" s="9">
        <v>1</v>
      </c>
      <c r="Q41" s="10" t="s">
        <v>401</v>
      </c>
      <c r="R41" s="12">
        <v>40007</v>
      </c>
      <c r="S41" s="10" t="s">
        <v>145</v>
      </c>
      <c r="T41" s="9">
        <v>3</v>
      </c>
      <c r="U41" s="10" t="s">
        <v>150</v>
      </c>
      <c r="V41" s="10" t="s">
        <v>401</v>
      </c>
      <c r="W41" s="9"/>
      <c r="X41" s="9"/>
      <c r="Y41" s="9">
        <v>4</v>
      </c>
      <c r="Z41" s="14">
        <v>1</v>
      </c>
      <c r="AA41" s="15">
        <v>13</v>
      </c>
      <c r="AB41" s="16">
        <v>93</v>
      </c>
      <c r="AC41" s="16">
        <v>17</v>
      </c>
      <c r="AD41" s="9">
        <v>2</v>
      </c>
      <c r="AE41" s="9">
        <v>2</v>
      </c>
      <c r="AF41" s="9">
        <v>1</v>
      </c>
      <c r="AG41" s="9">
        <v>0</v>
      </c>
      <c r="AH41" s="9">
        <v>1</v>
      </c>
      <c r="AI41" s="9">
        <v>0</v>
      </c>
      <c r="AJ41" s="12">
        <v>42920</v>
      </c>
      <c r="AK41" s="9">
        <v>2</v>
      </c>
      <c r="AL41" s="12">
        <v>43360</v>
      </c>
      <c r="AM41" s="9">
        <v>2</v>
      </c>
      <c r="AN41" s="12">
        <v>42982</v>
      </c>
      <c r="AO41" s="12">
        <v>43499</v>
      </c>
      <c r="AP41" s="12">
        <v>43499</v>
      </c>
      <c r="AQ41" s="9">
        <v>1</v>
      </c>
      <c r="AR41" s="9">
        <f t="shared" si="4"/>
        <v>1</v>
      </c>
      <c r="AS41" s="9">
        <v>1</v>
      </c>
      <c r="AT41" s="9">
        <v>2</v>
      </c>
      <c r="AU41" s="9">
        <v>2</v>
      </c>
      <c r="AV41" s="9">
        <f t="shared" si="5"/>
        <v>1</v>
      </c>
      <c r="AW41" s="12">
        <v>43549</v>
      </c>
      <c r="AX41" s="9">
        <v>7700</v>
      </c>
      <c r="AY41" s="9">
        <v>6900</v>
      </c>
      <c r="AZ41" s="9">
        <v>300</v>
      </c>
      <c r="BA41" s="9">
        <v>6900</v>
      </c>
      <c r="BB41" s="9">
        <v>300.00003051757813</v>
      </c>
      <c r="BC41" s="9">
        <v>136000</v>
      </c>
      <c r="BD41" s="9">
        <v>500</v>
      </c>
      <c r="BE41" s="9">
        <v>0</v>
      </c>
      <c r="BF41" s="9">
        <v>260</v>
      </c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10" t="s">
        <v>401</v>
      </c>
      <c r="CA41" s="9"/>
      <c r="CB41" s="9"/>
      <c r="CC41" s="10">
        <f t="shared" si="6"/>
        <v>22.999997660319249</v>
      </c>
      <c r="CD41" s="10">
        <f t="shared" si="7"/>
        <v>453.33328721788666</v>
      </c>
      <c r="CE41" s="10">
        <f t="shared" si="22"/>
        <v>3127999.6818034179</v>
      </c>
      <c r="CF41" s="10">
        <f t="shared" si="9"/>
        <v>1</v>
      </c>
      <c r="CG41" s="10">
        <f t="shared" si="0"/>
        <v>1</v>
      </c>
      <c r="CH41" s="10">
        <f t="shared" si="1"/>
        <v>14</v>
      </c>
      <c r="CI41" s="9">
        <f t="shared" si="10"/>
        <v>1</v>
      </c>
      <c r="CJ41" s="10">
        <f t="shared" si="2"/>
        <v>20</v>
      </c>
      <c r="CK41" s="10" t="b">
        <f t="shared" si="11"/>
        <v>1</v>
      </c>
      <c r="CL41" s="10" t="b">
        <f t="shared" si="12"/>
        <v>1</v>
      </c>
      <c r="CM41" s="10" t="b">
        <f t="shared" si="13"/>
        <v>0</v>
      </c>
      <c r="CN41" s="9">
        <f t="shared" si="14"/>
        <v>1</v>
      </c>
      <c r="CO41" s="10">
        <f t="shared" si="21"/>
        <v>19</v>
      </c>
      <c r="CP41" s="10" t="b">
        <f t="shared" si="15"/>
        <v>1</v>
      </c>
      <c r="CQ41" s="10" t="b">
        <f t="shared" si="16"/>
        <v>1</v>
      </c>
      <c r="CR41" s="10" cm="1">
        <f t="array" ref="CR41">_xlfn.IFS(AND($CI41=0, CK41=FALSE), NA(), AND($CI41=1, CK41=FALSE), 0, CK41=TRUE, 1)</f>
        <v>1</v>
      </c>
      <c r="CS41" s="10" cm="1">
        <f t="array" ref="CS41">_xlfn.IFS(AND($CI41=0, CL41=FALSE), NA(), AND($CI41=1, CL41=FALSE), 0, CL41=TRUE, 1)</f>
        <v>1</v>
      </c>
      <c r="CT41" s="10" cm="1">
        <f t="array" ref="CT41">_xlfn.IFS(AND($CI41=0, CM41=FALSE), NA(), AND($CI41=1, CM41=FALSE), 0, CM41=TRUE, 1)</f>
        <v>0</v>
      </c>
      <c r="CU41" s="10" cm="1">
        <f t="array" ref="CU41">_xlfn.IFS(AND($CN41=0, CP41=FALSE), NA(), AND($CN41=1, CP41=FALSE), 0, CP41=TRUE, 1)</f>
        <v>1</v>
      </c>
      <c r="CV41" s="10" cm="1">
        <f t="array" ref="CV41">_xlfn.IFS(AND($CN41=0, CQ41=FALSE), NA(), AND($CN41=1, CQ41=FALSE), 0, CQ41=TRUE, 1)</f>
        <v>1</v>
      </c>
    </row>
    <row r="42" spans="1:100" ht="15.75" x14ac:dyDescent="0.25">
      <c r="A42" s="8">
        <v>41</v>
      </c>
      <c r="B42" s="9">
        <v>509</v>
      </c>
      <c r="C42" s="10" t="s">
        <v>33</v>
      </c>
      <c r="D42" s="11" t="s">
        <v>43</v>
      </c>
      <c r="E42" s="12">
        <v>22737</v>
      </c>
      <c r="F42" s="13">
        <v>1</v>
      </c>
      <c r="G42" s="9">
        <v>40.613277435302734</v>
      </c>
      <c r="H42" s="12">
        <v>37571</v>
      </c>
      <c r="I42" s="9">
        <v>1</v>
      </c>
      <c r="J42" s="12">
        <v>37571</v>
      </c>
      <c r="K42" s="9">
        <v>1</v>
      </c>
      <c r="L42" s="9">
        <v>1</v>
      </c>
      <c r="M42" s="10" t="s">
        <v>401</v>
      </c>
      <c r="N42" s="9">
        <v>1</v>
      </c>
      <c r="O42" s="10" t="s">
        <v>401</v>
      </c>
      <c r="P42" s="9">
        <v>1</v>
      </c>
      <c r="Q42" s="10" t="s">
        <v>401</v>
      </c>
      <c r="R42" s="12">
        <v>41088</v>
      </c>
      <c r="S42" s="10" t="s">
        <v>145</v>
      </c>
      <c r="T42" s="9">
        <v>2</v>
      </c>
      <c r="U42" s="10" t="s">
        <v>401</v>
      </c>
      <c r="V42" s="10" t="s">
        <v>401</v>
      </c>
      <c r="W42" s="9"/>
      <c r="X42" s="9"/>
      <c r="Y42" s="9">
        <v>3</v>
      </c>
      <c r="Z42" s="16"/>
      <c r="AA42" s="26"/>
      <c r="AB42" s="27"/>
      <c r="AC42" s="27"/>
      <c r="AD42" s="9">
        <v>1</v>
      </c>
      <c r="AE42" s="9">
        <v>1</v>
      </c>
      <c r="AF42" s="9">
        <v>1</v>
      </c>
      <c r="AG42" s="9">
        <v>0</v>
      </c>
      <c r="AH42" s="9">
        <v>1</v>
      </c>
      <c r="AI42" s="9">
        <v>0</v>
      </c>
      <c r="AJ42" s="12">
        <v>42933</v>
      </c>
      <c r="AK42" s="9">
        <v>2</v>
      </c>
      <c r="AL42" s="12">
        <v>43140</v>
      </c>
      <c r="AM42" s="9">
        <v>3</v>
      </c>
      <c r="AN42" s="12">
        <v>42996</v>
      </c>
      <c r="AO42" s="12">
        <v>43150</v>
      </c>
      <c r="AP42" s="12">
        <v>43150</v>
      </c>
      <c r="AQ42" s="9">
        <v>1</v>
      </c>
      <c r="AR42" s="9">
        <f t="shared" si="4"/>
        <v>1</v>
      </c>
      <c r="AS42" s="9">
        <v>1</v>
      </c>
      <c r="AT42" s="9">
        <v>2</v>
      </c>
      <c r="AU42" s="9">
        <v>2</v>
      </c>
      <c r="AV42" s="9">
        <f t="shared" si="5"/>
        <v>1</v>
      </c>
      <c r="AW42" s="12">
        <v>43465</v>
      </c>
      <c r="AX42" s="9"/>
      <c r="AY42" s="9"/>
      <c r="AZ42" s="9"/>
      <c r="BA42" s="9">
        <v>4434.19677734375</v>
      </c>
      <c r="BB42" s="9">
        <v>1306.728515625</v>
      </c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0" t="s">
        <v>401</v>
      </c>
      <c r="CA42" s="9"/>
      <c r="CB42" s="9"/>
      <c r="CC42" s="10">
        <f t="shared" si="6"/>
        <v>3.3933573227510854</v>
      </c>
      <c r="CF42" s="10">
        <f t="shared" si="9"/>
        <v>1</v>
      </c>
      <c r="CG42" s="10">
        <f t="shared" si="0"/>
        <v>0</v>
      </c>
      <c r="CH42" s="10">
        <f t="shared" si="1"/>
        <v>7</v>
      </c>
      <c r="CI42" s="9">
        <f t="shared" si="10"/>
        <v>1</v>
      </c>
      <c r="CJ42" s="10">
        <f t="shared" si="2"/>
        <v>17</v>
      </c>
      <c r="CK42" s="10" t="b">
        <f t="shared" si="11"/>
        <v>1</v>
      </c>
      <c r="CL42" s="10" t="b">
        <f t="shared" si="12"/>
        <v>0</v>
      </c>
      <c r="CM42" s="10" t="b">
        <f t="shared" si="13"/>
        <v>0</v>
      </c>
      <c r="CN42" s="9">
        <f t="shared" si="14"/>
        <v>1</v>
      </c>
      <c r="CO42" s="10">
        <f t="shared" si="21"/>
        <v>7</v>
      </c>
      <c r="CP42" s="10" t="b">
        <f t="shared" si="15"/>
        <v>1</v>
      </c>
      <c r="CQ42" s="10" t="b">
        <f t="shared" si="16"/>
        <v>0</v>
      </c>
      <c r="CR42" s="10" cm="1">
        <f t="array" ref="CR42">_xlfn.IFS(AND($CI42=0, CK42=FALSE), NA(), AND($CI42=1, CK42=FALSE), 0, CK42=TRUE, 1)</f>
        <v>1</v>
      </c>
      <c r="CS42" s="10" cm="1">
        <f t="array" ref="CS42">_xlfn.IFS(AND($CI42=0, CL42=FALSE), NA(), AND($CI42=1, CL42=FALSE), 0, CL42=TRUE, 1)</f>
        <v>0</v>
      </c>
      <c r="CT42" s="10" cm="1">
        <f t="array" ref="CT42">_xlfn.IFS(AND($CI42=0, CM42=FALSE), NA(), AND($CI42=1, CM42=FALSE), 0, CM42=TRUE, 1)</f>
        <v>0</v>
      </c>
      <c r="CU42" s="10" cm="1">
        <f t="array" ref="CU42">_xlfn.IFS(AND($CN42=0, CP42=FALSE), NA(), AND($CN42=1, CP42=FALSE), 0, CP42=TRUE, 1)</f>
        <v>1</v>
      </c>
      <c r="CV42" s="10" cm="1">
        <f t="array" ref="CV42">_xlfn.IFS(AND($CN42=0, CQ42=FALSE), NA(), AND($CN42=1, CQ42=FALSE), 0, CQ42=TRUE, 1)</f>
        <v>0</v>
      </c>
    </row>
    <row r="43" spans="1:100" ht="15.75" x14ac:dyDescent="0.25">
      <c r="A43" s="8">
        <v>42</v>
      </c>
      <c r="B43" s="9">
        <v>387</v>
      </c>
      <c r="C43" s="10" t="s">
        <v>29</v>
      </c>
      <c r="D43" s="11" t="s">
        <v>302</v>
      </c>
      <c r="E43" s="12">
        <v>13224</v>
      </c>
      <c r="F43" s="13">
        <v>2</v>
      </c>
      <c r="G43" s="9">
        <v>66.87200927734375</v>
      </c>
      <c r="H43" s="12">
        <v>37649</v>
      </c>
      <c r="I43" s="9">
        <v>1</v>
      </c>
      <c r="J43" s="12">
        <v>37649</v>
      </c>
      <c r="K43" s="9">
        <v>0</v>
      </c>
      <c r="L43" s="9">
        <v>1</v>
      </c>
      <c r="M43" s="10" t="s">
        <v>401</v>
      </c>
      <c r="N43" s="9">
        <v>1</v>
      </c>
      <c r="O43" s="10" t="s">
        <v>401</v>
      </c>
      <c r="P43" s="9">
        <v>1</v>
      </c>
      <c r="Q43" s="10" t="s">
        <v>401</v>
      </c>
      <c r="R43" s="12">
        <v>42549</v>
      </c>
      <c r="S43" s="10" t="s">
        <v>146</v>
      </c>
      <c r="T43" s="9"/>
      <c r="U43" s="10" t="s">
        <v>401</v>
      </c>
      <c r="V43" s="10" t="s">
        <v>401</v>
      </c>
      <c r="W43" s="9"/>
      <c r="X43" s="9"/>
      <c r="Y43" s="9">
        <v>2</v>
      </c>
      <c r="Z43" s="14">
        <v>2</v>
      </c>
      <c r="AA43" s="17">
        <v>14.2</v>
      </c>
      <c r="AB43" s="18">
        <v>95</v>
      </c>
      <c r="AC43" s="18">
        <v>13</v>
      </c>
      <c r="AD43" s="9">
        <v>1</v>
      </c>
      <c r="AE43" s="9">
        <v>1</v>
      </c>
      <c r="AF43" s="9">
        <v>1</v>
      </c>
      <c r="AG43" s="9">
        <v>1</v>
      </c>
      <c r="AH43" s="9">
        <v>1</v>
      </c>
      <c r="AI43" s="9">
        <v>0</v>
      </c>
      <c r="AJ43" s="12">
        <v>43187</v>
      </c>
      <c r="AK43" s="9">
        <v>2</v>
      </c>
      <c r="AL43" s="12">
        <v>43397</v>
      </c>
      <c r="AM43" s="9">
        <v>3</v>
      </c>
      <c r="AN43" s="12">
        <v>43285</v>
      </c>
      <c r="AO43" s="12">
        <v>43425</v>
      </c>
      <c r="AP43" s="12">
        <v>43768</v>
      </c>
      <c r="AQ43" s="9">
        <v>1</v>
      </c>
      <c r="AR43" s="9">
        <f t="shared" si="4"/>
        <v>1</v>
      </c>
      <c r="AS43" s="9">
        <v>1</v>
      </c>
      <c r="AT43" s="9">
        <v>1</v>
      </c>
      <c r="AU43" s="9">
        <v>2</v>
      </c>
      <c r="AV43" s="9">
        <f t="shared" si="5"/>
        <v>1</v>
      </c>
      <c r="AW43" s="12">
        <v>44002</v>
      </c>
      <c r="AX43" s="9">
        <v>6210</v>
      </c>
      <c r="AY43" s="9">
        <v>3910</v>
      </c>
      <c r="AZ43" s="9">
        <v>1700</v>
      </c>
      <c r="BA43" s="9">
        <v>3910</v>
      </c>
      <c r="BB43" s="9">
        <v>1700.0001220703125</v>
      </c>
      <c r="BC43" s="9">
        <v>244000</v>
      </c>
      <c r="BD43" s="9">
        <v>55</v>
      </c>
      <c r="BE43" s="9">
        <v>4</v>
      </c>
      <c r="BF43" s="9"/>
      <c r="BG43" s="9">
        <v>5080</v>
      </c>
      <c r="BH43" s="9">
        <v>3100</v>
      </c>
      <c r="BI43" s="9">
        <v>1340</v>
      </c>
      <c r="BJ43" s="9">
        <v>226000</v>
      </c>
      <c r="BK43" s="9">
        <v>55</v>
      </c>
      <c r="BL43" s="9">
        <v>7</v>
      </c>
      <c r="BM43" s="9"/>
      <c r="BN43" s="9">
        <v>6500</v>
      </c>
      <c r="BO43" s="9">
        <v>4790</v>
      </c>
      <c r="BP43" s="9">
        <v>1460</v>
      </c>
      <c r="BQ43" s="9">
        <v>221000</v>
      </c>
      <c r="BR43" s="9">
        <v>58</v>
      </c>
      <c r="BS43" s="9">
        <v>25</v>
      </c>
      <c r="BT43" s="9"/>
      <c r="BU43" s="9">
        <v>5610</v>
      </c>
      <c r="BV43" s="9">
        <v>3750</v>
      </c>
      <c r="BW43" s="9">
        <v>1380</v>
      </c>
      <c r="BX43" s="9">
        <v>240000</v>
      </c>
      <c r="BY43" s="9">
        <v>48</v>
      </c>
      <c r="BZ43" s="10" t="s">
        <v>148</v>
      </c>
      <c r="CA43" s="9">
        <v>4</v>
      </c>
      <c r="CB43" s="9"/>
      <c r="CC43" s="10">
        <f t="shared" si="6"/>
        <v>2.2999998348460595</v>
      </c>
      <c r="CD43" s="10">
        <f t="shared" si="7"/>
        <v>143.52940145842419</v>
      </c>
      <c r="CE43" s="10">
        <f t="shared" ref="CE43:CE64" si="23">BC43*CC43</f>
        <v>561199.95970243856</v>
      </c>
      <c r="CF43" s="10">
        <f t="shared" si="9"/>
        <v>1</v>
      </c>
      <c r="CG43" s="10">
        <f t="shared" si="0"/>
        <v>0</v>
      </c>
      <c r="CH43" s="10">
        <f t="shared" si="1"/>
        <v>7</v>
      </c>
      <c r="CI43" s="9">
        <f t="shared" si="10"/>
        <v>1</v>
      </c>
      <c r="CJ43" s="10">
        <f t="shared" si="2"/>
        <v>27</v>
      </c>
      <c r="CK43" s="10" t="b">
        <f t="shared" si="11"/>
        <v>1</v>
      </c>
      <c r="CL43" s="10" t="b">
        <f t="shared" si="12"/>
        <v>1</v>
      </c>
      <c r="CM43" s="10" t="b">
        <f t="shared" si="13"/>
        <v>1</v>
      </c>
      <c r="CN43" s="9">
        <f t="shared" si="14"/>
        <v>1</v>
      </c>
      <c r="CO43" s="10">
        <f t="shared" si="21"/>
        <v>8</v>
      </c>
      <c r="CP43" s="10" t="b">
        <f t="shared" si="15"/>
        <v>1</v>
      </c>
      <c r="CQ43" s="10" t="b">
        <f t="shared" si="16"/>
        <v>0</v>
      </c>
      <c r="CR43" s="10" cm="1">
        <f t="array" ref="CR43">_xlfn.IFS(AND($CI43=0, CK43=FALSE), NA(), AND($CI43=1, CK43=FALSE), 0, CK43=TRUE, 1)</f>
        <v>1</v>
      </c>
      <c r="CS43" s="10" cm="1">
        <f t="array" ref="CS43">_xlfn.IFS(AND($CI43=0, CL43=FALSE), NA(), AND($CI43=1, CL43=FALSE), 0, CL43=TRUE, 1)</f>
        <v>1</v>
      </c>
      <c r="CT43" s="10" cm="1">
        <f t="array" ref="CT43">_xlfn.IFS(AND($CI43=0, CM43=FALSE), NA(), AND($CI43=1, CM43=FALSE), 0, CM43=TRUE, 1)</f>
        <v>1</v>
      </c>
      <c r="CU43" s="10" cm="1">
        <f t="array" ref="CU43">_xlfn.IFS(AND($CN43=0, CP43=FALSE), NA(), AND($CN43=1, CP43=FALSE), 0, CP43=TRUE, 1)</f>
        <v>1</v>
      </c>
      <c r="CV43" s="10" cm="1">
        <f t="array" ref="CV43">_xlfn.IFS(AND($CN43=0, CQ43=FALSE), NA(), AND($CN43=1, CQ43=FALSE), 0, CQ43=TRUE, 1)</f>
        <v>0</v>
      </c>
    </row>
    <row r="44" spans="1:100" ht="15.75" x14ac:dyDescent="0.25">
      <c r="A44" s="8">
        <v>43</v>
      </c>
      <c r="B44" s="9">
        <v>535</v>
      </c>
      <c r="C44" s="10" t="s">
        <v>34</v>
      </c>
      <c r="D44" s="11" t="s">
        <v>43</v>
      </c>
      <c r="E44" s="12">
        <v>16250</v>
      </c>
      <c r="F44" s="13">
        <v>1</v>
      </c>
      <c r="G44" s="9">
        <v>58.598220825195313</v>
      </c>
      <c r="H44" s="12">
        <v>37653</v>
      </c>
      <c r="I44" s="9">
        <v>1</v>
      </c>
      <c r="J44" s="12">
        <v>37653</v>
      </c>
      <c r="K44" s="9">
        <v>0</v>
      </c>
      <c r="L44" s="9">
        <v>1</v>
      </c>
      <c r="M44" s="10" t="s">
        <v>401</v>
      </c>
      <c r="N44" s="9">
        <v>1</v>
      </c>
      <c r="O44" s="10" t="s">
        <v>401</v>
      </c>
      <c r="P44" s="9">
        <v>1</v>
      </c>
      <c r="Q44" s="10" t="s">
        <v>401</v>
      </c>
      <c r="R44" s="12">
        <v>41571</v>
      </c>
      <c r="S44" s="10" t="s">
        <v>145</v>
      </c>
      <c r="T44" s="9">
        <v>4</v>
      </c>
      <c r="U44" s="10" t="s">
        <v>401</v>
      </c>
      <c r="V44" s="10" t="s">
        <v>401</v>
      </c>
      <c r="W44" s="9"/>
      <c r="X44" s="9"/>
      <c r="Y44" s="9">
        <v>3</v>
      </c>
      <c r="Z44" s="14">
        <v>1</v>
      </c>
      <c r="AA44" s="15">
        <v>11.8</v>
      </c>
      <c r="AB44" s="16">
        <v>98</v>
      </c>
      <c r="AC44" s="16">
        <v>16</v>
      </c>
      <c r="AD44" s="9">
        <v>3</v>
      </c>
      <c r="AE44" s="9">
        <v>3</v>
      </c>
      <c r="AF44" s="9">
        <v>2</v>
      </c>
      <c r="AG44" s="9">
        <v>0</v>
      </c>
      <c r="AH44" s="9">
        <v>1</v>
      </c>
      <c r="AI44" s="9">
        <v>1</v>
      </c>
      <c r="AJ44" s="12">
        <v>43019</v>
      </c>
      <c r="AK44" s="9">
        <v>2</v>
      </c>
      <c r="AL44" s="12">
        <v>43061</v>
      </c>
      <c r="AM44" s="9">
        <v>4</v>
      </c>
      <c r="AN44" s="12">
        <v>43070</v>
      </c>
      <c r="AO44" s="12">
        <v>43070</v>
      </c>
      <c r="AP44" s="12">
        <v>43070</v>
      </c>
      <c r="AQ44" s="9">
        <v>1</v>
      </c>
      <c r="AR44" s="9">
        <f t="shared" si="4"/>
        <v>1</v>
      </c>
      <c r="AS44" s="9">
        <v>1</v>
      </c>
      <c r="AT44" s="9">
        <v>2</v>
      </c>
      <c r="AU44" s="9">
        <v>2</v>
      </c>
      <c r="AV44" s="9">
        <f t="shared" si="5"/>
        <v>1</v>
      </c>
      <c r="AW44" s="12">
        <v>43133</v>
      </c>
      <c r="AX44" s="9">
        <v>7010</v>
      </c>
      <c r="AY44" s="9">
        <v>6070</v>
      </c>
      <c r="AZ44" s="9">
        <v>700</v>
      </c>
      <c r="BA44" s="9">
        <v>6070</v>
      </c>
      <c r="BB44" s="9">
        <v>699.99993896484375</v>
      </c>
      <c r="BC44" s="9">
        <v>130000</v>
      </c>
      <c r="BD44" s="9">
        <v>240</v>
      </c>
      <c r="BE44" s="9">
        <v>0</v>
      </c>
      <c r="BF44" s="9">
        <v>269</v>
      </c>
      <c r="BG44" s="9">
        <v>8720</v>
      </c>
      <c r="BH44" s="9">
        <v>6470</v>
      </c>
      <c r="BI44" s="9">
        <v>1540</v>
      </c>
      <c r="BJ44" s="9">
        <v>339000</v>
      </c>
      <c r="BK44" s="9">
        <v>610</v>
      </c>
      <c r="BL44" s="9">
        <v>60</v>
      </c>
      <c r="BM44" s="9">
        <v>159</v>
      </c>
      <c r="BN44" s="9">
        <v>6910</v>
      </c>
      <c r="BO44" s="9">
        <v>4560</v>
      </c>
      <c r="BP44" s="9">
        <v>1400</v>
      </c>
      <c r="BQ44" s="9">
        <v>216000</v>
      </c>
      <c r="BR44" s="9">
        <v>780</v>
      </c>
      <c r="BS44" s="9">
        <v>110</v>
      </c>
      <c r="BT44" s="9">
        <v>141</v>
      </c>
      <c r="BU44" s="9">
        <v>8670</v>
      </c>
      <c r="BV44" s="9">
        <v>6010</v>
      </c>
      <c r="BW44" s="9">
        <v>1620</v>
      </c>
      <c r="BX44" s="9">
        <v>271000</v>
      </c>
      <c r="BY44" s="9">
        <v>860</v>
      </c>
      <c r="BZ44" s="10" t="s">
        <v>525</v>
      </c>
      <c r="CA44" s="9">
        <v>100</v>
      </c>
      <c r="CB44" s="9"/>
      <c r="CC44" s="10">
        <f t="shared" si="6"/>
        <v>8.6714293275172061</v>
      </c>
      <c r="CD44" s="10">
        <f t="shared" si="7"/>
        <v>185.71430190728776</v>
      </c>
      <c r="CE44" s="10">
        <f t="shared" si="23"/>
        <v>1127285.8125772367</v>
      </c>
      <c r="CF44" s="10">
        <f t="shared" si="9"/>
        <v>0</v>
      </c>
      <c r="CG44" s="10">
        <f t="shared" si="0"/>
        <v>0</v>
      </c>
      <c r="CH44" s="10">
        <f t="shared" si="1"/>
        <v>1</v>
      </c>
      <c r="CI44" s="9">
        <f t="shared" si="10"/>
        <v>1</v>
      </c>
      <c r="CJ44" s="10">
        <f t="shared" si="2"/>
        <v>4</v>
      </c>
      <c r="CK44" s="10" t="b">
        <f t="shared" si="11"/>
        <v>0</v>
      </c>
      <c r="CL44" s="10" t="b">
        <f t="shared" si="12"/>
        <v>0</v>
      </c>
      <c r="CM44" s="10" t="b">
        <f t="shared" si="13"/>
        <v>0</v>
      </c>
      <c r="CN44" s="9">
        <f t="shared" si="14"/>
        <v>1</v>
      </c>
      <c r="CO44" s="10">
        <f t="shared" si="21"/>
        <v>2</v>
      </c>
      <c r="CP44" s="10" t="b">
        <f t="shared" si="15"/>
        <v>0</v>
      </c>
      <c r="CQ44" s="10" t="b">
        <f t="shared" si="16"/>
        <v>0</v>
      </c>
      <c r="CR44" s="10" cm="1">
        <f t="array" ref="CR44">_xlfn.IFS(AND($CI44=0, CK44=FALSE), NA(), AND($CI44=1, CK44=FALSE), 0, CK44=TRUE, 1)</f>
        <v>0</v>
      </c>
      <c r="CS44" s="10" cm="1">
        <f t="array" ref="CS44">_xlfn.IFS(AND($CI44=0, CL44=FALSE), NA(), AND($CI44=1, CL44=FALSE), 0, CL44=TRUE, 1)</f>
        <v>0</v>
      </c>
      <c r="CT44" s="10" cm="1">
        <f t="array" ref="CT44">_xlfn.IFS(AND($CI44=0, CM44=FALSE), NA(), AND($CI44=1, CM44=FALSE), 0, CM44=TRUE, 1)</f>
        <v>0</v>
      </c>
      <c r="CU44" s="10" cm="1">
        <f t="array" ref="CU44">_xlfn.IFS(AND($CN44=0, CP44=FALSE), NA(), AND($CN44=1, CP44=FALSE), 0, CP44=TRUE, 1)</f>
        <v>0</v>
      </c>
      <c r="CV44" s="10" cm="1">
        <f t="array" ref="CV44">_xlfn.IFS(AND($CN44=0, CQ44=FALSE), NA(), AND($CN44=1, CQ44=FALSE), 0, CQ44=TRUE, 1)</f>
        <v>0</v>
      </c>
    </row>
    <row r="45" spans="1:100" ht="15.75" x14ac:dyDescent="0.25">
      <c r="A45" s="8">
        <v>44</v>
      </c>
      <c r="B45" s="9">
        <v>254</v>
      </c>
      <c r="C45" s="10" t="s">
        <v>21</v>
      </c>
      <c r="D45" s="11" t="s">
        <v>186</v>
      </c>
      <c r="E45" s="12">
        <v>20837</v>
      </c>
      <c r="F45" s="13">
        <v>1</v>
      </c>
      <c r="G45" s="9">
        <v>46.078029632568359</v>
      </c>
      <c r="H45" s="12">
        <v>37667</v>
      </c>
      <c r="I45" s="9">
        <v>1</v>
      </c>
      <c r="J45" s="12">
        <v>37667</v>
      </c>
      <c r="K45" s="9">
        <v>0</v>
      </c>
      <c r="L45" s="9">
        <v>1</v>
      </c>
      <c r="M45" s="10" t="s">
        <v>401</v>
      </c>
      <c r="N45" s="9"/>
      <c r="O45" s="10" t="s">
        <v>401</v>
      </c>
      <c r="P45" s="9"/>
      <c r="Q45" s="10" t="s">
        <v>401</v>
      </c>
      <c r="R45" s="12">
        <v>40954</v>
      </c>
      <c r="S45" s="10" t="s">
        <v>145</v>
      </c>
      <c r="T45" s="9"/>
      <c r="U45" s="10" t="s">
        <v>401</v>
      </c>
      <c r="V45" s="10" t="s">
        <v>401</v>
      </c>
      <c r="W45" s="9"/>
      <c r="X45" s="9"/>
      <c r="Y45" s="9">
        <v>2</v>
      </c>
      <c r="Z45" s="14">
        <v>1</v>
      </c>
      <c r="AA45" s="15">
        <v>9.6999999999999993</v>
      </c>
      <c r="AB45" s="16">
        <v>83</v>
      </c>
      <c r="AC45" s="16">
        <v>17</v>
      </c>
      <c r="AD45" s="9">
        <v>3</v>
      </c>
      <c r="AE45" s="9">
        <v>3</v>
      </c>
      <c r="AF45" s="9">
        <v>2</v>
      </c>
      <c r="AG45" s="9">
        <v>0</v>
      </c>
      <c r="AH45" s="9">
        <v>1</v>
      </c>
      <c r="AI45" s="9">
        <v>0</v>
      </c>
      <c r="AJ45" s="12">
        <v>42405</v>
      </c>
      <c r="AK45" s="9">
        <v>2</v>
      </c>
      <c r="AL45" s="12">
        <v>42461</v>
      </c>
      <c r="AM45" s="9">
        <v>4</v>
      </c>
      <c r="AN45" s="12">
        <v>42469</v>
      </c>
      <c r="AO45" s="12">
        <v>42469</v>
      </c>
      <c r="AP45" s="12">
        <v>42469</v>
      </c>
      <c r="AQ45" s="9">
        <v>1</v>
      </c>
      <c r="AR45" s="9">
        <f t="shared" si="4"/>
        <v>1</v>
      </c>
      <c r="AS45" s="9">
        <v>1</v>
      </c>
      <c r="AT45" s="9">
        <v>2</v>
      </c>
      <c r="AU45" s="9">
        <v>2</v>
      </c>
      <c r="AV45" s="9">
        <f t="shared" si="5"/>
        <v>1</v>
      </c>
      <c r="AW45" s="12">
        <v>42469</v>
      </c>
      <c r="AX45" s="9">
        <v>8540</v>
      </c>
      <c r="AY45" s="9">
        <v>6210</v>
      </c>
      <c r="AZ45" s="9">
        <v>1390</v>
      </c>
      <c r="BA45" s="9">
        <v>6210</v>
      </c>
      <c r="BB45" s="9">
        <v>1390.0001220703125</v>
      </c>
      <c r="BC45" s="9">
        <v>446000</v>
      </c>
      <c r="BD45" s="9">
        <v>860</v>
      </c>
      <c r="BE45" s="9">
        <v>60</v>
      </c>
      <c r="BF45" s="9">
        <v>236</v>
      </c>
      <c r="BG45" s="9">
        <v>7850</v>
      </c>
      <c r="BH45" s="9">
        <v>5990</v>
      </c>
      <c r="BI45" s="9">
        <v>1040</v>
      </c>
      <c r="BJ45" s="9">
        <v>383000</v>
      </c>
      <c r="BK45" s="9">
        <v>750</v>
      </c>
      <c r="BL45" s="9">
        <v>60</v>
      </c>
      <c r="BM45" s="9">
        <v>238</v>
      </c>
      <c r="BN45" s="9">
        <v>8510</v>
      </c>
      <c r="BO45" s="9">
        <v>6540</v>
      </c>
      <c r="BP45" s="9">
        <v>1130</v>
      </c>
      <c r="BQ45" s="9">
        <v>453000</v>
      </c>
      <c r="BR45" s="9">
        <v>760</v>
      </c>
      <c r="BS45" s="9">
        <v>70</v>
      </c>
      <c r="BT45" s="9">
        <v>225</v>
      </c>
      <c r="BU45" s="9"/>
      <c r="BV45" s="9"/>
      <c r="BW45" s="9"/>
      <c r="BX45" s="9"/>
      <c r="BY45" s="9"/>
      <c r="BZ45" s="10" t="s">
        <v>401</v>
      </c>
      <c r="CA45" s="9"/>
      <c r="CB45" s="9"/>
      <c r="CC45" s="10">
        <f t="shared" si="6"/>
        <v>4.4676255069320563</v>
      </c>
      <c r="CD45" s="10">
        <f t="shared" si="7"/>
        <v>320.86328117418634</v>
      </c>
      <c r="CE45" s="10">
        <f t="shared" si="23"/>
        <v>1992560.9760916971</v>
      </c>
      <c r="CF45" s="10">
        <f t="shared" si="9"/>
        <v>0</v>
      </c>
      <c r="CG45" s="10">
        <f t="shared" si="0"/>
        <v>0</v>
      </c>
      <c r="CH45" s="10">
        <f t="shared" si="1"/>
        <v>2</v>
      </c>
      <c r="CI45" s="9">
        <f t="shared" si="10"/>
        <v>1</v>
      </c>
      <c r="CJ45" s="10">
        <f t="shared" si="2"/>
        <v>2</v>
      </c>
      <c r="CK45" s="10" t="b">
        <f t="shared" si="11"/>
        <v>0</v>
      </c>
      <c r="CL45" s="10" t="b">
        <f t="shared" si="12"/>
        <v>0</v>
      </c>
      <c r="CM45" s="10" t="b">
        <f t="shared" si="13"/>
        <v>0</v>
      </c>
      <c r="CN45" s="9">
        <f t="shared" si="14"/>
        <v>1</v>
      </c>
      <c r="CO45" s="10">
        <f t="shared" si="21"/>
        <v>2</v>
      </c>
      <c r="CP45" s="10" t="b">
        <f t="shared" si="15"/>
        <v>0</v>
      </c>
      <c r="CQ45" s="10" t="b">
        <f t="shared" si="16"/>
        <v>0</v>
      </c>
      <c r="CR45" s="10" cm="1">
        <f t="array" ref="CR45">_xlfn.IFS(AND($CI45=0, CK45=FALSE), NA(), AND($CI45=1, CK45=FALSE), 0, CK45=TRUE, 1)</f>
        <v>0</v>
      </c>
      <c r="CS45" s="10" cm="1">
        <f t="array" ref="CS45">_xlfn.IFS(AND($CI45=0, CL45=FALSE), NA(), AND($CI45=1, CL45=FALSE), 0, CL45=TRUE, 1)</f>
        <v>0</v>
      </c>
      <c r="CT45" s="10" cm="1">
        <f t="array" ref="CT45">_xlfn.IFS(AND($CI45=0, CM45=FALSE), NA(), AND($CI45=1, CM45=FALSE), 0, CM45=TRUE, 1)</f>
        <v>0</v>
      </c>
      <c r="CU45" s="10" cm="1">
        <f t="array" ref="CU45">_xlfn.IFS(AND($CN45=0, CP45=FALSE), NA(), AND($CN45=1, CP45=FALSE), 0, CP45=TRUE, 1)</f>
        <v>0</v>
      </c>
      <c r="CV45" s="10" cm="1">
        <f t="array" ref="CV45">_xlfn.IFS(AND($CN45=0, CQ45=FALSE), NA(), AND($CN45=1, CQ45=FALSE), 0, CQ45=TRUE, 1)</f>
        <v>0</v>
      </c>
    </row>
    <row r="46" spans="1:100" ht="15.75" x14ac:dyDescent="0.25">
      <c r="A46" s="8">
        <v>45</v>
      </c>
      <c r="B46" s="9">
        <v>264</v>
      </c>
      <c r="C46" s="10" t="s">
        <v>21</v>
      </c>
      <c r="D46" s="11" t="s">
        <v>85</v>
      </c>
      <c r="E46" s="12">
        <v>14099</v>
      </c>
      <c r="F46" s="13">
        <v>1</v>
      </c>
      <c r="G46" s="9">
        <v>64.761123657226563</v>
      </c>
      <c r="H46" s="12">
        <v>37753</v>
      </c>
      <c r="I46" s="9">
        <v>1</v>
      </c>
      <c r="J46" s="12">
        <v>37787</v>
      </c>
      <c r="K46" s="9">
        <v>0</v>
      </c>
      <c r="L46" s="9">
        <v>1</v>
      </c>
      <c r="M46" s="10" t="s">
        <v>401</v>
      </c>
      <c r="N46" s="9"/>
      <c r="O46" s="10" t="s">
        <v>401</v>
      </c>
      <c r="P46" s="9"/>
      <c r="Q46" s="10" t="s">
        <v>401</v>
      </c>
      <c r="R46" s="12">
        <v>41827</v>
      </c>
      <c r="S46" s="10" t="s">
        <v>145</v>
      </c>
      <c r="T46" s="9"/>
      <c r="U46" s="10" t="s">
        <v>401</v>
      </c>
      <c r="V46" s="10" t="s">
        <v>401</v>
      </c>
      <c r="W46" s="9"/>
      <c r="X46" s="9"/>
      <c r="Y46" s="9">
        <v>2</v>
      </c>
      <c r="Z46" s="14">
        <v>1</v>
      </c>
      <c r="AA46" s="15">
        <v>11.5</v>
      </c>
      <c r="AB46" s="16">
        <v>88</v>
      </c>
      <c r="AC46" s="16">
        <v>16</v>
      </c>
      <c r="AD46" s="9">
        <v>2</v>
      </c>
      <c r="AE46" s="9">
        <v>2</v>
      </c>
      <c r="AF46" s="9">
        <v>1</v>
      </c>
      <c r="AG46" s="9">
        <v>1</v>
      </c>
      <c r="AH46" s="9">
        <v>1</v>
      </c>
      <c r="AI46" s="9">
        <v>0</v>
      </c>
      <c r="AJ46" s="12">
        <v>43319</v>
      </c>
      <c r="AK46" s="9">
        <v>2</v>
      </c>
      <c r="AL46" s="12">
        <v>43404</v>
      </c>
      <c r="AM46" s="9">
        <v>4</v>
      </c>
      <c r="AN46" s="12">
        <v>43420</v>
      </c>
      <c r="AO46" s="12">
        <v>43420</v>
      </c>
      <c r="AP46" s="12">
        <v>43420</v>
      </c>
      <c r="AQ46" s="9">
        <v>1</v>
      </c>
      <c r="AR46" s="9">
        <f t="shared" si="4"/>
        <v>1</v>
      </c>
      <c r="AS46" s="9">
        <v>1</v>
      </c>
      <c r="AT46" s="9">
        <v>2</v>
      </c>
      <c r="AU46" s="9">
        <v>2</v>
      </c>
      <c r="AV46" s="9">
        <f t="shared" si="5"/>
        <v>1</v>
      </c>
      <c r="AW46" s="12">
        <v>43438</v>
      </c>
      <c r="AX46" s="9">
        <v>15800</v>
      </c>
      <c r="AY46" s="9">
        <v>12420</v>
      </c>
      <c r="AZ46" s="9">
        <v>1310</v>
      </c>
      <c r="BA46" s="9">
        <v>12420</v>
      </c>
      <c r="BB46" s="9">
        <v>1310.0001220703125</v>
      </c>
      <c r="BC46" s="9">
        <v>300000</v>
      </c>
      <c r="BD46" s="9">
        <v>1270</v>
      </c>
      <c r="BE46" s="9">
        <v>710</v>
      </c>
      <c r="BF46" s="9"/>
      <c r="BG46" s="9">
        <v>18150</v>
      </c>
      <c r="BH46" s="9">
        <v>14530</v>
      </c>
      <c r="BI46" s="9">
        <v>1430</v>
      </c>
      <c r="BJ46" s="9">
        <v>314000</v>
      </c>
      <c r="BK46" s="9">
        <v>1350</v>
      </c>
      <c r="BL46" s="9">
        <v>750</v>
      </c>
      <c r="BM46" s="9">
        <v>246</v>
      </c>
      <c r="BN46" s="9">
        <v>23980</v>
      </c>
      <c r="BO46" s="9">
        <v>16090</v>
      </c>
      <c r="BP46" s="9">
        <v>6200</v>
      </c>
      <c r="BQ46" s="9">
        <v>381000</v>
      </c>
      <c r="BR46" s="9">
        <v>1660</v>
      </c>
      <c r="BS46" s="9">
        <v>20</v>
      </c>
      <c r="BT46" s="9">
        <v>215</v>
      </c>
      <c r="BU46" s="9">
        <v>19020</v>
      </c>
      <c r="BV46" s="9">
        <v>13180</v>
      </c>
      <c r="BW46" s="9">
        <v>4170</v>
      </c>
      <c r="BX46" s="9">
        <v>296000</v>
      </c>
      <c r="BY46" s="9">
        <v>1670</v>
      </c>
      <c r="BZ46" s="10" t="s">
        <v>442</v>
      </c>
      <c r="CA46" s="9">
        <v>0</v>
      </c>
      <c r="CB46" s="9"/>
      <c r="CC46" s="10">
        <f t="shared" si="6"/>
        <v>9.4809151470700197</v>
      </c>
      <c r="CD46" s="10">
        <f t="shared" si="7"/>
        <v>229.00761224806809</v>
      </c>
      <c r="CE46" s="10">
        <f t="shared" si="23"/>
        <v>2844274.544121006</v>
      </c>
      <c r="CF46" s="10">
        <f t="shared" si="9"/>
        <v>0</v>
      </c>
      <c r="CG46" s="10">
        <f t="shared" si="0"/>
        <v>0</v>
      </c>
      <c r="CH46" s="10">
        <f t="shared" si="1"/>
        <v>2</v>
      </c>
      <c r="CI46" s="9">
        <f t="shared" si="10"/>
        <v>1</v>
      </c>
      <c r="CJ46" s="10">
        <f t="shared" si="2"/>
        <v>4</v>
      </c>
      <c r="CK46" s="10" t="b">
        <f t="shared" si="11"/>
        <v>0</v>
      </c>
      <c r="CL46" s="10" t="b">
        <f t="shared" si="12"/>
        <v>0</v>
      </c>
      <c r="CM46" s="10" t="b">
        <f t="shared" si="13"/>
        <v>0</v>
      </c>
      <c r="CN46" s="9">
        <f t="shared" si="14"/>
        <v>1</v>
      </c>
      <c r="CO46" s="10">
        <f t="shared" si="21"/>
        <v>3</v>
      </c>
      <c r="CP46" s="10" t="b">
        <f t="shared" si="15"/>
        <v>1</v>
      </c>
      <c r="CQ46" s="10" t="b">
        <f t="shared" si="16"/>
        <v>0</v>
      </c>
      <c r="CR46" s="10" cm="1">
        <f t="array" ref="CR46">_xlfn.IFS(AND($CI46=0, CK46=FALSE), NA(), AND($CI46=1, CK46=FALSE), 0, CK46=TRUE, 1)</f>
        <v>0</v>
      </c>
      <c r="CS46" s="10" cm="1">
        <f t="array" ref="CS46">_xlfn.IFS(AND($CI46=0, CL46=FALSE), NA(), AND($CI46=1, CL46=FALSE), 0, CL46=TRUE, 1)</f>
        <v>0</v>
      </c>
      <c r="CT46" s="10" cm="1">
        <f t="array" ref="CT46">_xlfn.IFS(AND($CI46=0, CM46=FALSE), NA(), AND($CI46=1, CM46=FALSE), 0, CM46=TRUE, 1)</f>
        <v>0</v>
      </c>
      <c r="CU46" s="10" cm="1">
        <f t="array" ref="CU46">_xlfn.IFS(AND($CN46=0, CP46=FALSE), NA(), AND($CN46=1, CP46=FALSE), 0, CP46=TRUE, 1)</f>
        <v>1</v>
      </c>
      <c r="CV46" s="10" cm="1">
        <f t="array" ref="CV46">_xlfn.IFS(AND($CN46=0, CQ46=FALSE), NA(), AND($CN46=1, CQ46=FALSE), 0, CQ46=TRUE, 1)</f>
        <v>0</v>
      </c>
    </row>
    <row r="47" spans="1:100" ht="15.75" x14ac:dyDescent="0.25">
      <c r="A47" s="8">
        <v>46</v>
      </c>
      <c r="B47" s="9">
        <v>281</v>
      </c>
      <c r="C47" s="10" t="s">
        <v>21</v>
      </c>
      <c r="D47" s="11" t="s">
        <v>248</v>
      </c>
      <c r="E47" s="12">
        <v>20023</v>
      </c>
      <c r="F47" s="13">
        <v>1</v>
      </c>
      <c r="G47" s="9">
        <v>48.635181427001953</v>
      </c>
      <c r="H47" s="12">
        <v>37787</v>
      </c>
      <c r="I47" s="9">
        <v>1</v>
      </c>
      <c r="J47" s="12">
        <v>37787</v>
      </c>
      <c r="K47" s="9">
        <v>0</v>
      </c>
      <c r="L47" s="9">
        <v>1</v>
      </c>
      <c r="M47" s="10" t="s">
        <v>401</v>
      </c>
      <c r="N47" s="9"/>
      <c r="O47" s="10" t="s">
        <v>401</v>
      </c>
      <c r="P47" s="9"/>
      <c r="Q47" s="10" t="s">
        <v>401</v>
      </c>
      <c r="R47" s="12">
        <v>40071</v>
      </c>
      <c r="S47" s="10" t="s">
        <v>145</v>
      </c>
      <c r="T47" s="9">
        <v>6</v>
      </c>
      <c r="U47" s="10" t="s">
        <v>401</v>
      </c>
      <c r="V47" s="10" t="s">
        <v>401</v>
      </c>
      <c r="W47" s="9"/>
      <c r="X47" s="9"/>
      <c r="Y47" s="9">
        <v>3</v>
      </c>
      <c r="Z47" s="14">
        <v>1</v>
      </c>
      <c r="AA47" s="15">
        <v>11.2</v>
      </c>
      <c r="AB47" s="16">
        <v>91</v>
      </c>
      <c r="AC47" s="16">
        <v>16</v>
      </c>
      <c r="AD47" s="9">
        <v>2</v>
      </c>
      <c r="AE47" s="9">
        <v>2</v>
      </c>
      <c r="AF47" s="9">
        <v>1</v>
      </c>
      <c r="AG47" s="9">
        <v>1</v>
      </c>
      <c r="AH47" s="9">
        <v>1</v>
      </c>
      <c r="AI47" s="9">
        <v>0</v>
      </c>
      <c r="AJ47" s="12">
        <v>42356</v>
      </c>
      <c r="AK47" s="9">
        <v>2</v>
      </c>
      <c r="AL47" s="12">
        <v>42430</v>
      </c>
      <c r="AM47" s="9">
        <v>4</v>
      </c>
      <c r="AN47" s="12">
        <v>42450</v>
      </c>
      <c r="AO47" s="12">
        <v>42450</v>
      </c>
      <c r="AP47" s="12">
        <v>42450</v>
      </c>
      <c r="AQ47" s="9">
        <v>1</v>
      </c>
      <c r="AR47" s="9">
        <f t="shared" si="4"/>
        <v>1</v>
      </c>
      <c r="AS47" s="9">
        <v>1</v>
      </c>
      <c r="AT47" s="9">
        <v>2</v>
      </c>
      <c r="AU47" s="9">
        <v>2</v>
      </c>
      <c r="AV47" s="9">
        <f t="shared" si="5"/>
        <v>1</v>
      </c>
      <c r="AW47" s="12">
        <v>42471</v>
      </c>
      <c r="AX47" s="9">
        <v>8400</v>
      </c>
      <c r="AY47" s="9">
        <v>4440</v>
      </c>
      <c r="AZ47" s="9">
        <v>2920</v>
      </c>
      <c r="BA47" s="9">
        <v>4440</v>
      </c>
      <c r="BB47" s="9">
        <v>2920.000732421875</v>
      </c>
      <c r="BC47" s="9">
        <v>626000</v>
      </c>
      <c r="BD47" s="9">
        <v>870</v>
      </c>
      <c r="BE47" s="9">
        <v>130</v>
      </c>
      <c r="BF47" s="9">
        <v>148</v>
      </c>
      <c r="BG47" s="9">
        <v>9290</v>
      </c>
      <c r="BH47" s="9">
        <v>4860</v>
      </c>
      <c r="BI47" s="9">
        <v>3180</v>
      </c>
      <c r="BJ47" s="9">
        <v>591000</v>
      </c>
      <c r="BK47" s="9">
        <v>1010</v>
      </c>
      <c r="BL47" s="9">
        <v>210</v>
      </c>
      <c r="BM47" s="9">
        <v>141</v>
      </c>
      <c r="BN47" s="9">
        <v>9840</v>
      </c>
      <c r="BO47" s="9">
        <v>5190</v>
      </c>
      <c r="BP47" s="9">
        <v>3440</v>
      </c>
      <c r="BQ47" s="9">
        <v>611000</v>
      </c>
      <c r="BR47" s="9">
        <v>940</v>
      </c>
      <c r="BS47" s="9">
        <v>210</v>
      </c>
      <c r="BT47" s="9">
        <v>136</v>
      </c>
      <c r="BU47" s="9">
        <v>9540</v>
      </c>
      <c r="BV47" s="9">
        <v>5320</v>
      </c>
      <c r="BW47" s="9">
        <v>2790</v>
      </c>
      <c r="BX47" s="9">
        <v>565000</v>
      </c>
      <c r="BY47" s="9">
        <v>950</v>
      </c>
      <c r="BZ47" s="10" t="s">
        <v>537</v>
      </c>
      <c r="CA47" s="9">
        <v>450</v>
      </c>
      <c r="CB47" s="9">
        <v>137</v>
      </c>
      <c r="CC47" s="10">
        <f t="shared" si="6"/>
        <v>1.5205475638074324</v>
      </c>
      <c r="CD47" s="10">
        <f t="shared" si="7"/>
        <v>214.38350787014699</v>
      </c>
      <c r="CE47" s="10">
        <f t="shared" si="23"/>
        <v>951862.77494345268</v>
      </c>
      <c r="CF47" s="10">
        <f t="shared" si="9"/>
        <v>0</v>
      </c>
      <c r="CG47" s="10">
        <f t="shared" si="0"/>
        <v>0</v>
      </c>
      <c r="CH47" s="10">
        <f t="shared" si="1"/>
        <v>3</v>
      </c>
      <c r="CI47" s="9">
        <f t="shared" si="10"/>
        <v>1</v>
      </c>
      <c r="CJ47" s="10">
        <f t="shared" si="2"/>
        <v>4</v>
      </c>
      <c r="CK47" s="10" t="b">
        <f t="shared" si="11"/>
        <v>0</v>
      </c>
      <c r="CL47" s="10" t="b">
        <f t="shared" si="12"/>
        <v>0</v>
      </c>
      <c r="CM47" s="10" t="b">
        <f t="shared" si="13"/>
        <v>0</v>
      </c>
      <c r="CN47" s="9">
        <f t="shared" si="14"/>
        <v>1</v>
      </c>
      <c r="CO47" s="10">
        <f t="shared" si="21"/>
        <v>3</v>
      </c>
      <c r="CP47" s="10" t="b">
        <f t="shared" si="15"/>
        <v>1</v>
      </c>
      <c r="CQ47" s="10" t="b">
        <f t="shared" si="16"/>
        <v>0</v>
      </c>
      <c r="CR47" s="10" cm="1">
        <f t="array" ref="CR47">_xlfn.IFS(AND($CI47=0, CK47=FALSE), NA(), AND($CI47=1, CK47=FALSE), 0, CK47=TRUE, 1)</f>
        <v>0</v>
      </c>
      <c r="CS47" s="10" cm="1">
        <f t="array" ref="CS47">_xlfn.IFS(AND($CI47=0, CL47=FALSE), NA(), AND($CI47=1, CL47=FALSE), 0, CL47=TRUE, 1)</f>
        <v>0</v>
      </c>
      <c r="CT47" s="10" cm="1">
        <f t="array" ref="CT47">_xlfn.IFS(AND($CI47=0, CM47=FALSE), NA(), AND($CI47=1, CM47=FALSE), 0, CM47=TRUE, 1)</f>
        <v>0</v>
      </c>
      <c r="CU47" s="10" cm="1">
        <f t="array" ref="CU47">_xlfn.IFS(AND($CN47=0, CP47=FALSE), NA(), AND($CN47=1, CP47=FALSE), 0, CP47=TRUE, 1)</f>
        <v>1</v>
      </c>
      <c r="CV47" s="10" cm="1">
        <f t="array" ref="CV47">_xlfn.IFS(AND($CN47=0, CQ47=FALSE), NA(), AND($CN47=1, CQ47=FALSE), 0, CQ47=TRUE, 1)</f>
        <v>0</v>
      </c>
    </row>
    <row r="48" spans="1:100" ht="15.75" x14ac:dyDescent="0.25">
      <c r="A48" s="8">
        <v>47</v>
      </c>
      <c r="B48" s="9">
        <v>129</v>
      </c>
      <c r="C48" s="10" t="s">
        <v>16</v>
      </c>
      <c r="D48" s="11" t="s">
        <v>171</v>
      </c>
      <c r="E48" s="12">
        <v>16894</v>
      </c>
      <c r="F48" s="13">
        <v>1</v>
      </c>
      <c r="G48" s="9">
        <v>57.201915740966797</v>
      </c>
      <c r="H48" s="12">
        <v>37787</v>
      </c>
      <c r="I48" s="9">
        <v>1</v>
      </c>
      <c r="J48" s="12">
        <v>37787</v>
      </c>
      <c r="K48" s="9">
        <v>0</v>
      </c>
      <c r="L48" s="9">
        <v>1</v>
      </c>
      <c r="M48" s="10" t="s">
        <v>401</v>
      </c>
      <c r="N48" s="9">
        <v>3</v>
      </c>
      <c r="O48" s="10" t="s">
        <v>426</v>
      </c>
      <c r="P48" s="9">
        <v>2</v>
      </c>
      <c r="Q48" s="10" t="s">
        <v>147</v>
      </c>
      <c r="R48" s="12">
        <v>43397</v>
      </c>
      <c r="S48" s="10" t="s">
        <v>146</v>
      </c>
      <c r="T48" s="9"/>
      <c r="U48" s="10" t="s">
        <v>401</v>
      </c>
      <c r="V48" s="10" t="s">
        <v>401</v>
      </c>
      <c r="W48" s="9"/>
      <c r="X48" s="9"/>
      <c r="Y48" s="9">
        <v>2</v>
      </c>
      <c r="Z48" s="14">
        <v>2</v>
      </c>
      <c r="AA48" s="15">
        <v>8.1999999999999993</v>
      </c>
      <c r="AB48" s="16">
        <v>88</v>
      </c>
      <c r="AC48" s="16">
        <v>15</v>
      </c>
      <c r="AD48" s="9">
        <v>3</v>
      </c>
      <c r="AE48" s="9">
        <v>3</v>
      </c>
      <c r="AF48" s="9">
        <v>2</v>
      </c>
      <c r="AG48" s="9">
        <v>1</v>
      </c>
      <c r="AH48" s="9">
        <v>1</v>
      </c>
      <c r="AI48" s="9">
        <v>0</v>
      </c>
      <c r="AJ48" s="12">
        <v>43524</v>
      </c>
      <c r="AK48" s="9">
        <v>2</v>
      </c>
      <c r="AL48" s="12">
        <v>43524</v>
      </c>
      <c r="AM48" s="9">
        <v>4</v>
      </c>
      <c r="AN48" s="12">
        <v>43538</v>
      </c>
      <c r="AO48" s="12">
        <v>43538</v>
      </c>
      <c r="AP48" s="12">
        <v>43538</v>
      </c>
      <c r="AQ48" s="9">
        <v>1</v>
      </c>
      <c r="AR48" s="9">
        <f t="shared" si="4"/>
        <v>1</v>
      </c>
      <c r="AS48" s="9">
        <v>1</v>
      </c>
      <c r="AT48" s="9">
        <v>2</v>
      </c>
      <c r="AU48" s="9">
        <v>2</v>
      </c>
      <c r="AV48" s="9">
        <f t="shared" si="5"/>
        <v>1</v>
      </c>
      <c r="AW48" s="12">
        <v>43634</v>
      </c>
      <c r="AX48" s="9"/>
      <c r="AY48" s="9">
        <v>13000</v>
      </c>
      <c r="AZ48" s="9"/>
      <c r="BA48" s="9">
        <v>13000</v>
      </c>
      <c r="BB48" s="9">
        <v>2145.261474609375</v>
      </c>
      <c r="BC48" s="9">
        <v>257000</v>
      </c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10" t="s">
        <v>401</v>
      </c>
      <c r="CA48" s="9"/>
      <c r="CB48" s="9"/>
      <c r="CC48" s="10">
        <f t="shared" si="6"/>
        <v>6.0598673652903479</v>
      </c>
      <c r="CD48" s="10">
        <f t="shared" si="7"/>
        <v>119.79891637535535</v>
      </c>
      <c r="CE48" s="10">
        <f t="shared" si="23"/>
        <v>1557385.9128796195</v>
      </c>
      <c r="CF48" s="10">
        <f t="shared" si="9"/>
        <v>0</v>
      </c>
      <c r="CG48" s="10">
        <f t="shared" si="0"/>
        <v>0</v>
      </c>
      <c r="CH48" s="10">
        <f t="shared" si="1"/>
        <v>0</v>
      </c>
      <c r="CI48" s="9">
        <f t="shared" si="10"/>
        <v>1</v>
      </c>
      <c r="CJ48" s="10">
        <f t="shared" si="2"/>
        <v>4</v>
      </c>
      <c r="CK48" s="10" t="b">
        <f t="shared" si="11"/>
        <v>0</v>
      </c>
      <c r="CL48" s="10" t="b">
        <f t="shared" si="12"/>
        <v>0</v>
      </c>
      <c r="CM48" s="10" t="b">
        <f t="shared" si="13"/>
        <v>0</v>
      </c>
      <c r="CN48" s="9">
        <f t="shared" si="14"/>
        <v>1</v>
      </c>
      <c r="CO48" s="10">
        <f t="shared" si="21"/>
        <v>1</v>
      </c>
      <c r="CP48" s="10" t="b">
        <f t="shared" si="15"/>
        <v>0</v>
      </c>
      <c r="CQ48" s="10" t="b">
        <f t="shared" si="16"/>
        <v>0</v>
      </c>
      <c r="CR48" s="10" cm="1">
        <f t="array" ref="CR48">_xlfn.IFS(AND($CI48=0, CK48=FALSE), NA(), AND($CI48=1, CK48=FALSE), 0, CK48=TRUE, 1)</f>
        <v>0</v>
      </c>
      <c r="CS48" s="10" cm="1">
        <f t="array" ref="CS48">_xlfn.IFS(AND($CI48=0, CL48=FALSE), NA(), AND($CI48=1, CL48=FALSE), 0, CL48=TRUE, 1)</f>
        <v>0</v>
      </c>
      <c r="CT48" s="10" cm="1">
        <f t="array" ref="CT48">_xlfn.IFS(AND($CI48=0, CM48=FALSE), NA(), AND($CI48=1, CM48=FALSE), 0, CM48=TRUE, 1)</f>
        <v>0</v>
      </c>
      <c r="CU48" s="10" cm="1">
        <f t="array" ref="CU48">_xlfn.IFS(AND($CN48=0, CP48=FALSE), NA(), AND($CN48=1, CP48=FALSE), 0, CP48=TRUE, 1)</f>
        <v>0</v>
      </c>
      <c r="CV48" s="10" cm="1">
        <f t="array" ref="CV48">_xlfn.IFS(AND($CN48=0, CQ48=FALSE), NA(), AND($CN48=1, CQ48=FALSE), 0, CQ48=TRUE, 1)</f>
        <v>0</v>
      </c>
    </row>
    <row r="49" spans="1:100" ht="15.75" x14ac:dyDescent="0.25">
      <c r="A49" s="8">
        <v>48</v>
      </c>
      <c r="B49" s="9">
        <v>348</v>
      </c>
      <c r="C49" s="10" t="s">
        <v>27</v>
      </c>
      <c r="D49" s="11" t="s">
        <v>284</v>
      </c>
      <c r="E49" s="12">
        <v>15597</v>
      </c>
      <c r="F49" s="13">
        <v>2</v>
      </c>
      <c r="G49" s="9">
        <v>60.796714782714844</v>
      </c>
      <c r="H49" s="12">
        <v>37803</v>
      </c>
      <c r="I49" s="9">
        <v>1</v>
      </c>
      <c r="J49" s="12">
        <v>37803</v>
      </c>
      <c r="K49" s="9">
        <v>0</v>
      </c>
      <c r="L49" s="9">
        <v>1</v>
      </c>
      <c r="M49" s="10" t="s">
        <v>401</v>
      </c>
      <c r="N49" s="9">
        <v>2</v>
      </c>
      <c r="O49" s="10" t="s">
        <v>147</v>
      </c>
      <c r="P49" s="9">
        <v>2</v>
      </c>
      <c r="Q49" s="10" t="s">
        <v>147</v>
      </c>
      <c r="R49" s="12">
        <v>42780</v>
      </c>
      <c r="S49" s="10" t="s">
        <v>146</v>
      </c>
      <c r="T49" s="9"/>
      <c r="U49" s="10" t="s">
        <v>401</v>
      </c>
      <c r="V49" s="10" t="s">
        <v>401</v>
      </c>
      <c r="W49" s="9"/>
      <c r="X49" s="9"/>
      <c r="Y49" s="9">
        <v>2</v>
      </c>
      <c r="Z49" s="14">
        <v>2</v>
      </c>
      <c r="AA49" s="21"/>
      <c r="AB49" s="22"/>
      <c r="AC49" s="22"/>
      <c r="AD49" s="9">
        <v>3</v>
      </c>
      <c r="AE49" s="9">
        <v>2</v>
      </c>
      <c r="AF49" s="9">
        <v>1</v>
      </c>
      <c r="AG49" s="9">
        <v>1</v>
      </c>
      <c r="AH49" s="9">
        <v>1</v>
      </c>
      <c r="AI49" s="9">
        <v>1</v>
      </c>
      <c r="AJ49" s="12">
        <v>43209</v>
      </c>
      <c r="AK49" s="9">
        <v>2</v>
      </c>
      <c r="AL49" s="12">
        <v>43321</v>
      </c>
      <c r="AM49" s="9">
        <v>4</v>
      </c>
      <c r="AN49" s="12">
        <v>43328</v>
      </c>
      <c r="AO49" s="12">
        <v>43328</v>
      </c>
      <c r="AP49" s="12">
        <v>43328</v>
      </c>
      <c r="AQ49" s="9">
        <v>1</v>
      </c>
      <c r="AR49" s="9">
        <f t="shared" si="4"/>
        <v>1</v>
      </c>
      <c r="AS49" s="9">
        <v>1</v>
      </c>
      <c r="AT49" s="9">
        <v>2</v>
      </c>
      <c r="AU49" s="9">
        <v>2</v>
      </c>
      <c r="AV49" s="9">
        <f t="shared" si="5"/>
        <v>1</v>
      </c>
      <c r="AW49" s="12">
        <v>43394</v>
      </c>
      <c r="AX49" s="9">
        <v>7290</v>
      </c>
      <c r="AY49" s="9">
        <v>4600</v>
      </c>
      <c r="AZ49" s="9">
        <v>1700</v>
      </c>
      <c r="BA49" s="9">
        <v>4600</v>
      </c>
      <c r="BB49" s="9">
        <v>1700.0001220703125</v>
      </c>
      <c r="BC49" s="9">
        <v>437000</v>
      </c>
      <c r="BD49" s="9">
        <v>700</v>
      </c>
      <c r="BE49" s="9">
        <v>0</v>
      </c>
      <c r="BF49" s="9">
        <v>238</v>
      </c>
      <c r="BG49" s="9">
        <v>5990</v>
      </c>
      <c r="BH49" s="9">
        <v>4400</v>
      </c>
      <c r="BI49" s="9">
        <v>1100</v>
      </c>
      <c r="BJ49" s="9">
        <v>397000</v>
      </c>
      <c r="BK49" s="9">
        <v>600</v>
      </c>
      <c r="BL49" s="9">
        <v>100</v>
      </c>
      <c r="BM49" s="9">
        <v>208</v>
      </c>
      <c r="BN49" s="9">
        <v>4080</v>
      </c>
      <c r="BO49" s="9">
        <v>4000</v>
      </c>
      <c r="BP49" s="9">
        <v>1000</v>
      </c>
      <c r="BQ49" s="9">
        <v>370000</v>
      </c>
      <c r="BR49" s="9">
        <v>600</v>
      </c>
      <c r="BS49" s="9">
        <v>100</v>
      </c>
      <c r="BT49" s="9">
        <v>295</v>
      </c>
      <c r="BU49" s="9">
        <v>5790</v>
      </c>
      <c r="BV49" s="9">
        <v>4000</v>
      </c>
      <c r="BW49" s="9">
        <v>1000</v>
      </c>
      <c r="BX49" s="9">
        <v>370000</v>
      </c>
      <c r="BY49" s="9">
        <v>1000</v>
      </c>
      <c r="BZ49" s="10" t="s">
        <v>442</v>
      </c>
      <c r="CA49" s="9">
        <v>0</v>
      </c>
      <c r="CB49" s="9">
        <v>295</v>
      </c>
      <c r="CC49" s="10">
        <f t="shared" si="6"/>
        <v>2.7058821586424231</v>
      </c>
      <c r="CD49" s="10">
        <f t="shared" si="7"/>
        <v>257.05880507103018</v>
      </c>
      <c r="CE49" s="10">
        <f t="shared" si="23"/>
        <v>1182470.503326739</v>
      </c>
      <c r="CF49" s="10">
        <f t="shared" si="9"/>
        <v>0</v>
      </c>
      <c r="CG49" s="10">
        <f t="shared" si="0"/>
        <v>0</v>
      </c>
      <c r="CH49" s="10">
        <f t="shared" si="1"/>
        <v>4</v>
      </c>
      <c r="CI49" s="9">
        <f t="shared" si="10"/>
        <v>1</v>
      </c>
      <c r="CJ49" s="10">
        <f t="shared" si="2"/>
        <v>6</v>
      </c>
      <c r="CK49" s="10" t="b">
        <f t="shared" si="11"/>
        <v>1</v>
      </c>
      <c r="CL49" s="10" t="b">
        <f t="shared" si="12"/>
        <v>0</v>
      </c>
      <c r="CM49" s="10" t="b">
        <f t="shared" si="13"/>
        <v>0</v>
      </c>
      <c r="CN49" s="9">
        <f t="shared" si="14"/>
        <v>1</v>
      </c>
      <c r="CO49" s="10">
        <f t="shared" si="21"/>
        <v>4</v>
      </c>
      <c r="CP49" s="10" t="b">
        <f t="shared" si="15"/>
        <v>1</v>
      </c>
      <c r="CQ49" s="10" t="b">
        <f t="shared" si="16"/>
        <v>0</v>
      </c>
      <c r="CR49" s="10" cm="1">
        <f t="array" ref="CR49">_xlfn.IFS(AND($CI49=0, CK49=FALSE), NA(), AND($CI49=1, CK49=FALSE), 0, CK49=TRUE, 1)</f>
        <v>1</v>
      </c>
      <c r="CS49" s="10" cm="1">
        <f t="array" ref="CS49">_xlfn.IFS(AND($CI49=0, CL49=FALSE), NA(), AND($CI49=1, CL49=FALSE), 0, CL49=TRUE, 1)</f>
        <v>0</v>
      </c>
      <c r="CT49" s="10" cm="1">
        <f t="array" ref="CT49">_xlfn.IFS(AND($CI49=0, CM49=FALSE), NA(), AND($CI49=1, CM49=FALSE), 0, CM49=TRUE, 1)</f>
        <v>0</v>
      </c>
      <c r="CU49" s="10" cm="1">
        <f t="array" ref="CU49">_xlfn.IFS(AND($CN49=0, CP49=FALSE), NA(), AND($CN49=1, CP49=FALSE), 0, CP49=TRUE, 1)</f>
        <v>1</v>
      </c>
      <c r="CV49" s="10" cm="1">
        <f t="array" ref="CV49">_xlfn.IFS(AND($CN49=0, CQ49=FALSE), NA(), AND($CN49=1, CQ49=FALSE), 0, CQ49=TRUE, 1)</f>
        <v>0</v>
      </c>
    </row>
    <row r="50" spans="1:100" ht="15.75" x14ac:dyDescent="0.25">
      <c r="A50" s="8">
        <v>49</v>
      </c>
      <c r="B50" s="9">
        <v>162</v>
      </c>
      <c r="C50" s="10" t="s">
        <v>15</v>
      </c>
      <c r="D50" s="11" t="s">
        <v>157</v>
      </c>
      <c r="E50" s="12">
        <v>14030</v>
      </c>
      <c r="F50" s="13">
        <v>2</v>
      </c>
      <c r="G50" s="9">
        <v>65.713897705078125</v>
      </c>
      <c r="H50" s="12">
        <v>38032</v>
      </c>
      <c r="I50" s="9">
        <v>1</v>
      </c>
      <c r="J50" s="12">
        <v>38065</v>
      </c>
      <c r="K50" s="9">
        <v>0</v>
      </c>
      <c r="L50" s="9">
        <v>1</v>
      </c>
      <c r="M50" s="10" t="s">
        <v>401</v>
      </c>
      <c r="N50" s="9"/>
      <c r="O50" s="10" t="s">
        <v>401</v>
      </c>
      <c r="P50" s="9"/>
      <c r="Q50" s="10" t="s">
        <v>401</v>
      </c>
      <c r="R50" s="12">
        <v>38275</v>
      </c>
      <c r="S50" s="10" t="s">
        <v>146</v>
      </c>
      <c r="T50" s="9">
        <v>1</v>
      </c>
      <c r="U50" s="10" t="s">
        <v>401</v>
      </c>
      <c r="V50" s="10" t="s">
        <v>401</v>
      </c>
      <c r="W50" s="9"/>
      <c r="X50" s="9"/>
      <c r="Y50" s="9">
        <v>3</v>
      </c>
      <c r="Z50" s="19"/>
      <c r="AA50" s="17">
        <v>11.1</v>
      </c>
      <c r="AB50" s="9"/>
      <c r="AC50" s="9"/>
      <c r="AD50" s="9">
        <v>2</v>
      </c>
      <c r="AE50" s="9">
        <v>2</v>
      </c>
      <c r="AF50" s="9">
        <v>1</v>
      </c>
      <c r="AG50" s="9">
        <v>1</v>
      </c>
      <c r="AH50" s="9">
        <v>1</v>
      </c>
      <c r="AI50" s="9">
        <v>0</v>
      </c>
      <c r="AJ50" s="12">
        <v>43530</v>
      </c>
      <c r="AK50" s="9">
        <v>2</v>
      </c>
      <c r="AL50" s="12">
        <v>44834</v>
      </c>
      <c r="AM50" s="9">
        <v>3</v>
      </c>
      <c r="AN50" s="12">
        <v>43635</v>
      </c>
      <c r="AO50" s="12"/>
      <c r="AP50" s="12"/>
      <c r="AQ50" s="9">
        <v>2</v>
      </c>
      <c r="AR50" s="9">
        <f t="shared" si="4"/>
        <v>0</v>
      </c>
      <c r="AS50" s="9">
        <v>2</v>
      </c>
      <c r="AT50" s="9"/>
      <c r="AU50" s="9">
        <v>1</v>
      </c>
      <c r="AV50" s="9">
        <f t="shared" si="5"/>
        <v>0</v>
      </c>
      <c r="AW50" s="12">
        <v>45001</v>
      </c>
      <c r="AX50" s="9">
        <v>3490</v>
      </c>
      <c r="AY50" s="9">
        <v>2120</v>
      </c>
      <c r="AZ50" s="9"/>
      <c r="BA50" s="9">
        <v>2120</v>
      </c>
      <c r="BB50" s="9">
        <v>1014.91748046875</v>
      </c>
      <c r="BC50" s="9">
        <v>204000</v>
      </c>
      <c r="BD50" s="9"/>
      <c r="BE50" s="9"/>
      <c r="BF50" s="9"/>
      <c r="BG50" s="9">
        <v>5380</v>
      </c>
      <c r="BH50" s="9">
        <v>3840</v>
      </c>
      <c r="BI50" s="9"/>
      <c r="BJ50" s="9">
        <v>214000</v>
      </c>
      <c r="BK50" s="9"/>
      <c r="BL50" s="9"/>
      <c r="BM50" s="9"/>
      <c r="BN50" s="9">
        <v>6150</v>
      </c>
      <c r="BO50" s="9">
        <v>4210</v>
      </c>
      <c r="BP50" s="9"/>
      <c r="BQ50" s="9">
        <v>276000</v>
      </c>
      <c r="BR50" s="9"/>
      <c r="BS50" s="9"/>
      <c r="BT50" s="9"/>
      <c r="BU50" s="9">
        <v>5540</v>
      </c>
      <c r="BV50" s="9">
        <v>4050</v>
      </c>
      <c r="BW50" s="9"/>
      <c r="BX50" s="9">
        <v>208000</v>
      </c>
      <c r="BY50" s="9"/>
      <c r="BZ50" s="10" t="s">
        <v>401</v>
      </c>
      <c r="CA50" s="9"/>
      <c r="CB50" s="9"/>
      <c r="CC50" s="10">
        <f t="shared" si="6"/>
        <v>2.0888397734768116</v>
      </c>
      <c r="CD50" s="10">
        <f t="shared" si="7"/>
        <v>201.001563108146</v>
      </c>
      <c r="CE50" s="10">
        <f t="shared" si="23"/>
        <v>426123.31378926954</v>
      </c>
      <c r="CF50" s="10">
        <f t="shared" si="9"/>
        <v>1</v>
      </c>
      <c r="CG50" s="10">
        <f t="shared" si="0"/>
        <v>0</v>
      </c>
      <c r="CH50" s="10">
        <f t="shared" si="1"/>
        <v>42</v>
      </c>
      <c r="CI50" s="9">
        <f t="shared" si="10"/>
        <v>0</v>
      </c>
      <c r="CJ50" s="10">
        <f t="shared" si="2"/>
        <v>48</v>
      </c>
      <c r="CK50" s="10" t="b">
        <f t="shared" si="11"/>
        <v>1</v>
      </c>
      <c r="CL50" s="10" t="b">
        <f t="shared" si="12"/>
        <v>1</v>
      </c>
      <c r="CM50" s="10" t="b">
        <f t="shared" si="13"/>
        <v>1</v>
      </c>
      <c r="CN50" s="9">
        <f t="shared" si="14"/>
        <v>0</v>
      </c>
      <c r="CO50" s="10">
        <f>CJ50</f>
        <v>48</v>
      </c>
      <c r="CP50" s="10" t="b">
        <f t="shared" si="15"/>
        <v>1</v>
      </c>
      <c r="CQ50" s="10" t="b">
        <f t="shared" si="16"/>
        <v>1</v>
      </c>
      <c r="CR50" s="10" cm="1">
        <f t="array" ref="CR50">_xlfn.IFS(AND($CI50=0, CK50=FALSE), NA(), AND($CI50=1, CK50=FALSE), 0, CK50=TRUE, 1)</f>
        <v>1</v>
      </c>
      <c r="CS50" s="10" cm="1">
        <f t="array" ref="CS50">_xlfn.IFS(AND($CI50=0, CL50=FALSE), NA(), AND($CI50=1, CL50=FALSE), 0, CL50=TRUE, 1)</f>
        <v>1</v>
      </c>
      <c r="CT50" s="10" cm="1">
        <f t="array" ref="CT50">_xlfn.IFS(AND($CI50=0, CM50=FALSE), NA(), AND($CI50=1, CM50=FALSE), 0, CM50=TRUE, 1)</f>
        <v>1</v>
      </c>
      <c r="CU50" s="10" cm="1">
        <f t="array" ref="CU50">_xlfn.IFS(AND($CN50=0, CP50=FALSE), NA(), AND($CN50=1, CP50=FALSE), 0, CP50=TRUE, 1)</f>
        <v>1</v>
      </c>
      <c r="CV50" s="10" cm="1">
        <f t="array" ref="CV50">_xlfn.IFS(AND($CN50=0, CQ50=FALSE), NA(), AND($CN50=1, CQ50=FALSE), 0, CQ50=TRUE, 1)</f>
        <v>1</v>
      </c>
    </row>
    <row r="51" spans="1:100" ht="15.75" x14ac:dyDescent="0.25">
      <c r="A51" s="8">
        <v>50</v>
      </c>
      <c r="B51" s="9">
        <v>419</v>
      </c>
      <c r="C51" s="10" t="s">
        <v>29</v>
      </c>
      <c r="D51" s="11" t="s">
        <v>331</v>
      </c>
      <c r="E51" s="12">
        <v>21369</v>
      </c>
      <c r="F51" s="13">
        <v>1</v>
      </c>
      <c r="G51" s="9">
        <v>45.686515808105469</v>
      </c>
      <c r="H51" s="12">
        <v>38056</v>
      </c>
      <c r="I51" s="9">
        <v>1</v>
      </c>
      <c r="J51" s="12">
        <v>38056</v>
      </c>
      <c r="K51" s="9">
        <v>0</v>
      </c>
      <c r="L51" s="9">
        <v>1</v>
      </c>
      <c r="M51" s="10" t="s">
        <v>401</v>
      </c>
      <c r="N51" s="9">
        <v>1</v>
      </c>
      <c r="O51" s="10" t="s">
        <v>401</v>
      </c>
      <c r="P51" s="9">
        <v>1</v>
      </c>
      <c r="Q51" s="10" t="s">
        <v>401</v>
      </c>
      <c r="R51" s="12">
        <v>42430</v>
      </c>
      <c r="S51" s="10" t="s">
        <v>145</v>
      </c>
      <c r="T51" s="9">
        <v>5</v>
      </c>
      <c r="U51" s="10" t="s">
        <v>150</v>
      </c>
      <c r="V51" s="10" t="s">
        <v>148</v>
      </c>
      <c r="W51" s="9"/>
      <c r="X51" s="9"/>
      <c r="Y51" s="9">
        <v>5</v>
      </c>
      <c r="Z51" s="14">
        <v>1</v>
      </c>
      <c r="AA51" s="17">
        <v>9.1</v>
      </c>
      <c r="AB51" s="18">
        <v>100</v>
      </c>
      <c r="AC51" s="18">
        <v>15</v>
      </c>
      <c r="AD51" s="9">
        <v>2</v>
      </c>
      <c r="AE51" s="9">
        <v>2</v>
      </c>
      <c r="AF51" s="9">
        <v>1</v>
      </c>
      <c r="AG51" s="9">
        <v>1</v>
      </c>
      <c r="AH51" s="9">
        <v>1</v>
      </c>
      <c r="AI51" s="9">
        <v>0</v>
      </c>
      <c r="AJ51" s="12">
        <v>43346</v>
      </c>
      <c r="AK51" s="9">
        <v>2</v>
      </c>
      <c r="AL51" s="12">
        <v>43445</v>
      </c>
      <c r="AM51" s="9">
        <v>4</v>
      </c>
      <c r="AN51" s="12">
        <v>43439</v>
      </c>
      <c r="AO51" s="12">
        <v>43439</v>
      </c>
      <c r="AP51" s="12">
        <v>43439</v>
      </c>
      <c r="AQ51" s="9">
        <v>1</v>
      </c>
      <c r="AR51" s="9">
        <f t="shared" si="4"/>
        <v>1</v>
      </c>
      <c r="AS51" s="9">
        <v>1</v>
      </c>
      <c r="AT51" s="9">
        <v>2</v>
      </c>
      <c r="AU51" s="9">
        <v>2</v>
      </c>
      <c r="AV51" s="9">
        <f t="shared" si="5"/>
        <v>1</v>
      </c>
      <c r="AW51" s="12">
        <v>43730</v>
      </c>
      <c r="AX51" s="9">
        <v>3020</v>
      </c>
      <c r="AY51" s="9">
        <v>1900</v>
      </c>
      <c r="AZ51" s="9">
        <v>740</v>
      </c>
      <c r="BA51" s="9">
        <v>1900</v>
      </c>
      <c r="BB51" s="9">
        <v>740.0001220703125</v>
      </c>
      <c r="BC51" s="9">
        <v>73000</v>
      </c>
      <c r="BD51" s="9">
        <v>340</v>
      </c>
      <c r="BE51" s="9">
        <v>30</v>
      </c>
      <c r="BF51" s="9"/>
      <c r="BG51" s="9">
        <v>3020</v>
      </c>
      <c r="BH51" s="9">
        <v>1900</v>
      </c>
      <c r="BI51" s="9">
        <v>730</v>
      </c>
      <c r="BJ51" s="9">
        <v>80000</v>
      </c>
      <c r="BK51" s="9">
        <v>340</v>
      </c>
      <c r="BL51" s="9">
        <v>30</v>
      </c>
      <c r="BM51" s="9"/>
      <c r="BN51" s="9">
        <v>2440</v>
      </c>
      <c r="BO51" s="9">
        <v>1720</v>
      </c>
      <c r="BP51" s="9">
        <v>450</v>
      </c>
      <c r="BQ51" s="9">
        <v>66000</v>
      </c>
      <c r="BR51" s="9">
        <v>240</v>
      </c>
      <c r="BS51" s="9">
        <v>20</v>
      </c>
      <c r="BT51" s="9"/>
      <c r="BU51" s="9">
        <v>2180</v>
      </c>
      <c r="BV51" s="9">
        <v>1410</v>
      </c>
      <c r="BW51" s="9">
        <v>450</v>
      </c>
      <c r="BX51" s="9">
        <v>60000</v>
      </c>
      <c r="BY51" s="9">
        <v>280</v>
      </c>
      <c r="BZ51" s="10" t="s">
        <v>307</v>
      </c>
      <c r="CA51" s="9">
        <v>20</v>
      </c>
      <c r="CB51" s="9"/>
      <c r="CC51" s="10">
        <f t="shared" si="6"/>
        <v>2.5675671440219952</v>
      </c>
      <c r="CD51" s="10">
        <f t="shared" si="7"/>
        <v>98.648632375581911</v>
      </c>
      <c r="CE51" s="10">
        <f t="shared" si="23"/>
        <v>187432.40151360564</v>
      </c>
      <c r="CF51" s="10">
        <f t="shared" si="9"/>
        <v>0</v>
      </c>
      <c r="CG51" s="10">
        <f t="shared" si="0"/>
        <v>0</v>
      </c>
      <c r="CH51" s="10">
        <f t="shared" si="1"/>
        <v>3</v>
      </c>
      <c r="CI51" s="9">
        <f t="shared" si="10"/>
        <v>1</v>
      </c>
      <c r="CJ51" s="10">
        <f t="shared" si="2"/>
        <v>12</v>
      </c>
      <c r="CK51" s="10" t="b">
        <f t="shared" si="11"/>
        <v>1</v>
      </c>
      <c r="CL51" s="10" t="b">
        <f t="shared" si="12"/>
        <v>0</v>
      </c>
      <c r="CM51" s="10" t="b">
        <f t="shared" si="13"/>
        <v>0</v>
      </c>
      <c r="CN51" s="9">
        <f t="shared" si="14"/>
        <v>1</v>
      </c>
      <c r="CO51" s="10">
        <f>(YEAR(AO51)-YEAR(AJ51))*12+MONTH(AO51)-MONTH(AJ51)</f>
        <v>3</v>
      </c>
      <c r="CP51" s="10" t="b">
        <f t="shared" si="15"/>
        <v>1</v>
      </c>
      <c r="CQ51" s="10" t="b">
        <f t="shared" si="16"/>
        <v>0</v>
      </c>
      <c r="CR51" s="10" cm="1">
        <f t="array" ref="CR51">_xlfn.IFS(AND($CI51=0, CK51=FALSE), NA(), AND($CI51=1, CK51=FALSE), 0, CK51=TRUE, 1)</f>
        <v>1</v>
      </c>
      <c r="CS51" s="10" cm="1">
        <f t="array" ref="CS51">_xlfn.IFS(AND($CI51=0, CL51=FALSE), NA(), AND($CI51=1, CL51=FALSE), 0, CL51=TRUE, 1)</f>
        <v>0</v>
      </c>
      <c r="CT51" s="10" cm="1">
        <f t="array" ref="CT51">_xlfn.IFS(AND($CI51=0, CM51=FALSE), NA(), AND($CI51=1, CM51=FALSE), 0, CM51=TRUE, 1)</f>
        <v>0</v>
      </c>
      <c r="CU51" s="10" cm="1">
        <f t="array" ref="CU51">_xlfn.IFS(AND($CN51=0, CP51=FALSE), NA(), AND($CN51=1, CP51=FALSE), 0, CP51=TRUE, 1)</f>
        <v>1</v>
      </c>
      <c r="CV51" s="10" cm="1">
        <f t="array" ref="CV51">_xlfn.IFS(AND($CN51=0, CQ51=FALSE), NA(), AND($CN51=1, CQ51=FALSE), 0, CQ51=TRUE, 1)</f>
        <v>0</v>
      </c>
    </row>
    <row r="52" spans="1:100" x14ac:dyDescent="0.25">
      <c r="A52" s="8">
        <v>51</v>
      </c>
      <c r="B52" s="9">
        <v>84</v>
      </c>
      <c r="C52" s="10" t="s">
        <v>10</v>
      </c>
      <c r="D52" s="11" t="s">
        <v>112</v>
      </c>
      <c r="E52" s="12">
        <v>15055</v>
      </c>
      <c r="F52" s="13">
        <v>1</v>
      </c>
      <c r="G52" s="9">
        <v>62.989734649658203</v>
      </c>
      <c r="H52" s="12">
        <v>38062</v>
      </c>
      <c r="I52" s="9">
        <v>1</v>
      </c>
      <c r="J52" s="12">
        <v>38062</v>
      </c>
      <c r="K52" s="9">
        <v>0</v>
      </c>
      <c r="L52" s="9">
        <v>1</v>
      </c>
      <c r="M52" s="10" t="s">
        <v>401</v>
      </c>
      <c r="N52" s="9">
        <v>1</v>
      </c>
      <c r="O52" s="10" t="s">
        <v>401</v>
      </c>
      <c r="P52" s="9">
        <v>1</v>
      </c>
      <c r="Q52" s="10" t="s">
        <v>401</v>
      </c>
      <c r="R52" s="12">
        <v>42284</v>
      </c>
      <c r="S52" s="10" t="s">
        <v>145</v>
      </c>
      <c r="T52" s="9"/>
      <c r="U52" s="10" t="s">
        <v>401</v>
      </c>
      <c r="V52" s="10" t="s">
        <v>401</v>
      </c>
      <c r="W52" s="9"/>
      <c r="X52" s="9"/>
      <c r="Y52" s="9">
        <v>2</v>
      </c>
      <c r="Z52" s="19">
        <v>1</v>
      </c>
      <c r="AB52" s="9"/>
      <c r="AC52" s="9"/>
      <c r="AD52" s="9">
        <v>1</v>
      </c>
      <c r="AE52" s="9">
        <v>1</v>
      </c>
      <c r="AF52" s="9">
        <v>1</v>
      </c>
      <c r="AG52" s="9">
        <v>0</v>
      </c>
      <c r="AH52" s="9">
        <v>1</v>
      </c>
      <c r="AI52" s="9">
        <v>0</v>
      </c>
      <c r="AJ52" s="12">
        <v>43242</v>
      </c>
      <c r="AK52" s="9">
        <v>2</v>
      </c>
      <c r="AL52" s="12">
        <v>43298</v>
      </c>
      <c r="AM52" s="9">
        <v>4</v>
      </c>
      <c r="AN52" s="12">
        <v>43298</v>
      </c>
      <c r="AO52" s="12">
        <v>43298</v>
      </c>
      <c r="AP52" s="12">
        <v>43298</v>
      </c>
      <c r="AQ52" s="9">
        <v>1</v>
      </c>
      <c r="AR52" s="9">
        <f t="shared" si="4"/>
        <v>1</v>
      </c>
      <c r="AS52" s="9">
        <v>1</v>
      </c>
      <c r="AT52" s="9">
        <v>2</v>
      </c>
      <c r="AU52" s="9">
        <v>2</v>
      </c>
      <c r="AV52" s="9">
        <f t="shared" si="5"/>
        <v>1</v>
      </c>
      <c r="AW52" s="12">
        <v>43334</v>
      </c>
      <c r="AX52" s="9"/>
      <c r="AY52" s="9">
        <v>3500</v>
      </c>
      <c r="AZ52" s="9">
        <v>1150</v>
      </c>
      <c r="BA52" s="9">
        <v>3500</v>
      </c>
      <c r="BB52" s="9">
        <v>1150.0001220703125</v>
      </c>
      <c r="BC52" s="9">
        <v>350000</v>
      </c>
      <c r="BD52" s="9">
        <v>460</v>
      </c>
      <c r="BE52" s="9">
        <v>420</v>
      </c>
      <c r="BF52" s="9">
        <v>260</v>
      </c>
      <c r="BG52" s="9"/>
      <c r="BH52" s="9">
        <v>3400</v>
      </c>
      <c r="BI52" s="9">
        <v>1200</v>
      </c>
      <c r="BJ52" s="9">
        <v>370000</v>
      </c>
      <c r="BK52" s="9">
        <v>480</v>
      </c>
      <c r="BL52" s="9">
        <v>435</v>
      </c>
      <c r="BM52" s="9">
        <v>250</v>
      </c>
      <c r="BN52" s="9"/>
      <c r="BO52" s="9">
        <v>3600</v>
      </c>
      <c r="BP52" s="9">
        <v>1170</v>
      </c>
      <c r="BQ52" s="9">
        <v>378000</v>
      </c>
      <c r="BR52" s="9">
        <v>460</v>
      </c>
      <c r="BS52" s="9">
        <v>440</v>
      </c>
      <c r="BT52" s="9">
        <v>270</v>
      </c>
      <c r="BU52" s="9"/>
      <c r="BV52" s="9"/>
      <c r="BW52" s="9"/>
      <c r="BX52" s="9"/>
      <c r="BY52" s="9"/>
      <c r="BZ52" s="10" t="s">
        <v>401</v>
      </c>
      <c r="CA52" s="9"/>
      <c r="CB52" s="9"/>
      <c r="CC52" s="10">
        <f t="shared" si="6"/>
        <v>3.0434779378101715</v>
      </c>
      <c r="CD52" s="10">
        <f t="shared" si="7"/>
        <v>304.34779378101712</v>
      </c>
      <c r="CE52" s="10">
        <f t="shared" si="23"/>
        <v>1065217.27823356</v>
      </c>
      <c r="CF52" s="10">
        <f t="shared" si="9"/>
        <v>0</v>
      </c>
      <c r="CG52" s="10">
        <f t="shared" si="0"/>
        <v>0</v>
      </c>
      <c r="CH52" s="10">
        <f t="shared" si="1"/>
        <v>2</v>
      </c>
      <c r="CI52" s="9">
        <f t="shared" si="10"/>
        <v>1</v>
      </c>
      <c r="CJ52" s="10">
        <f t="shared" si="2"/>
        <v>3</v>
      </c>
      <c r="CK52" s="10" t="b">
        <f t="shared" si="11"/>
        <v>0</v>
      </c>
      <c r="CL52" s="10" t="b">
        <f t="shared" si="12"/>
        <v>0</v>
      </c>
      <c r="CM52" s="10" t="b">
        <f t="shared" si="13"/>
        <v>0</v>
      </c>
      <c r="CN52" s="9">
        <f t="shared" si="14"/>
        <v>1</v>
      </c>
      <c r="CO52" s="10">
        <f>(YEAR(AO52)-YEAR(AJ52))*12+MONTH(AO52)-MONTH(AJ52)</f>
        <v>2</v>
      </c>
      <c r="CP52" s="10" t="b">
        <f t="shared" si="15"/>
        <v>0</v>
      </c>
      <c r="CQ52" s="10" t="b">
        <f t="shared" si="16"/>
        <v>0</v>
      </c>
      <c r="CR52" s="10" cm="1">
        <f t="array" ref="CR52">_xlfn.IFS(AND($CI52=0, CK52=FALSE), NA(), AND($CI52=1, CK52=FALSE), 0, CK52=TRUE, 1)</f>
        <v>0</v>
      </c>
      <c r="CS52" s="10" cm="1">
        <f t="array" ref="CS52">_xlfn.IFS(AND($CI52=0, CL52=FALSE), NA(), AND($CI52=1, CL52=FALSE), 0, CL52=TRUE, 1)</f>
        <v>0</v>
      </c>
      <c r="CT52" s="10" cm="1">
        <f t="array" ref="CT52">_xlfn.IFS(AND($CI52=0, CM52=FALSE), NA(), AND($CI52=1, CM52=FALSE), 0, CM52=TRUE, 1)</f>
        <v>0</v>
      </c>
      <c r="CU52" s="10" cm="1">
        <f t="array" ref="CU52">_xlfn.IFS(AND($CN52=0, CP52=FALSE), NA(), AND($CN52=1, CP52=FALSE), 0, CP52=TRUE, 1)</f>
        <v>0</v>
      </c>
      <c r="CV52" s="10" cm="1">
        <f t="array" ref="CV52">_xlfn.IFS(AND($CN52=0, CQ52=FALSE), NA(), AND($CN52=1, CQ52=FALSE), 0, CQ52=TRUE, 1)</f>
        <v>0</v>
      </c>
    </row>
    <row r="53" spans="1:100" ht="15.75" x14ac:dyDescent="0.25">
      <c r="A53" s="8">
        <v>52</v>
      </c>
      <c r="B53" s="9">
        <v>291</v>
      </c>
      <c r="C53" s="10" t="s">
        <v>22</v>
      </c>
      <c r="D53" s="11" t="s">
        <v>254</v>
      </c>
      <c r="E53" s="12">
        <v>13802</v>
      </c>
      <c r="F53" s="13">
        <v>1</v>
      </c>
      <c r="G53" s="9">
        <v>66.475013732910156</v>
      </c>
      <c r="H53" s="12">
        <v>38082</v>
      </c>
      <c r="I53" s="9">
        <v>1</v>
      </c>
      <c r="J53" s="12">
        <v>38082</v>
      </c>
      <c r="K53" s="9">
        <v>0</v>
      </c>
      <c r="L53" s="9">
        <v>1</v>
      </c>
      <c r="M53" s="10" t="s">
        <v>401</v>
      </c>
      <c r="N53" s="9">
        <v>1</v>
      </c>
      <c r="O53" s="10" t="s">
        <v>401</v>
      </c>
      <c r="P53" s="9">
        <v>1</v>
      </c>
      <c r="Q53" s="10" t="s">
        <v>401</v>
      </c>
      <c r="R53" s="12">
        <v>43180</v>
      </c>
      <c r="S53" s="10" t="s">
        <v>145</v>
      </c>
      <c r="T53" s="9"/>
      <c r="U53" s="10" t="s">
        <v>401</v>
      </c>
      <c r="V53" s="10" t="s">
        <v>401</v>
      </c>
      <c r="W53" s="9"/>
      <c r="X53" s="9"/>
      <c r="Y53" s="9">
        <v>2</v>
      </c>
      <c r="Z53" s="14">
        <v>1</v>
      </c>
      <c r="AB53" s="9"/>
      <c r="AC53" s="9"/>
      <c r="AD53" s="9">
        <v>1</v>
      </c>
      <c r="AE53" s="9">
        <v>1</v>
      </c>
      <c r="AF53" s="9">
        <v>1</v>
      </c>
      <c r="AG53" s="9">
        <v>1</v>
      </c>
      <c r="AH53" s="9">
        <v>0</v>
      </c>
      <c r="AI53" s="9">
        <v>0</v>
      </c>
      <c r="AJ53" s="12">
        <v>43308</v>
      </c>
      <c r="AK53" s="9">
        <v>2</v>
      </c>
      <c r="AL53" s="12">
        <v>43455</v>
      </c>
      <c r="AM53" s="9">
        <v>3</v>
      </c>
      <c r="AN53" s="12">
        <v>43412</v>
      </c>
      <c r="AO53" s="12">
        <v>43495</v>
      </c>
      <c r="AP53" s="12">
        <v>43495</v>
      </c>
      <c r="AQ53" s="9">
        <v>1</v>
      </c>
      <c r="AR53" s="9">
        <f t="shared" si="4"/>
        <v>1</v>
      </c>
      <c r="AS53" s="9">
        <v>1</v>
      </c>
      <c r="AT53" s="9">
        <v>2</v>
      </c>
      <c r="AU53" s="9">
        <v>2</v>
      </c>
      <c r="AV53" s="9">
        <f t="shared" si="5"/>
        <v>1</v>
      </c>
      <c r="AW53" s="12">
        <v>43847</v>
      </c>
      <c r="AX53" s="9">
        <v>6980</v>
      </c>
      <c r="AY53" s="9">
        <v>3950</v>
      </c>
      <c r="AZ53" s="9">
        <v>1740</v>
      </c>
      <c r="BA53" s="9">
        <v>3950</v>
      </c>
      <c r="BB53" s="9">
        <v>1740</v>
      </c>
      <c r="BC53" s="9">
        <v>213000</v>
      </c>
      <c r="BD53" s="9">
        <v>470</v>
      </c>
      <c r="BE53" s="9">
        <v>350</v>
      </c>
      <c r="BF53" s="9"/>
      <c r="BG53" s="9">
        <v>5300</v>
      </c>
      <c r="BH53" s="9">
        <v>3200</v>
      </c>
      <c r="BI53" s="9">
        <v>880</v>
      </c>
      <c r="BJ53" s="9">
        <v>204000</v>
      </c>
      <c r="BK53" s="9">
        <v>350</v>
      </c>
      <c r="BL53" s="9">
        <v>310</v>
      </c>
      <c r="BM53" s="9"/>
      <c r="BN53" s="9">
        <v>5760</v>
      </c>
      <c r="BO53" s="9">
        <v>3480</v>
      </c>
      <c r="BP53" s="9">
        <v>940</v>
      </c>
      <c r="BQ53" s="9">
        <v>211000</v>
      </c>
      <c r="BR53" s="9">
        <v>460</v>
      </c>
      <c r="BS53" s="9">
        <v>220</v>
      </c>
      <c r="BT53" s="9"/>
      <c r="BU53" s="9">
        <v>5600</v>
      </c>
      <c r="BV53" s="9">
        <v>3270</v>
      </c>
      <c r="BW53" s="9">
        <v>1070</v>
      </c>
      <c r="BX53" s="9">
        <v>203000</v>
      </c>
      <c r="BY53" s="9">
        <v>480</v>
      </c>
      <c r="BZ53" s="10" t="s">
        <v>538</v>
      </c>
      <c r="CA53" s="9">
        <v>250</v>
      </c>
      <c r="CB53" s="9"/>
      <c r="CC53" s="10">
        <f t="shared" si="6"/>
        <v>2.2701149425287355</v>
      </c>
      <c r="CD53" s="10">
        <f t="shared" si="7"/>
        <v>122.41379310344827</v>
      </c>
      <c r="CE53" s="10">
        <f t="shared" si="23"/>
        <v>483534.48275862064</v>
      </c>
      <c r="CF53" s="10">
        <f t="shared" si="9"/>
        <v>1</v>
      </c>
      <c r="CG53" s="10">
        <f t="shared" si="0"/>
        <v>0</v>
      </c>
      <c r="CH53" s="10">
        <f t="shared" si="1"/>
        <v>5</v>
      </c>
      <c r="CI53" s="9">
        <f t="shared" si="10"/>
        <v>1</v>
      </c>
      <c r="CJ53" s="10">
        <f t="shared" si="2"/>
        <v>18</v>
      </c>
      <c r="CK53" s="10" t="b">
        <f t="shared" si="11"/>
        <v>1</v>
      </c>
      <c r="CL53" s="10" t="b">
        <f t="shared" si="12"/>
        <v>1</v>
      </c>
      <c r="CM53" s="10" t="b">
        <f t="shared" si="13"/>
        <v>0</v>
      </c>
      <c r="CN53" s="9">
        <f t="shared" si="14"/>
        <v>1</v>
      </c>
      <c r="CO53" s="10">
        <f>(YEAR(AO53)-YEAR(AJ53))*12+MONTH(AO53)-MONTH(AJ53)</f>
        <v>6</v>
      </c>
      <c r="CP53" s="10" t="b">
        <f t="shared" si="15"/>
        <v>1</v>
      </c>
      <c r="CQ53" s="10" t="b">
        <f t="shared" si="16"/>
        <v>0</v>
      </c>
      <c r="CR53" s="10" cm="1">
        <f t="array" ref="CR53">_xlfn.IFS(AND($CI53=0, CK53=FALSE), NA(), AND($CI53=1, CK53=FALSE), 0, CK53=TRUE, 1)</f>
        <v>1</v>
      </c>
      <c r="CS53" s="10" cm="1">
        <f t="array" ref="CS53">_xlfn.IFS(AND($CI53=0, CL53=FALSE), NA(), AND($CI53=1, CL53=FALSE), 0, CL53=TRUE, 1)</f>
        <v>1</v>
      </c>
      <c r="CT53" s="10" cm="1">
        <f t="array" ref="CT53">_xlfn.IFS(AND($CI53=0, CM53=FALSE), NA(), AND($CI53=1, CM53=FALSE), 0, CM53=TRUE, 1)</f>
        <v>0</v>
      </c>
      <c r="CU53" s="10" cm="1">
        <f t="array" ref="CU53">_xlfn.IFS(AND($CN53=0, CP53=FALSE), NA(), AND($CN53=1, CP53=FALSE), 0, CP53=TRUE, 1)</f>
        <v>1</v>
      </c>
      <c r="CV53" s="10" cm="1">
        <f t="array" ref="CV53">_xlfn.IFS(AND($CN53=0, CQ53=FALSE), NA(), AND($CN53=1, CQ53=FALSE), 0, CQ53=TRUE, 1)</f>
        <v>0</v>
      </c>
    </row>
    <row r="54" spans="1:100" ht="15.75" x14ac:dyDescent="0.25">
      <c r="A54" s="8">
        <v>53</v>
      </c>
      <c r="B54" s="9">
        <v>260</v>
      </c>
      <c r="C54" s="10" t="s">
        <v>21</v>
      </c>
      <c r="D54" s="11" t="s">
        <v>192</v>
      </c>
      <c r="E54" s="12">
        <v>16409</v>
      </c>
      <c r="F54" s="13">
        <v>2</v>
      </c>
      <c r="G54" s="9">
        <v>59.460643768310547</v>
      </c>
      <c r="H54" s="12">
        <v>38127</v>
      </c>
      <c r="I54" s="9">
        <v>1</v>
      </c>
      <c r="J54" s="12">
        <v>38161</v>
      </c>
      <c r="K54" s="9">
        <v>0</v>
      </c>
      <c r="L54" s="9">
        <v>1</v>
      </c>
      <c r="M54" s="10" t="s">
        <v>401</v>
      </c>
      <c r="N54" s="9"/>
      <c r="O54" s="10" t="s">
        <v>401</v>
      </c>
      <c r="P54" s="9"/>
      <c r="Q54" s="10" t="s">
        <v>401</v>
      </c>
      <c r="R54" s="12">
        <v>41988</v>
      </c>
      <c r="S54" s="10" t="s">
        <v>145</v>
      </c>
      <c r="T54" s="9"/>
      <c r="U54" s="10" t="s">
        <v>401</v>
      </c>
      <c r="V54" s="10" t="s">
        <v>401</v>
      </c>
      <c r="W54" s="9"/>
      <c r="X54" s="9"/>
      <c r="Y54" s="9">
        <v>2</v>
      </c>
      <c r="Z54" s="14">
        <v>1</v>
      </c>
      <c r="AA54" s="15">
        <v>9.1999999999999993</v>
      </c>
      <c r="AB54" s="16">
        <v>81</v>
      </c>
      <c r="AC54" s="16">
        <v>18</v>
      </c>
      <c r="AD54" s="9">
        <v>2</v>
      </c>
      <c r="AE54" s="9">
        <v>2</v>
      </c>
      <c r="AF54" s="9">
        <v>1</v>
      </c>
      <c r="AG54" s="9">
        <v>1</v>
      </c>
      <c r="AH54" s="9">
        <v>1</v>
      </c>
      <c r="AI54" s="9">
        <v>0</v>
      </c>
      <c r="AJ54" s="12">
        <v>42963</v>
      </c>
      <c r="AK54" s="9">
        <v>2</v>
      </c>
      <c r="AL54" s="12">
        <v>43039</v>
      </c>
      <c r="AM54" s="9">
        <v>4</v>
      </c>
      <c r="AN54" s="12">
        <v>43053</v>
      </c>
      <c r="AO54" s="12">
        <v>43053</v>
      </c>
      <c r="AP54" s="12">
        <v>43053</v>
      </c>
      <c r="AQ54" s="9">
        <v>1</v>
      </c>
      <c r="AR54" s="9">
        <f t="shared" si="4"/>
        <v>1</v>
      </c>
      <c r="AS54" s="9">
        <v>1</v>
      </c>
      <c r="AT54" s="9">
        <v>2</v>
      </c>
      <c r="AU54" s="9">
        <v>1</v>
      </c>
      <c r="AV54" s="9">
        <f t="shared" si="5"/>
        <v>0</v>
      </c>
      <c r="AW54" s="12">
        <v>43059</v>
      </c>
      <c r="AX54" s="9">
        <v>7000</v>
      </c>
      <c r="AY54" s="9">
        <v>5100</v>
      </c>
      <c r="AZ54" s="9">
        <v>810</v>
      </c>
      <c r="BA54" s="9">
        <v>5100</v>
      </c>
      <c r="BB54" s="9">
        <v>810.00006103515625</v>
      </c>
      <c r="BC54" s="9">
        <v>393000</v>
      </c>
      <c r="BD54" s="9">
        <v>1000</v>
      </c>
      <c r="BE54" s="9">
        <v>50</v>
      </c>
      <c r="BF54" s="9">
        <v>211</v>
      </c>
      <c r="BG54" s="9">
        <v>7170</v>
      </c>
      <c r="BH54" s="9">
        <v>5040</v>
      </c>
      <c r="BI54" s="9">
        <v>990</v>
      </c>
      <c r="BJ54" s="9">
        <v>469000</v>
      </c>
      <c r="BK54" s="9">
        <v>1020</v>
      </c>
      <c r="BL54" s="9">
        <v>80</v>
      </c>
      <c r="BM54" s="9"/>
      <c r="BN54" s="9">
        <v>6780</v>
      </c>
      <c r="BO54" s="9">
        <v>4840</v>
      </c>
      <c r="BP54" s="9">
        <v>780</v>
      </c>
      <c r="BQ54" s="9">
        <v>511000</v>
      </c>
      <c r="BR54" s="9">
        <v>1010</v>
      </c>
      <c r="BS54" s="9">
        <v>110</v>
      </c>
      <c r="BT54" s="9"/>
      <c r="BU54" s="9">
        <v>7350</v>
      </c>
      <c r="BV54" s="9">
        <v>5140</v>
      </c>
      <c r="BW54" s="9">
        <v>990</v>
      </c>
      <c r="BX54" s="9">
        <v>440000</v>
      </c>
      <c r="BY54" s="9">
        <v>1060</v>
      </c>
      <c r="BZ54" s="10" t="s">
        <v>532</v>
      </c>
      <c r="CA54" s="9">
        <v>90</v>
      </c>
      <c r="CB54" s="9"/>
      <c r="CC54" s="10">
        <f t="shared" si="6"/>
        <v>6.296295821857532</v>
      </c>
      <c r="CD54" s="10">
        <f t="shared" si="7"/>
        <v>485.18514862549216</v>
      </c>
      <c r="CE54" s="10">
        <f t="shared" si="23"/>
        <v>2474444.2579900101</v>
      </c>
      <c r="CF54" s="10">
        <f t="shared" si="9"/>
        <v>0</v>
      </c>
      <c r="CG54" s="10">
        <f t="shared" si="0"/>
        <v>0</v>
      </c>
      <c r="CH54" s="10">
        <f t="shared" si="1"/>
        <v>2</v>
      </c>
      <c r="CI54" s="9">
        <f t="shared" si="10"/>
        <v>0</v>
      </c>
      <c r="CJ54" s="10">
        <f t="shared" si="2"/>
        <v>3</v>
      </c>
      <c r="CK54" s="10" t="b">
        <f t="shared" si="11"/>
        <v>0</v>
      </c>
      <c r="CL54" s="10" t="b">
        <f t="shared" si="12"/>
        <v>0</v>
      </c>
      <c r="CM54" s="10" t="b">
        <f t="shared" si="13"/>
        <v>0</v>
      </c>
      <c r="CN54" s="9">
        <f t="shared" si="14"/>
        <v>1</v>
      </c>
      <c r="CO54" s="10">
        <f>(YEAR(AO54)-YEAR(AJ54))*12+MONTH(AO54)-MONTH(AJ54)</f>
        <v>3</v>
      </c>
      <c r="CP54" s="10" t="b">
        <f t="shared" si="15"/>
        <v>1</v>
      </c>
      <c r="CQ54" s="10" t="b">
        <f t="shared" si="16"/>
        <v>0</v>
      </c>
      <c r="CR54" s="10" t="e" cm="1">
        <f t="array" ref="CR54">_xlfn.IFS(AND($CI54=0, CK54=FALSE), NA(), AND($CI54=1, CK54=FALSE), 0, CK54=TRUE, 1)</f>
        <v>#N/A</v>
      </c>
      <c r="CS54" s="10" t="e" cm="1">
        <f t="array" ref="CS54">_xlfn.IFS(AND($CI54=0, CL54=FALSE), NA(), AND($CI54=1, CL54=FALSE), 0, CL54=TRUE, 1)</f>
        <v>#N/A</v>
      </c>
      <c r="CT54" s="10" t="e" cm="1">
        <f t="array" ref="CT54">_xlfn.IFS(AND($CI54=0, CM54=FALSE), NA(), AND($CI54=1, CM54=FALSE), 0, CM54=TRUE, 1)</f>
        <v>#N/A</v>
      </c>
      <c r="CU54" s="10" cm="1">
        <f t="array" ref="CU54">_xlfn.IFS(AND($CN54=0, CP54=FALSE), NA(), AND($CN54=1, CP54=FALSE), 0, CP54=TRUE, 1)</f>
        <v>1</v>
      </c>
      <c r="CV54" s="10" cm="1">
        <f t="array" ref="CV54">_xlfn.IFS(AND($CN54=0, CQ54=FALSE), NA(), AND($CN54=1, CQ54=FALSE), 0, CQ54=TRUE, 1)</f>
        <v>0</v>
      </c>
    </row>
    <row r="55" spans="1:100" x14ac:dyDescent="0.25">
      <c r="A55" s="8">
        <v>54</v>
      </c>
      <c r="B55" s="9">
        <v>470</v>
      </c>
      <c r="C55" s="10" t="s">
        <v>31</v>
      </c>
      <c r="D55" s="11" t="s">
        <v>359</v>
      </c>
      <c r="E55" s="12"/>
      <c r="F55" s="13">
        <v>1</v>
      </c>
      <c r="G55" s="9">
        <v>71</v>
      </c>
      <c r="H55" s="12">
        <v>38153</v>
      </c>
      <c r="I55" s="9">
        <v>1</v>
      </c>
      <c r="J55" s="12">
        <v>38153</v>
      </c>
      <c r="K55" s="9">
        <v>0</v>
      </c>
      <c r="L55" s="9">
        <v>1</v>
      </c>
      <c r="M55" s="10" t="s">
        <v>401</v>
      </c>
      <c r="N55" s="9">
        <v>1</v>
      </c>
      <c r="O55" s="10" t="s">
        <v>401</v>
      </c>
      <c r="P55" s="9">
        <v>1</v>
      </c>
      <c r="Q55" s="10" t="s">
        <v>401</v>
      </c>
      <c r="R55" s="12">
        <v>39979</v>
      </c>
      <c r="S55" s="10" t="s">
        <v>511</v>
      </c>
      <c r="T55" s="9"/>
      <c r="U55" s="10" t="s">
        <v>401</v>
      </c>
      <c r="V55" s="10" t="s">
        <v>401</v>
      </c>
      <c r="W55" s="9"/>
      <c r="X55" s="9"/>
      <c r="Y55" s="9">
        <v>2</v>
      </c>
      <c r="Z55" s="19"/>
      <c r="AB55" s="9"/>
      <c r="AC55" s="9"/>
      <c r="AD55" s="9">
        <v>1</v>
      </c>
      <c r="AE55" s="9">
        <v>1</v>
      </c>
      <c r="AF55" s="9">
        <v>1</v>
      </c>
      <c r="AG55" s="9">
        <v>0</v>
      </c>
      <c r="AH55" s="9">
        <v>1</v>
      </c>
      <c r="AI55" s="9">
        <v>0</v>
      </c>
      <c r="AJ55" s="12">
        <v>42983</v>
      </c>
      <c r="AK55" s="9">
        <v>2</v>
      </c>
      <c r="AL55" s="12">
        <v>43382</v>
      </c>
      <c r="AM55" s="9">
        <v>3</v>
      </c>
      <c r="AN55" s="12">
        <v>43070</v>
      </c>
      <c r="AO55" s="12">
        <v>43774</v>
      </c>
      <c r="AP55" s="12">
        <v>43774</v>
      </c>
      <c r="AQ55" s="9">
        <v>1</v>
      </c>
      <c r="AR55" s="9">
        <f t="shared" si="4"/>
        <v>1</v>
      </c>
      <c r="AS55" s="9">
        <v>1</v>
      </c>
      <c r="AT55" s="9">
        <v>2</v>
      </c>
      <c r="AU55" s="9">
        <v>2</v>
      </c>
      <c r="AV55" s="9">
        <f t="shared" si="5"/>
        <v>1</v>
      </c>
      <c r="AW55" s="12">
        <v>44160</v>
      </c>
      <c r="AX55" s="9">
        <v>7730</v>
      </c>
      <c r="AY55" s="9">
        <v>5580</v>
      </c>
      <c r="AZ55" s="9">
        <v>1250</v>
      </c>
      <c r="BA55" s="9">
        <v>5580</v>
      </c>
      <c r="BB55" s="9">
        <v>1250.0001220703125</v>
      </c>
      <c r="BC55" s="9">
        <v>157000</v>
      </c>
      <c r="BD55" s="9">
        <v>440</v>
      </c>
      <c r="BE55" s="9">
        <v>400</v>
      </c>
      <c r="BF55" s="9">
        <v>330</v>
      </c>
      <c r="BG55" s="9">
        <v>6890</v>
      </c>
      <c r="BH55" s="9">
        <v>5180</v>
      </c>
      <c r="BI55" s="9">
        <v>940</v>
      </c>
      <c r="BJ55" s="9">
        <v>149000</v>
      </c>
      <c r="BK55" s="9">
        <v>460</v>
      </c>
      <c r="BL55" s="9">
        <v>250</v>
      </c>
      <c r="BM55" s="9">
        <v>353</v>
      </c>
      <c r="BN55" s="9">
        <v>6650</v>
      </c>
      <c r="BO55" s="9">
        <v>4710</v>
      </c>
      <c r="BP55" s="9">
        <v>1130</v>
      </c>
      <c r="BQ55" s="9">
        <v>152000</v>
      </c>
      <c r="BR55" s="9">
        <v>430</v>
      </c>
      <c r="BS55" s="9">
        <v>290</v>
      </c>
      <c r="BT55" s="9">
        <v>322</v>
      </c>
      <c r="BU55" s="9">
        <v>6640</v>
      </c>
      <c r="BV55" s="9">
        <v>4700</v>
      </c>
      <c r="BW55" s="9">
        <v>1090</v>
      </c>
      <c r="BX55" s="9">
        <v>136000</v>
      </c>
      <c r="BY55" s="9">
        <v>440</v>
      </c>
      <c r="BZ55" s="10" t="s">
        <v>539</v>
      </c>
      <c r="CA55" s="9">
        <v>350</v>
      </c>
      <c r="CB55" s="9">
        <v>378</v>
      </c>
      <c r="CC55" s="10">
        <f t="shared" si="6"/>
        <v>4.4639995640625427</v>
      </c>
      <c r="CD55" s="10">
        <f t="shared" si="7"/>
        <v>125.5999877343762</v>
      </c>
      <c r="CE55" s="10">
        <f t="shared" si="23"/>
        <v>700847.93155781925</v>
      </c>
      <c r="CF55" s="10">
        <f t="shared" si="9"/>
        <v>1</v>
      </c>
      <c r="CG55" s="10">
        <f t="shared" si="0"/>
        <v>0</v>
      </c>
      <c r="CH55" s="10">
        <f t="shared" si="1"/>
        <v>13</v>
      </c>
      <c r="CI55" s="9">
        <f t="shared" si="10"/>
        <v>1</v>
      </c>
      <c r="CJ55" s="10">
        <f t="shared" si="2"/>
        <v>38</v>
      </c>
      <c r="CK55" s="10" t="b">
        <f t="shared" si="11"/>
        <v>1</v>
      </c>
      <c r="CL55" s="10" t="b">
        <f t="shared" si="12"/>
        <v>1</v>
      </c>
      <c r="CM55" s="10" t="b">
        <f t="shared" si="13"/>
        <v>1</v>
      </c>
      <c r="CN55" s="9">
        <f t="shared" si="14"/>
        <v>1</v>
      </c>
      <c r="CO55" s="10">
        <f>(YEAR(AO55)-YEAR(AJ55))*12+MONTH(AO55)-MONTH(AJ55)</f>
        <v>26</v>
      </c>
      <c r="CP55" s="10" t="b">
        <f t="shared" si="15"/>
        <v>1</v>
      </c>
      <c r="CQ55" s="10" t="b">
        <f t="shared" si="16"/>
        <v>1</v>
      </c>
      <c r="CR55" s="10" cm="1">
        <f t="array" ref="CR55">_xlfn.IFS(AND($CI55=0, CK55=FALSE), NA(), AND($CI55=1, CK55=FALSE), 0, CK55=TRUE, 1)</f>
        <v>1</v>
      </c>
      <c r="CS55" s="10" cm="1">
        <f t="array" ref="CS55">_xlfn.IFS(AND($CI55=0, CL55=FALSE), NA(), AND($CI55=1, CL55=FALSE), 0, CL55=TRUE, 1)</f>
        <v>1</v>
      </c>
      <c r="CT55" s="10" cm="1">
        <f t="array" ref="CT55">_xlfn.IFS(AND($CI55=0, CM55=FALSE), NA(), AND($CI55=1, CM55=FALSE), 0, CM55=TRUE, 1)</f>
        <v>1</v>
      </c>
      <c r="CU55" s="10" cm="1">
        <f t="array" ref="CU55">_xlfn.IFS(AND($CN55=0, CP55=FALSE), NA(), AND($CN55=1, CP55=FALSE), 0, CP55=TRUE, 1)</f>
        <v>1</v>
      </c>
      <c r="CV55" s="10" cm="1">
        <f t="array" ref="CV55">_xlfn.IFS(AND($CN55=0, CQ55=FALSE), NA(), AND($CN55=1, CQ55=FALSE), 0, CQ55=TRUE, 1)</f>
        <v>1</v>
      </c>
    </row>
    <row r="56" spans="1:100" ht="15.75" x14ac:dyDescent="0.25">
      <c r="A56" s="8">
        <v>55</v>
      </c>
      <c r="B56" s="9">
        <v>271</v>
      </c>
      <c r="C56" s="10" t="s">
        <v>21</v>
      </c>
      <c r="D56" s="11" t="s">
        <v>244</v>
      </c>
      <c r="E56" s="12">
        <v>15829</v>
      </c>
      <c r="F56" s="13">
        <v>2</v>
      </c>
      <c r="G56" s="9">
        <v>61.119781494140625</v>
      </c>
      <c r="H56" s="12">
        <v>38153</v>
      </c>
      <c r="I56" s="9">
        <v>1</v>
      </c>
      <c r="J56" s="12">
        <v>38153</v>
      </c>
      <c r="K56" s="9">
        <v>0</v>
      </c>
      <c r="L56" s="9">
        <v>1</v>
      </c>
      <c r="M56" s="10" t="s">
        <v>401</v>
      </c>
      <c r="N56" s="9"/>
      <c r="O56" s="10" t="s">
        <v>401</v>
      </c>
      <c r="P56" s="9"/>
      <c r="Q56" s="10" t="s">
        <v>401</v>
      </c>
      <c r="R56" s="12">
        <v>41387</v>
      </c>
      <c r="S56" s="10" t="s">
        <v>146</v>
      </c>
      <c r="T56" s="9"/>
      <c r="U56" s="10" t="s">
        <v>401</v>
      </c>
      <c r="V56" s="10" t="s">
        <v>401</v>
      </c>
      <c r="W56" s="9"/>
      <c r="X56" s="9"/>
      <c r="Y56" s="9">
        <v>2</v>
      </c>
      <c r="Z56" s="14">
        <v>2</v>
      </c>
      <c r="AA56" s="15">
        <v>13.3</v>
      </c>
      <c r="AB56" s="16">
        <v>92</v>
      </c>
      <c r="AC56" s="16">
        <v>13</v>
      </c>
      <c r="AD56" s="9">
        <v>1</v>
      </c>
      <c r="AE56" s="9">
        <v>1</v>
      </c>
      <c r="AF56" s="9">
        <v>1</v>
      </c>
      <c r="AG56" s="9">
        <v>1</v>
      </c>
      <c r="AH56" s="9">
        <v>1</v>
      </c>
      <c r="AI56" s="9">
        <v>0</v>
      </c>
      <c r="AJ56" s="12">
        <v>43416</v>
      </c>
      <c r="AK56" s="9">
        <v>1</v>
      </c>
      <c r="AL56" s="12">
        <v>44907</v>
      </c>
      <c r="AM56" s="9">
        <v>3</v>
      </c>
      <c r="AN56" s="12">
        <v>43535</v>
      </c>
      <c r="AO56" s="12"/>
      <c r="AP56" s="12"/>
      <c r="AQ56" s="9">
        <v>2</v>
      </c>
      <c r="AR56" s="9">
        <f t="shared" si="4"/>
        <v>0</v>
      </c>
      <c r="AS56" s="9">
        <v>2</v>
      </c>
      <c r="AT56" s="9"/>
      <c r="AU56" s="9">
        <v>1</v>
      </c>
      <c r="AV56" s="9">
        <f t="shared" si="5"/>
        <v>0</v>
      </c>
      <c r="AW56" s="12">
        <v>44936</v>
      </c>
      <c r="AX56" s="9">
        <v>7500</v>
      </c>
      <c r="AY56" s="9">
        <v>4380</v>
      </c>
      <c r="AZ56" s="9">
        <v>2060</v>
      </c>
      <c r="BA56" s="9">
        <v>4380</v>
      </c>
      <c r="BB56" s="9">
        <v>2060</v>
      </c>
      <c r="BC56" s="9">
        <v>374000</v>
      </c>
      <c r="BD56" s="9">
        <v>850</v>
      </c>
      <c r="BE56" s="9">
        <v>90</v>
      </c>
      <c r="BF56" s="9">
        <v>150</v>
      </c>
      <c r="BG56" s="9">
        <v>8830</v>
      </c>
      <c r="BH56" s="9">
        <v>5960</v>
      </c>
      <c r="BI56" s="9">
        <v>1810</v>
      </c>
      <c r="BJ56" s="9">
        <v>732000</v>
      </c>
      <c r="BK56" s="9">
        <v>780</v>
      </c>
      <c r="BL56" s="9">
        <v>120</v>
      </c>
      <c r="BM56" s="9">
        <v>175</v>
      </c>
      <c r="BN56" s="9">
        <v>7730</v>
      </c>
      <c r="BO56" s="9">
        <v>4610</v>
      </c>
      <c r="BP56" s="9">
        <v>2030</v>
      </c>
      <c r="BQ56" s="9">
        <v>301000</v>
      </c>
      <c r="BR56" s="9">
        <v>750</v>
      </c>
      <c r="BS56" s="9">
        <v>180</v>
      </c>
      <c r="BT56" s="9">
        <v>166</v>
      </c>
      <c r="BU56" s="9">
        <v>7640</v>
      </c>
      <c r="BV56" s="9">
        <v>4210</v>
      </c>
      <c r="BW56" s="9">
        <v>2310</v>
      </c>
      <c r="BX56" s="9">
        <v>402000</v>
      </c>
      <c r="BY56" s="9">
        <v>790</v>
      </c>
      <c r="BZ56" s="10" t="s">
        <v>540</v>
      </c>
      <c r="CA56" s="9">
        <v>150</v>
      </c>
      <c r="CB56" s="9">
        <v>170</v>
      </c>
      <c r="CC56" s="10">
        <f t="shared" si="6"/>
        <v>2.1262135922330097</v>
      </c>
      <c r="CD56" s="10">
        <f t="shared" si="7"/>
        <v>181.55339805825244</v>
      </c>
      <c r="CE56" s="10">
        <f t="shared" si="23"/>
        <v>795203.88349514559</v>
      </c>
      <c r="CF56" s="10">
        <f t="shared" si="9"/>
        <v>1</v>
      </c>
      <c r="CG56" s="10">
        <f t="shared" si="0"/>
        <v>0</v>
      </c>
      <c r="CH56" s="10">
        <f t="shared" si="1"/>
        <v>49</v>
      </c>
      <c r="CI56" s="9">
        <f t="shared" si="10"/>
        <v>0</v>
      </c>
      <c r="CJ56" s="10">
        <f t="shared" si="2"/>
        <v>50</v>
      </c>
      <c r="CK56" s="10" t="b">
        <f t="shared" si="11"/>
        <v>1</v>
      </c>
      <c r="CL56" s="10" t="b">
        <f t="shared" si="12"/>
        <v>1</v>
      </c>
      <c r="CM56" s="10" t="b">
        <f t="shared" si="13"/>
        <v>1</v>
      </c>
      <c r="CN56" s="9">
        <f t="shared" si="14"/>
        <v>0</v>
      </c>
      <c r="CO56" s="10">
        <f>CJ56</f>
        <v>50</v>
      </c>
      <c r="CP56" s="10" t="b">
        <f t="shared" si="15"/>
        <v>1</v>
      </c>
      <c r="CQ56" s="10" t="b">
        <f t="shared" si="16"/>
        <v>1</v>
      </c>
      <c r="CR56" s="10" cm="1">
        <f t="array" ref="CR56">_xlfn.IFS(AND($CI56=0, CK56=FALSE), NA(), AND($CI56=1, CK56=FALSE), 0, CK56=TRUE, 1)</f>
        <v>1</v>
      </c>
      <c r="CS56" s="10" cm="1">
        <f t="array" ref="CS56">_xlfn.IFS(AND($CI56=0, CL56=FALSE), NA(), AND($CI56=1, CL56=FALSE), 0, CL56=TRUE, 1)</f>
        <v>1</v>
      </c>
      <c r="CT56" s="10" cm="1">
        <f t="array" ref="CT56">_xlfn.IFS(AND($CI56=0, CM56=FALSE), NA(), AND($CI56=1, CM56=FALSE), 0, CM56=TRUE, 1)</f>
        <v>1</v>
      </c>
      <c r="CU56" s="10" cm="1">
        <f t="array" ref="CU56">_xlfn.IFS(AND($CN56=0, CP56=FALSE), NA(), AND($CN56=1, CP56=FALSE), 0, CP56=TRUE, 1)</f>
        <v>1</v>
      </c>
      <c r="CV56" s="10" cm="1">
        <f t="array" ref="CV56">_xlfn.IFS(AND($CN56=0, CQ56=FALSE), NA(), AND($CN56=1, CQ56=FALSE), 0, CQ56=TRUE, 1)</f>
        <v>1</v>
      </c>
    </row>
    <row r="57" spans="1:100" x14ac:dyDescent="0.25">
      <c r="A57" s="8">
        <v>56</v>
      </c>
      <c r="B57" s="9">
        <v>472</v>
      </c>
      <c r="C57" s="10" t="s">
        <v>31</v>
      </c>
      <c r="D57" s="11" t="s">
        <v>362</v>
      </c>
      <c r="E57" s="12"/>
      <c r="F57" s="13">
        <v>1</v>
      </c>
      <c r="G57" s="9">
        <v>79</v>
      </c>
      <c r="H57" s="12">
        <v>38169</v>
      </c>
      <c r="I57" s="9">
        <v>1</v>
      </c>
      <c r="J57" s="12">
        <v>38169</v>
      </c>
      <c r="K57" s="9">
        <v>0</v>
      </c>
      <c r="L57" s="9">
        <v>2</v>
      </c>
      <c r="M57" s="10" t="s">
        <v>401</v>
      </c>
      <c r="N57" s="9">
        <v>1</v>
      </c>
      <c r="O57" s="10" t="s">
        <v>401</v>
      </c>
      <c r="P57" s="9">
        <v>1</v>
      </c>
      <c r="Q57" s="10" t="s">
        <v>401</v>
      </c>
      <c r="R57" s="12">
        <v>38899</v>
      </c>
      <c r="S57" s="10" t="s">
        <v>145</v>
      </c>
      <c r="T57" s="9"/>
      <c r="U57" s="10" t="s">
        <v>401</v>
      </c>
      <c r="V57" s="10" t="s">
        <v>401</v>
      </c>
      <c r="W57" s="9"/>
      <c r="X57" s="9"/>
      <c r="Y57" s="9">
        <v>2</v>
      </c>
      <c r="Z57" s="19">
        <v>1</v>
      </c>
      <c r="AB57" s="9"/>
      <c r="AC57" s="9"/>
      <c r="AD57" s="9">
        <v>1</v>
      </c>
      <c r="AE57" s="9">
        <v>1</v>
      </c>
      <c r="AF57" s="9">
        <v>1</v>
      </c>
      <c r="AG57" s="9">
        <v>0</v>
      </c>
      <c r="AH57" s="9">
        <v>1</v>
      </c>
      <c r="AI57" s="9">
        <v>0</v>
      </c>
      <c r="AJ57" s="12">
        <v>42733</v>
      </c>
      <c r="AK57" s="9">
        <v>2</v>
      </c>
      <c r="AL57" s="12">
        <v>44071</v>
      </c>
      <c r="AM57" s="9">
        <v>2</v>
      </c>
      <c r="AN57" s="12">
        <v>42825</v>
      </c>
      <c r="AO57" s="12">
        <v>43507</v>
      </c>
      <c r="AP57" s="12">
        <v>44094</v>
      </c>
      <c r="AQ57" s="9">
        <v>1</v>
      </c>
      <c r="AR57" s="9">
        <f t="shared" si="4"/>
        <v>1</v>
      </c>
      <c r="AS57" s="9">
        <v>1</v>
      </c>
      <c r="AT57" s="9">
        <v>1</v>
      </c>
      <c r="AU57" s="9">
        <v>2</v>
      </c>
      <c r="AV57" s="9">
        <f t="shared" si="5"/>
        <v>1</v>
      </c>
      <c r="AW57" s="12">
        <v>44116</v>
      </c>
      <c r="AX57" s="9">
        <v>9890</v>
      </c>
      <c r="AY57" s="9">
        <v>6670</v>
      </c>
      <c r="AZ57" s="9">
        <v>1900</v>
      </c>
      <c r="BA57" s="9">
        <v>6670</v>
      </c>
      <c r="BB57" s="9">
        <v>1900</v>
      </c>
      <c r="BC57" s="9">
        <v>391000</v>
      </c>
      <c r="BD57" s="9">
        <v>860</v>
      </c>
      <c r="BE57" s="9">
        <v>380</v>
      </c>
      <c r="BF57" s="9">
        <v>361</v>
      </c>
      <c r="BG57" s="9">
        <v>9570</v>
      </c>
      <c r="BH57" s="9">
        <v>6180</v>
      </c>
      <c r="BI57" s="9">
        <v>1940</v>
      </c>
      <c r="BJ57" s="9">
        <v>362000</v>
      </c>
      <c r="BK57" s="9">
        <v>940</v>
      </c>
      <c r="BL57" s="9">
        <v>470</v>
      </c>
      <c r="BM57" s="9">
        <v>350</v>
      </c>
      <c r="BN57" s="9">
        <v>6390</v>
      </c>
      <c r="BO57" s="9">
        <v>3660</v>
      </c>
      <c r="BP57" s="9">
        <v>1550</v>
      </c>
      <c r="BQ57" s="9">
        <v>317000</v>
      </c>
      <c r="BR57" s="9">
        <v>570</v>
      </c>
      <c r="BS57" s="9">
        <v>550</v>
      </c>
      <c r="BT57" s="9">
        <v>370</v>
      </c>
      <c r="BU57" s="9">
        <v>8500</v>
      </c>
      <c r="BV57" s="9">
        <v>4870</v>
      </c>
      <c r="BW57" s="9">
        <v>2210</v>
      </c>
      <c r="BX57" s="9">
        <v>344000</v>
      </c>
      <c r="BY57" s="9">
        <v>820</v>
      </c>
      <c r="BZ57" s="10" t="s">
        <v>541</v>
      </c>
      <c r="CA57" s="9">
        <v>530</v>
      </c>
      <c r="CB57" s="9">
        <v>349</v>
      </c>
      <c r="CC57" s="10">
        <f t="shared" si="6"/>
        <v>3.5105263157894737</v>
      </c>
      <c r="CD57" s="10">
        <f t="shared" si="7"/>
        <v>205.78947368421052</v>
      </c>
      <c r="CE57" s="10">
        <f t="shared" si="23"/>
        <v>1372615.7894736843</v>
      </c>
      <c r="CF57" s="10">
        <f t="shared" si="9"/>
        <v>1</v>
      </c>
      <c r="CG57" s="10">
        <f t="shared" si="0"/>
        <v>1</v>
      </c>
      <c r="CH57" s="10">
        <f t="shared" si="1"/>
        <v>44</v>
      </c>
      <c r="CI57" s="9">
        <f t="shared" si="10"/>
        <v>1</v>
      </c>
      <c r="CJ57" s="10">
        <f t="shared" si="2"/>
        <v>46</v>
      </c>
      <c r="CK57" s="10" t="b">
        <f t="shared" si="11"/>
        <v>1</v>
      </c>
      <c r="CL57" s="10" t="b">
        <f t="shared" si="12"/>
        <v>1</v>
      </c>
      <c r="CM57" s="10" t="b">
        <f t="shared" si="13"/>
        <v>1</v>
      </c>
      <c r="CN57" s="9">
        <f t="shared" si="14"/>
        <v>1</v>
      </c>
      <c r="CO57" s="10">
        <f t="shared" ref="CO57:CO72" si="24">(YEAR(AO57)-YEAR(AJ57))*12+MONTH(AO57)-MONTH(AJ57)</f>
        <v>26</v>
      </c>
      <c r="CP57" s="10" t="b">
        <f t="shared" si="15"/>
        <v>1</v>
      </c>
      <c r="CQ57" s="10" t="b">
        <f t="shared" si="16"/>
        <v>1</v>
      </c>
      <c r="CR57" s="10" cm="1">
        <f t="array" ref="CR57">_xlfn.IFS(AND($CI57=0, CK57=FALSE), NA(), AND($CI57=1, CK57=FALSE), 0, CK57=TRUE, 1)</f>
        <v>1</v>
      </c>
      <c r="CS57" s="10" cm="1">
        <f t="array" ref="CS57">_xlfn.IFS(AND($CI57=0, CL57=FALSE), NA(), AND($CI57=1, CL57=FALSE), 0, CL57=TRUE, 1)</f>
        <v>1</v>
      </c>
      <c r="CT57" s="10" cm="1">
        <f t="array" ref="CT57">_xlfn.IFS(AND($CI57=0, CM57=FALSE), NA(), AND($CI57=1, CM57=FALSE), 0, CM57=TRUE, 1)</f>
        <v>1</v>
      </c>
      <c r="CU57" s="10" cm="1">
        <f t="array" ref="CU57">_xlfn.IFS(AND($CN57=0, CP57=FALSE), NA(), AND($CN57=1, CP57=FALSE), 0, CP57=TRUE, 1)</f>
        <v>1</v>
      </c>
      <c r="CV57" s="10" cm="1">
        <f t="array" ref="CV57">_xlfn.IFS(AND($CN57=0, CQ57=FALSE), NA(), AND($CN57=1, CQ57=FALSE), 0, CQ57=TRUE, 1)</f>
        <v>1</v>
      </c>
    </row>
    <row r="58" spans="1:100" ht="15.75" x14ac:dyDescent="0.25">
      <c r="A58" s="8">
        <v>57</v>
      </c>
      <c r="B58" s="9">
        <v>563</v>
      </c>
      <c r="C58" s="10" t="s">
        <v>36</v>
      </c>
      <c r="D58" s="11" t="s">
        <v>193</v>
      </c>
      <c r="E58" s="12">
        <v>21146</v>
      </c>
      <c r="F58" s="13">
        <v>1</v>
      </c>
      <c r="G58" s="9">
        <v>46.647502899169922</v>
      </c>
      <c r="H58" s="12">
        <v>38184</v>
      </c>
      <c r="I58" s="9">
        <v>1</v>
      </c>
      <c r="J58" s="12">
        <v>38184</v>
      </c>
      <c r="K58" s="9">
        <v>0</v>
      </c>
      <c r="L58" s="9">
        <v>1</v>
      </c>
      <c r="M58" s="10" t="s">
        <v>401</v>
      </c>
      <c r="N58" s="9">
        <v>1</v>
      </c>
      <c r="O58" s="10" t="s">
        <v>401</v>
      </c>
      <c r="P58" s="9">
        <v>1</v>
      </c>
      <c r="Q58" s="10" t="s">
        <v>401</v>
      </c>
      <c r="R58" s="12">
        <v>39959</v>
      </c>
      <c r="S58" s="10" t="s">
        <v>145</v>
      </c>
      <c r="T58" s="9">
        <v>3</v>
      </c>
      <c r="U58" s="10" t="s">
        <v>401</v>
      </c>
      <c r="V58" s="10" t="s">
        <v>401</v>
      </c>
      <c r="W58" s="9"/>
      <c r="X58" s="9"/>
      <c r="Y58" s="9">
        <v>3</v>
      </c>
      <c r="Z58" s="14">
        <v>1</v>
      </c>
      <c r="AA58" s="17">
        <v>10.6</v>
      </c>
      <c r="AB58" s="18">
        <v>86</v>
      </c>
      <c r="AC58" s="18">
        <v>15</v>
      </c>
      <c r="AD58" s="9">
        <v>2</v>
      </c>
      <c r="AE58" s="9">
        <v>2</v>
      </c>
      <c r="AF58" s="9">
        <v>1</v>
      </c>
      <c r="AG58" s="9">
        <v>1</v>
      </c>
      <c r="AH58" s="9">
        <v>1</v>
      </c>
      <c r="AI58" s="9">
        <v>0</v>
      </c>
      <c r="AJ58" s="12">
        <v>42699</v>
      </c>
      <c r="AK58" s="9">
        <v>2</v>
      </c>
      <c r="AL58" s="12">
        <v>42800</v>
      </c>
      <c r="AM58" s="9">
        <v>4</v>
      </c>
      <c r="AN58" s="12">
        <v>42804</v>
      </c>
      <c r="AO58" s="12">
        <v>42804</v>
      </c>
      <c r="AP58" s="12">
        <v>42804</v>
      </c>
      <c r="AQ58" s="9">
        <v>1</v>
      </c>
      <c r="AR58" s="9">
        <f t="shared" si="4"/>
        <v>1</v>
      </c>
      <c r="AS58" s="9">
        <v>1</v>
      </c>
      <c r="AT58" s="9">
        <v>2</v>
      </c>
      <c r="AU58" s="9">
        <v>2</v>
      </c>
      <c r="AV58" s="9">
        <f t="shared" si="5"/>
        <v>1</v>
      </c>
      <c r="AW58" s="12">
        <v>44646</v>
      </c>
      <c r="AX58" s="9">
        <v>4800</v>
      </c>
      <c r="AY58" s="9">
        <v>2800</v>
      </c>
      <c r="AZ58" s="9">
        <v>1200</v>
      </c>
      <c r="BA58" s="9">
        <v>2800</v>
      </c>
      <c r="BB58" s="9">
        <v>1200.0001220703125</v>
      </c>
      <c r="BC58" s="9">
        <v>249000</v>
      </c>
      <c r="BD58" s="9">
        <v>600</v>
      </c>
      <c r="BE58" s="9">
        <v>200</v>
      </c>
      <c r="BF58" s="9">
        <v>194</v>
      </c>
      <c r="BG58" s="9">
        <v>5400</v>
      </c>
      <c r="BH58" s="9">
        <v>3500</v>
      </c>
      <c r="BI58" s="9">
        <v>1000</v>
      </c>
      <c r="BJ58" s="9">
        <v>249000</v>
      </c>
      <c r="BK58" s="9">
        <v>560</v>
      </c>
      <c r="BL58" s="9">
        <v>280</v>
      </c>
      <c r="BM58" s="9">
        <v>164</v>
      </c>
      <c r="BN58" s="9">
        <v>4100</v>
      </c>
      <c r="BO58" s="9">
        <v>225</v>
      </c>
      <c r="BP58" s="9">
        <v>237</v>
      </c>
      <c r="BQ58" s="9">
        <v>256000</v>
      </c>
      <c r="BR58" s="9">
        <v>107</v>
      </c>
      <c r="BS58" s="9">
        <v>348</v>
      </c>
      <c r="BT58" s="9">
        <v>150</v>
      </c>
      <c r="BU58" s="9">
        <v>6800</v>
      </c>
      <c r="BV58" s="9">
        <v>4200</v>
      </c>
      <c r="BW58" s="9">
        <v>1600</v>
      </c>
      <c r="BX58" s="9">
        <v>252000</v>
      </c>
      <c r="BY58" s="9">
        <v>500</v>
      </c>
      <c r="BZ58" s="10" t="s">
        <v>542</v>
      </c>
      <c r="CA58" s="9">
        <v>300</v>
      </c>
      <c r="CB58" s="9">
        <v>177</v>
      </c>
      <c r="CC58" s="10">
        <f t="shared" si="6"/>
        <v>2.3333330959744165</v>
      </c>
      <c r="CD58" s="10">
        <f t="shared" si="7"/>
        <v>207.4999788920106</v>
      </c>
      <c r="CE58" s="10">
        <f t="shared" si="23"/>
        <v>580999.94089762971</v>
      </c>
      <c r="CF58" s="10">
        <f t="shared" si="9"/>
        <v>0</v>
      </c>
      <c r="CG58" s="10">
        <f t="shared" si="0"/>
        <v>0</v>
      </c>
      <c r="CH58" s="10">
        <f t="shared" si="1"/>
        <v>4</v>
      </c>
      <c r="CI58" s="9">
        <f t="shared" si="10"/>
        <v>1</v>
      </c>
      <c r="CJ58" s="10">
        <f t="shared" si="2"/>
        <v>64</v>
      </c>
      <c r="CK58" s="10" t="b">
        <f t="shared" si="11"/>
        <v>1</v>
      </c>
      <c r="CL58" s="10" t="b">
        <f t="shared" si="12"/>
        <v>1</v>
      </c>
      <c r="CM58" s="10" t="b">
        <f t="shared" si="13"/>
        <v>1</v>
      </c>
      <c r="CN58" s="9">
        <f t="shared" si="14"/>
        <v>1</v>
      </c>
      <c r="CO58" s="10">
        <f t="shared" si="24"/>
        <v>4</v>
      </c>
      <c r="CP58" s="10" t="b">
        <f t="shared" si="15"/>
        <v>1</v>
      </c>
      <c r="CQ58" s="10" t="b">
        <f t="shared" si="16"/>
        <v>0</v>
      </c>
      <c r="CR58" s="10" cm="1">
        <f t="array" ref="CR58">_xlfn.IFS(AND($CI58=0, CK58=FALSE), NA(), AND($CI58=1, CK58=FALSE), 0, CK58=TRUE, 1)</f>
        <v>1</v>
      </c>
      <c r="CS58" s="10" cm="1">
        <f t="array" ref="CS58">_xlfn.IFS(AND($CI58=0, CL58=FALSE), NA(), AND($CI58=1, CL58=FALSE), 0, CL58=TRUE, 1)</f>
        <v>1</v>
      </c>
      <c r="CT58" s="10" cm="1">
        <f t="array" ref="CT58">_xlfn.IFS(AND($CI58=0, CM58=FALSE), NA(), AND($CI58=1, CM58=FALSE), 0, CM58=TRUE, 1)</f>
        <v>1</v>
      </c>
      <c r="CU58" s="10" cm="1">
        <f t="array" ref="CU58">_xlfn.IFS(AND($CN58=0, CP58=FALSE), NA(), AND($CN58=1, CP58=FALSE), 0, CP58=TRUE, 1)</f>
        <v>1</v>
      </c>
      <c r="CV58" s="10" cm="1">
        <f t="array" ref="CV58">_xlfn.IFS(AND($CN58=0, CQ58=FALSE), NA(), AND($CN58=1, CQ58=FALSE), 0, CQ58=TRUE, 1)</f>
        <v>0</v>
      </c>
    </row>
    <row r="59" spans="1:100" ht="15.75" x14ac:dyDescent="0.25">
      <c r="A59" s="8">
        <v>58</v>
      </c>
      <c r="B59" s="9">
        <v>131</v>
      </c>
      <c r="C59" s="10" t="s">
        <v>16</v>
      </c>
      <c r="D59" s="11" t="s">
        <v>173</v>
      </c>
      <c r="E59" s="12">
        <v>23800</v>
      </c>
      <c r="F59" s="13">
        <v>1</v>
      </c>
      <c r="G59" s="9">
        <v>39.622177124023438</v>
      </c>
      <c r="H59" s="12">
        <v>38272</v>
      </c>
      <c r="I59" s="9">
        <v>1</v>
      </c>
      <c r="J59" s="12">
        <v>38272</v>
      </c>
      <c r="K59" s="9">
        <v>0</v>
      </c>
      <c r="L59" s="9">
        <v>1</v>
      </c>
      <c r="M59" s="10" t="s">
        <v>401</v>
      </c>
      <c r="N59" s="9"/>
      <c r="O59" s="10" t="s">
        <v>425</v>
      </c>
      <c r="P59" s="9"/>
      <c r="Q59" s="10" t="s">
        <v>425</v>
      </c>
      <c r="R59" s="12">
        <v>40157</v>
      </c>
      <c r="S59" s="10" t="s">
        <v>511</v>
      </c>
      <c r="T59" s="9">
        <v>1</v>
      </c>
      <c r="U59" s="10" t="s">
        <v>401</v>
      </c>
      <c r="V59" s="10" t="s">
        <v>401</v>
      </c>
      <c r="W59" s="9"/>
      <c r="X59" s="9"/>
      <c r="Y59" s="9">
        <v>3</v>
      </c>
      <c r="Z59" s="16">
        <v>1</v>
      </c>
      <c r="AA59" s="15">
        <v>10.4</v>
      </c>
      <c r="AB59" s="16">
        <v>98</v>
      </c>
      <c r="AC59" s="16">
        <v>19</v>
      </c>
      <c r="AD59" s="9">
        <v>2</v>
      </c>
      <c r="AE59" s="9">
        <v>2</v>
      </c>
      <c r="AF59" s="9">
        <v>1</v>
      </c>
      <c r="AG59" s="9">
        <v>1</v>
      </c>
      <c r="AH59" s="9">
        <v>1</v>
      </c>
      <c r="AI59" s="9">
        <v>0</v>
      </c>
      <c r="AJ59" s="12">
        <v>42502</v>
      </c>
      <c r="AK59" s="9">
        <v>2</v>
      </c>
      <c r="AL59" s="12">
        <v>42859</v>
      </c>
      <c r="AM59" s="9">
        <v>3</v>
      </c>
      <c r="AN59" s="12">
        <v>42753</v>
      </c>
      <c r="AO59" s="12">
        <v>42627</v>
      </c>
      <c r="AP59" s="12">
        <v>42851</v>
      </c>
      <c r="AQ59" s="9">
        <v>1</v>
      </c>
      <c r="AR59" s="9">
        <f t="shared" si="4"/>
        <v>1</v>
      </c>
      <c r="AS59" s="9">
        <v>1</v>
      </c>
      <c r="AT59" s="9">
        <v>1</v>
      </c>
      <c r="AU59" s="9">
        <v>2</v>
      </c>
      <c r="AV59" s="9">
        <f t="shared" si="5"/>
        <v>1</v>
      </c>
      <c r="AW59" s="12">
        <v>43322</v>
      </c>
      <c r="AX59" s="9">
        <v>2470</v>
      </c>
      <c r="AY59" s="9">
        <v>2380</v>
      </c>
      <c r="AZ59" s="9">
        <v>620</v>
      </c>
      <c r="BA59" s="9">
        <v>2380</v>
      </c>
      <c r="BB59" s="9">
        <v>620</v>
      </c>
      <c r="BC59" s="9">
        <v>214000</v>
      </c>
      <c r="BD59" s="9">
        <v>330</v>
      </c>
      <c r="BE59" s="9">
        <v>60</v>
      </c>
      <c r="BF59" s="9">
        <v>139</v>
      </c>
      <c r="BG59" s="9">
        <v>9190</v>
      </c>
      <c r="BH59" s="9">
        <v>6800</v>
      </c>
      <c r="BI59" s="9"/>
      <c r="BJ59" s="9">
        <v>322000</v>
      </c>
      <c r="BK59" s="9"/>
      <c r="BL59" s="9"/>
      <c r="BM59" s="9">
        <v>182</v>
      </c>
      <c r="BN59" s="9"/>
      <c r="BO59" s="9">
        <v>4100</v>
      </c>
      <c r="BP59" s="9"/>
      <c r="BQ59" s="9">
        <v>240000</v>
      </c>
      <c r="BR59" s="9"/>
      <c r="BS59" s="9"/>
      <c r="BT59" s="9">
        <v>169</v>
      </c>
      <c r="BU59" s="9">
        <v>5920</v>
      </c>
      <c r="BV59" s="9">
        <v>4800</v>
      </c>
      <c r="BW59" s="9">
        <v>1000</v>
      </c>
      <c r="BX59" s="9">
        <v>285000</v>
      </c>
      <c r="BY59" s="9">
        <v>800</v>
      </c>
      <c r="BZ59" s="10" t="s">
        <v>543</v>
      </c>
      <c r="CA59" s="9">
        <v>400</v>
      </c>
      <c r="CB59" s="9">
        <v>122</v>
      </c>
      <c r="CC59" s="10">
        <f t="shared" si="6"/>
        <v>3.838709677419355</v>
      </c>
      <c r="CD59" s="10">
        <f t="shared" si="7"/>
        <v>345.16129032258067</v>
      </c>
      <c r="CE59" s="10">
        <f t="shared" si="23"/>
        <v>821483.87096774194</v>
      </c>
      <c r="CF59" s="10">
        <f t="shared" si="9"/>
        <v>1</v>
      </c>
      <c r="CG59" s="10">
        <f t="shared" si="0"/>
        <v>0</v>
      </c>
      <c r="CH59" s="10">
        <f t="shared" si="1"/>
        <v>12</v>
      </c>
      <c r="CI59" s="9">
        <f t="shared" si="10"/>
        <v>1</v>
      </c>
      <c r="CJ59" s="10">
        <f t="shared" si="2"/>
        <v>27</v>
      </c>
      <c r="CK59" s="10" t="b">
        <f t="shared" si="11"/>
        <v>1</v>
      </c>
      <c r="CL59" s="10" t="b">
        <f t="shared" si="12"/>
        <v>1</v>
      </c>
      <c r="CM59" s="10" t="b">
        <f t="shared" si="13"/>
        <v>1</v>
      </c>
      <c r="CN59" s="9">
        <f t="shared" si="14"/>
        <v>1</v>
      </c>
      <c r="CO59" s="10">
        <f t="shared" si="24"/>
        <v>4</v>
      </c>
      <c r="CP59" s="10" t="b">
        <f t="shared" si="15"/>
        <v>1</v>
      </c>
      <c r="CQ59" s="10" t="b">
        <f t="shared" si="16"/>
        <v>0</v>
      </c>
      <c r="CR59" s="10" cm="1">
        <f t="array" ref="CR59">_xlfn.IFS(AND($CI59=0, CK59=FALSE), NA(), AND($CI59=1, CK59=FALSE), 0, CK59=TRUE, 1)</f>
        <v>1</v>
      </c>
      <c r="CS59" s="10" cm="1">
        <f t="array" ref="CS59">_xlfn.IFS(AND($CI59=0, CL59=FALSE), NA(), AND($CI59=1, CL59=FALSE), 0, CL59=TRUE, 1)</f>
        <v>1</v>
      </c>
      <c r="CT59" s="10" cm="1">
        <f t="array" ref="CT59">_xlfn.IFS(AND($CI59=0, CM59=FALSE), NA(), AND($CI59=1, CM59=FALSE), 0, CM59=TRUE, 1)</f>
        <v>1</v>
      </c>
      <c r="CU59" s="10" cm="1">
        <f t="array" ref="CU59">_xlfn.IFS(AND($CN59=0, CP59=FALSE), NA(), AND($CN59=1, CP59=FALSE), 0, CP59=TRUE, 1)</f>
        <v>1</v>
      </c>
      <c r="CV59" s="10" cm="1">
        <f t="array" ref="CV59">_xlfn.IFS(AND($CN59=0, CQ59=FALSE), NA(), AND($CN59=1, CQ59=FALSE), 0, CQ59=TRUE, 1)</f>
        <v>0</v>
      </c>
    </row>
    <row r="60" spans="1:100" ht="15.75" x14ac:dyDescent="0.25">
      <c r="A60" s="8">
        <v>59</v>
      </c>
      <c r="B60" s="9">
        <v>143</v>
      </c>
      <c r="C60" s="10" t="s">
        <v>16</v>
      </c>
      <c r="D60" s="11" t="s">
        <v>181</v>
      </c>
      <c r="E60" s="12">
        <v>13548</v>
      </c>
      <c r="F60" s="13">
        <v>1</v>
      </c>
      <c r="G60" s="9">
        <v>67.775497436523438</v>
      </c>
      <c r="H60" s="12">
        <v>38303</v>
      </c>
      <c r="I60" s="9">
        <v>1</v>
      </c>
      <c r="J60" s="12">
        <v>38315</v>
      </c>
      <c r="K60" s="9">
        <v>0</v>
      </c>
      <c r="L60" s="9">
        <v>1</v>
      </c>
      <c r="M60" s="10" t="s">
        <v>401</v>
      </c>
      <c r="N60" s="9">
        <v>2</v>
      </c>
      <c r="O60" s="10" t="s">
        <v>421</v>
      </c>
      <c r="P60" s="9">
        <v>2</v>
      </c>
      <c r="Q60" s="10" t="s">
        <v>421</v>
      </c>
      <c r="R60" s="12">
        <v>41914</v>
      </c>
      <c r="S60" s="10" t="s">
        <v>145</v>
      </c>
      <c r="T60" s="9"/>
      <c r="U60" s="10" t="s">
        <v>401</v>
      </c>
      <c r="V60" s="10" t="s">
        <v>401</v>
      </c>
      <c r="W60" s="9"/>
      <c r="X60" s="9"/>
      <c r="Y60" s="9">
        <v>2</v>
      </c>
      <c r="Z60" s="14">
        <v>1</v>
      </c>
      <c r="AA60" s="15">
        <v>11.9</v>
      </c>
      <c r="AB60" s="16">
        <v>87</v>
      </c>
      <c r="AC60" s="16">
        <v>20</v>
      </c>
      <c r="AD60" s="9">
        <v>2</v>
      </c>
      <c r="AE60" s="9">
        <v>2</v>
      </c>
      <c r="AF60" s="9">
        <v>1</v>
      </c>
      <c r="AG60" s="9">
        <v>0</v>
      </c>
      <c r="AH60" s="9">
        <v>1</v>
      </c>
      <c r="AI60" s="9">
        <v>0</v>
      </c>
      <c r="AJ60" s="12">
        <v>42509</v>
      </c>
      <c r="AK60" s="9">
        <v>2</v>
      </c>
      <c r="AL60" s="12">
        <v>43055</v>
      </c>
      <c r="AM60" s="9">
        <v>2</v>
      </c>
      <c r="AN60" s="12">
        <v>42660</v>
      </c>
      <c r="AO60" s="12">
        <v>42579</v>
      </c>
      <c r="AP60" s="12"/>
      <c r="AQ60" s="9">
        <v>1</v>
      </c>
      <c r="AR60" s="9">
        <f t="shared" si="4"/>
        <v>1</v>
      </c>
      <c r="AS60" s="9">
        <v>2</v>
      </c>
      <c r="AT60" s="9">
        <v>1</v>
      </c>
      <c r="AU60" s="9">
        <v>1</v>
      </c>
      <c r="AV60" s="9">
        <f t="shared" si="5"/>
        <v>0</v>
      </c>
      <c r="AW60" s="12">
        <v>44946</v>
      </c>
      <c r="AX60" s="9">
        <v>3530</v>
      </c>
      <c r="AY60" s="9">
        <v>2000</v>
      </c>
      <c r="AZ60" s="9"/>
      <c r="BA60" s="9">
        <v>2000</v>
      </c>
      <c r="BB60" s="9">
        <v>1080.1324462890625</v>
      </c>
      <c r="BC60" s="9">
        <v>150000</v>
      </c>
      <c r="BD60" s="9"/>
      <c r="BE60" s="9"/>
      <c r="BF60" s="9">
        <v>132</v>
      </c>
      <c r="BG60" s="9">
        <v>4560</v>
      </c>
      <c r="BH60" s="9">
        <v>2500</v>
      </c>
      <c r="BI60" s="9"/>
      <c r="BJ60" s="9">
        <v>278000</v>
      </c>
      <c r="BK60" s="9"/>
      <c r="BL60" s="9"/>
      <c r="BM60" s="9">
        <v>133</v>
      </c>
      <c r="BN60" s="9"/>
      <c r="BO60" s="9">
        <v>3900</v>
      </c>
      <c r="BP60" s="9"/>
      <c r="BQ60" s="9">
        <v>224000</v>
      </c>
      <c r="BR60" s="9"/>
      <c r="BS60" s="9"/>
      <c r="BT60" s="9">
        <v>169</v>
      </c>
      <c r="BU60" s="9">
        <v>5860</v>
      </c>
      <c r="BV60" s="9">
        <v>3800</v>
      </c>
      <c r="BW60" s="9"/>
      <c r="BX60" s="9">
        <v>241000</v>
      </c>
      <c r="BY60" s="9"/>
      <c r="BZ60" s="10" t="s">
        <v>401</v>
      </c>
      <c r="CA60" s="9"/>
      <c r="CB60" s="9">
        <v>145</v>
      </c>
      <c r="CC60" s="10">
        <f t="shared" si="6"/>
        <v>1.8516247770088416</v>
      </c>
      <c r="CD60" s="10">
        <f t="shared" si="7"/>
        <v>138.87185827566313</v>
      </c>
      <c r="CE60" s="10">
        <f t="shared" si="23"/>
        <v>277743.71655132627</v>
      </c>
      <c r="CF60" s="10">
        <f t="shared" si="9"/>
        <v>1</v>
      </c>
      <c r="CG60" s="10">
        <f t="shared" si="0"/>
        <v>1</v>
      </c>
      <c r="CH60" s="10">
        <f t="shared" si="1"/>
        <v>18</v>
      </c>
      <c r="CI60" s="9">
        <f t="shared" si="10"/>
        <v>0</v>
      </c>
      <c r="CJ60" s="10">
        <f t="shared" si="2"/>
        <v>80</v>
      </c>
      <c r="CK60" s="10" t="b">
        <f t="shared" si="11"/>
        <v>1</v>
      </c>
      <c r="CL60" s="10" t="b">
        <f t="shared" si="12"/>
        <v>1</v>
      </c>
      <c r="CM60" s="10" t="b">
        <f t="shared" si="13"/>
        <v>1</v>
      </c>
      <c r="CN60" s="9">
        <f t="shared" si="14"/>
        <v>1</v>
      </c>
      <c r="CO60" s="10">
        <f t="shared" si="24"/>
        <v>2</v>
      </c>
      <c r="CP60" s="10" t="b">
        <f t="shared" si="15"/>
        <v>0</v>
      </c>
      <c r="CQ60" s="10" t="b">
        <f t="shared" si="16"/>
        <v>0</v>
      </c>
      <c r="CR60" s="10" cm="1">
        <f t="array" ref="CR60">_xlfn.IFS(AND($CI60=0, CK60=FALSE), NA(), AND($CI60=1, CK60=FALSE), 0, CK60=TRUE, 1)</f>
        <v>1</v>
      </c>
      <c r="CS60" s="10" cm="1">
        <f t="array" ref="CS60">_xlfn.IFS(AND($CI60=0, CL60=FALSE), NA(), AND($CI60=1, CL60=FALSE), 0, CL60=TRUE, 1)</f>
        <v>1</v>
      </c>
      <c r="CT60" s="10" cm="1">
        <f t="array" ref="CT60">_xlfn.IFS(AND($CI60=0, CM60=FALSE), NA(), AND($CI60=1, CM60=FALSE), 0, CM60=TRUE, 1)</f>
        <v>1</v>
      </c>
      <c r="CU60" s="10" cm="1">
        <f t="array" ref="CU60">_xlfn.IFS(AND($CN60=0, CP60=FALSE), NA(), AND($CN60=1, CP60=FALSE), 0, CP60=TRUE, 1)</f>
        <v>0</v>
      </c>
      <c r="CV60" s="10" cm="1">
        <f t="array" ref="CV60">_xlfn.IFS(AND($CN60=0, CQ60=FALSE), NA(), AND($CN60=1, CQ60=FALSE), 0, CQ60=TRUE, 1)</f>
        <v>0</v>
      </c>
    </row>
    <row r="61" spans="1:100" ht="15.75" x14ac:dyDescent="0.25">
      <c r="A61" s="8">
        <v>60</v>
      </c>
      <c r="B61" s="9">
        <v>195</v>
      </c>
      <c r="C61" s="10" t="s">
        <v>17</v>
      </c>
      <c r="D61" s="11" t="s">
        <v>202</v>
      </c>
      <c r="E61" s="12">
        <v>18533</v>
      </c>
      <c r="F61" s="13">
        <v>2</v>
      </c>
      <c r="G61" s="9">
        <v>54.135524749755859</v>
      </c>
      <c r="H61" s="12">
        <v>38306</v>
      </c>
      <c r="I61" s="9">
        <v>1</v>
      </c>
      <c r="J61" s="12">
        <v>38306</v>
      </c>
      <c r="K61" s="9">
        <v>0</v>
      </c>
      <c r="L61" s="9">
        <v>1</v>
      </c>
      <c r="M61" s="10" t="s">
        <v>401</v>
      </c>
      <c r="N61" s="9"/>
      <c r="O61" s="10" t="s">
        <v>401</v>
      </c>
      <c r="P61" s="9"/>
      <c r="Q61" s="10" t="s">
        <v>401</v>
      </c>
      <c r="R61" s="12">
        <v>39097</v>
      </c>
      <c r="S61" s="10" t="s">
        <v>511</v>
      </c>
      <c r="T61" s="9">
        <v>1</v>
      </c>
      <c r="U61" s="10" t="s">
        <v>150</v>
      </c>
      <c r="V61" s="10" t="s">
        <v>147</v>
      </c>
      <c r="W61" s="9">
        <v>4</v>
      </c>
      <c r="X61" s="9"/>
      <c r="Y61" s="9">
        <v>6</v>
      </c>
      <c r="Z61" s="16">
        <v>1</v>
      </c>
      <c r="AA61" s="15">
        <v>12.7</v>
      </c>
      <c r="AB61" s="16">
        <v>83</v>
      </c>
      <c r="AC61" s="16">
        <v>19</v>
      </c>
      <c r="AD61" s="9">
        <v>2</v>
      </c>
      <c r="AE61" s="9">
        <v>2</v>
      </c>
      <c r="AF61" s="9">
        <v>1</v>
      </c>
      <c r="AG61" s="9">
        <v>1</v>
      </c>
      <c r="AH61" s="9">
        <v>1</v>
      </c>
      <c r="AI61" s="9">
        <v>1</v>
      </c>
      <c r="AJ61" s="12">
        <v>43494</v>
      </c>
      <c r="AK61" s="9">
        <v>2</v>
      </c>
      <c r="AL61" s="12">
        <v>44169</v>
      </c>
      <c r="AM61" s="9">
        <v>2</v>
      </c>
      <c r="AN61" s="12">
        <v>43707</v>
      </c>
      <c r="AO61" s="12">
        <v>44127</v>
      </c>
      <c r="AP61" s="12">
        <v>44194</v>
      </c>
      <c r="AQ61" s="9">
        <v>1</v>
      </c>
      <c r="AR61" s="9">
        <f t="shared" si="4"/>
        <v>1</v>
      </c>
      <c r="AS61" s="9">
        <v>1</v>
      </c>
      <c r="AT61" s="9">
        <v>1</v>
      </c>
      <c r="AU61" s="9">
        <v>2</v>
      </c>
      <c r="AV61" s="9">
        <f t="shared" si="5"/>
        <v>1</v>
      </c>
      <c r="AW61" s="12">
        <v>44659</v>
      </c>
      <c r="AX61" s="9">
        <v>7340</v>
      </c>
      <c r="AY61" s="9">
        <v>5000</v>
      </c>
      <c r="AZ61" s="9">
        <v>1600</v>
      </c>
      <c r="BA61" s="9">
        <v>5000</v>
      </c>
      <c r="BB61" s="9">
        <v>1600.0001220703125</v>
      </c>
      <c r="BC61" s="9">
        <v>294000</v>
      </c>
      <c r="BD61" s="9">
        <v>700</v>
      </c>
      <c r="BE61" s="9">
        <v>0</v>
      </c>
      <c r="BF61" s="9"/>
      <c r="BG61" s="9">
        <v>5520</v>
      </c>
      <c r="BH61" s="9">
        <v>3300</v>
      </c>
      <c r="BI61" s="9">
        <v>1600</v>
      </c>
      <c r="BJ61" s="9">
        <v>306000</v>
      </c>
      <c r="BK61" s="9">
        <v>600</v>
      </c>
      <c r="BL61" s="9">
        <v>100</v>
      </c>
      <c r="BM61" s="9"/>
      <c r="BN61" s="9">
        <v>7170</v>
      </c>
      <c r="BO61" s="9">
        <v>4400</v>
      </c>
      <c r="BP61" s="9">
        <v>2200</v>
      </c>
      <c r="BQ61" s="9">
        <v>308000</v>
      </c>
      <c r="BR61" s="9">
        <v>500</v>
      </c>
      <c r="BS61" s="9">
        <v>100</v>
      </c>
      <c r="BT61" s="9"/>
      <c r="BU61" s="9">
        <v>5780</v>
      </c>
      <c r="BV61" s="9">
        <v>2900</v>
      </c>
      <c r="BW61" s="9">
        <v>2300</v>
      </c>
      <c r="BX61" s="9">
        <v>251000</v>
      </c>
      <c r="BY61" s="9">
        <v>500</v>
      </c>
      <c r="BZ61" s="10" t="s">
        <v>525</v>
      </c>
      <c r="CA61" s="9">
        <v>100</v>
      </c>
      <c r="CB61" s="9"/>
      <c r="CC61" s="10">
        <f t="shared" si="6"/>
        <v>3.1249997615814391</v>
      </c>
      <c r="CD61" s="10">
        <f t="shared" si="7"/>
        <v>183.74998598098861</v>
      </c>
      <c r="CE61" s="10">
        <f t="shared" si="23"/>
        <v>918749.9299049431</v>
      </c>
      <c r="CF61" s="10">
        <f t="shared" si="9"/>
        <v>1</v>
      </c>
      <c r="CG61" s="10">
        <f t="shared" si="0"/>
        <v>1</v>
      </c>
      <c r="CH61" s="10">
        <f t="shared" si="1"/>
        <v>23</v>
      </c>
      <c r="CI61" s="9">
        <f t="shared" si="10"/>
        <v>1</v>
      </c>
      <c r="CJ61" s="10">
        <f t="shared" si="2"/>
        <v>39</v>
      </c>
      <c r="CK61" s="10" t="b">
        <f t="shared" si="11"/>
        <v>1</v>
      </c>
      <c r="CL61" s="10" t="b">
        <f t="shared" si="12"/>
        <v>1</v>
      </c>
      <c r="CM61" s="10" t="b">
        <f t="shared" si="13"/>
        <v>1</v>
      </c>
      <c r="CN61" s="9">
        <f t="shared" si="14"/>
        <v>1</v>
      </c>
      <c r="CO61" s="10">
        <f t="shared" si="24"/>
        <v>21</v>
      </c>
      <c r="CP61" s="10" t="b">
        <f t="shared" si="15"/>
        <v>1</v>
      </c>
      <c r="CQ61" s="10" t="b">
        <f t="shared" si="16"/>
        <v>1</v>
      </c>
      <c r="CR61" s="10" cm="1">
        <f t="array" ref="CR61">_xlfn.IFS(AND($CI61=0, CK61=FALSE), NA(), AND($CI61=1, CK61=FALSE), 0, CK61=TRUE, 1)</f>
        <v>1</v>
      </c>
      <c r="CS61" s="10" cm="1">
        <f t="array" ref="CS61">_xlfn.IFS(AND($CI61=0, CL61=FALSE), NA(), AND($CI61=1, CL61=FALSE), 0, CL61=TRUE, 1)</f>
        <v>1</v>
      </c>
      <c r="CT61" s="10" cm="1">
        <f t="array" ref="CT61">_xlfn.IFS(AND($CI61=0, CM61=FALSE), NA(), AND($CI61=1, CM61=FALSE), 0, CM61=TRUE, 1)</f>
        <v>1</v>
      </c>
      <c r="CU61" s="10" cm="1">
        <f t="array" ref="CU61">_xlfn.IFS(AND($CN61=0, CP61=FALSE), NA(), AND($CN61=1, CP61=FALSE), 0, CP61=TRUE, 1)</f>
        <v>1</v>
      </c>
      <c r="CV61" s="10" cm="1">
        <f t="array" ref="CV61">_xlfn.IFS(AND($CN61=0, CQ61=FALSE), NA(), AND($CN61=1, CQ61=FALSE), 0, CQ61=TRUE, 1)</f>
        <v>1</v>
      </c>
    </row>
    <row r="62" spans="1:100" ht="15.75" x14ac:dyDescent="0.25">
      <c r="A62" s="8">
        <v>61</v>
      </c>
      <c r="B62" s="9">
        <v>184</v>
      </c>
      <c r="C62" s="10" t="s">
        <v>17</v>
      </c>
      <c r="D62" s="11" t="s">
        <v>193</v>
      </c>
      <c r="E62" s="12">
        <v>13742</v>
      </c>
      <c r="F62" s="13">
        <v>2</v>
      </c>
      <c r="G62" s="9">
        <v>67.3292236328125</v>
      </c>
      <c r="H62" s="12">
        <v>38334</v>
      </c>
      <c r="I62" s="9">
        <v>1</v>
      </c>
      <c r="J62" s="12">
        <v>38334</v>
      </c>
      <c r="K62" s="9">
        <v>0</v>
      </c>
      <c r="L62" s="9">
        <v>1</v>
      </c>
      <c r="M62" s="10" t="s">
        <v>401</v>
      </c>
      <c r="N62" s="9">
        <v>2</v>
      </c>
      <c r="O62" s="10" t="s">
        <v>149</v>
      </c>
      <c r="P62" s="9"/>
      <c r="Q62" s="10" t="s">
        <v>401</v>
      </c>
      <c r="R62" s="12">
        <v>40309</v>
      </c>
      <c r="S62" s="10" t="s">
        <v>145</v>
      </c>
      <c r="T62" s="9"/>
      <c r="U62" s="10" t="s">
        <v>401</v>
      </c>
      <c r="V62" s="10" t="s">
        <v>401</v>
      </c>
      <c r="W62" s="9"/>
      <c r="X62" s="9"/>
      <c r="Y62" s="9">
        <v>2</v>
      </c>
      <c r="Z62" s="14">
        <v>1</v>
      </c>
      <c r="AA62" s="17">
        <v>6.7</v>
      </c>
      <c r="AB62" s="18">
        <v>112.8</v>
      </c>
      <c r="AC62" s="18">
        <v>19.8</v>
      </c>
      <c r="AD62" s="9">
        <v>2</v>
      </c>
      <c r="AE62" s="9">
        <v>2</v>
      </c>
      <c r="AF62" s="9">
        <v>1</v>
      </c>
      <c r="AG62" s="9">
        <v>0</v>
      </c>
      <c r="AH62" s="9">
        <v>1</v>
      </c>
      <c r="AI62" s="9">
        <v>0</v>
      </c>
      <c r="AJ62" s="12">
        <v>43032</v>
      </c>
      <c r="AK62" s="9">
        <v>2</v>
      </c>
      <c r="AL62" s="12">
        <v>43375</v>
      </c>
      <c r="AM62" s="9">
        <v>3</v>
      </c>
      <c r="AN62" s="12">
        <v>43143</v>
      </c>
      <c r="AO62" s="12">
        <v>43523</v>
      </c>
      <c r="AP62" s="12">
        <v>43523</v>
      </c>
      <c r="AQ62" s="9">
        <v>1</v>
      </c>
      <c r="AR62" s="9">
        <f t="shared" si="4"/>
        <v>1</v>
      </c>
      <c r="AS62" s="9">
        <v>1</v>
      </c>
      <c r="AT62" s="9">
        <v>2</v>
      </c>
      <c r="AU62" s="9">
        <v>2</v>
      </c>
      <c r="AV62" s="9">
        <f t="shared" si="5"/>
        <v>1</v>
      </c>
      <c r="AW62" s="12">
        <v>43415</v>
      </c>
      <c r="AX62" s="9">
        <v>9580</v>
      </c>
      <c r="AY62" s="9">
        <v>6000</v>
      </c>
      <c r="AZ62" s="9">
        <v>2300</v>
      </c>
      <c r="BA62" s="9">
        <v>6000</v>
      </c>
      <c r="BB62" s="9">
        <v>2300.000244140625</v>
      </c>
      <c r="BC62" s="9">
        <v>215000</v>
      </c>
      <c r="BD62" s="9">
        <v>1000</v>
      </c>
      <c r="BE62" s="9">
        <v>300</v>
      </c>
      <c r="BF62" s="9"/>
      <c r="BG62" s="9">
        <v>9920</v>
      </c>
      <c r="BH62" s="9">
        <v>6400</v>
      </c>
      <c r="BI62" s="9">
        <v>2300</v>
      </c>
      <c r="BJ62" s="9">
        <v>238000</v>
      </c>
      <c r="BK62" s="9">
        <v>800</v>
      </c>
      <c r="BL62" s="9">
        <v>300</v>
      </c>
      <c r="BM62" s="9"/>
      <c r="BN62" s="9">
        <v>8840</v>
      </c>
      <c r="BO62" s="9">
        <v>5500</v>
      </c>
      <c r="BP62" s="9">
        <v>2200</v>
      </c>
      <c r="BQ62" s="9">
        <v>211000</v>
      </c>
      <c r="BR62" s="9">
        <v>800</v>
      </c>
      <c r="BS62" s="9">
        <v>200</v>
      </c>
      <c r="BT62" s="9"/>
      <c r="BU62" s="9">
        <v>9010</v>
      </c>
      <c r="BV62" s="9">
        <v>5800</v>
      </c>
      <c r="BW62" s="9">
        <v>2200</v>
      </c>
      <c r="BX62" s="9">
        <v>208000</v>
      </c>
      <c r="BY62" s="9">
        <v>800</v>
      </c>
      <c r="BZ62" s="10" t="s">
        <v>524</v>
      </c>
      <c r="CA62" s="9">
        <v>200</v>
      </c>
      <c r="CB62" s="9"/>
      <c r="CC62" s="10">
        <f t="shared" si="6"/>
        <v>2.608695375265861</v>
      </c>
      <c r="CD62" s="10">
        <f t="shared" si="7"/>
        <v>93.478250947026694</v>
      </c>
      <c r="CE62" s="10">
        <f t="shared" si="23"/>
        <v>560869.50568216015</v>
      </c>
      <c r="CF62" s="10">
        <f t="shared" si="9"/>
        <v>1</v>
      </c>
      <c r="CG62" s="10">
        <f t="shared" si="0"/>
        <v>0</v>
      </c>
      <c r="CH62" s="10">
        <f t="shared" si="1"/>
        <v>12</v>
      </c>
      <c r="CI62" s="9">
        <f t="shared" si="10"/>
        <v>1</v>
      </c>
      <c r="CJ62" s="10">
        <f t="shared" si="2"/>
        <v>13</v>
      </c>
      <c r="CK62" s="10" t="b">
        <f t="shared" si="11"/>
        <v>1</v>
      </c>
      <c r="CL62" s="10" t="b">
        <f t="shared" si="12"/>
        <v>0</v>
      </c>
      <c r="CM62" s="10" t="b">
        <f t="shared" si="13"/>
        <v>0</v>
      </c>
      <c r="CN62" s="9">
        <f t="shared" si="14"/>
        <v>1</v>
      </c>
      <c r="CO62" s="10">
        <f t="shared" si="24"/>
        <v>16</v>
      </c>
      <c r="CP62" s="10" t="b">
        <f t="shared" si="15"/>
        <v>1</v>
      </c>
      <c r="CQ62" s="10" t="b">
        <f t="shared" si="16"/>
        <v>1</v>
      </c>
      <c r="CR62" s="10" cm="1">
        <f t="array" ref="CR62">_xlfn.IFS(AND($CI62=0, CK62=FALSE), NA(), AND($CI62=1, CK62=FALSE), 0, CK62=TRUE, 1)</f>
        <v>1</v>
      </c>
      <c r="CS62" s="10" cm="1">
        <f t="array" ref="CS62">_xlfn.IFS(AND($CI62=0, CL62=FALSE), NA(), AND($CI62=1, CL62=FALSE), 0, CL62=TRUE, 1)</f>
        <v>0</v>
      </c>
      <c r="CT62" s="10" cm="1">
        <f t="array" ref="CT62">_xlfn.IFS(AND($CI62=0, CM62=FALSE), NA(), AND($CI62=1, CM62=FALSE), 0, CM62=TRUE, 1)</f>
        <v>0</v>
      </c>
      <c r="CU62" s="10" cm="1">
        <f t="array" ref="CU62">_xlfn.IFS(AND($CN62=0, CP62=FALSE), NA(), AND($CN62=1, CP62=FALSE), 0, CP62=TRUE, 1)</f>
        <v>1</v>
      </c>
      <c r="CV62" s="10" cm="1">
        <f t="array" ref="CV62">_xlfn.IFS(AND($CN62=0, CQ62=FALSE), NA(), AND($CN62=1, CQ62=FALSE), 0, CQ62=TRUE, 1)</f>
        <v>1</v>
      </c>
    </row>
    <row r="63" spans="1:100" ht="15.75" x14ac:dyDescent="0.25">
      <c r="A63" s="8">
        <v>62</v>
      </c>
      <c r="B63" s="9">
        <v>135</v>
      </c>
      <c r="C63" s="10" t="s">
        <v>16</v>
      </c>
      <c r="D63" s="11" t="s">
        <v>177</v>
      </c>
      <c r="E63" s="12">
        <v>15171</v>
      </c>
      <c r="F63" s="13">
        <v>1</v>
      </c>
      <c r="G63" s="9">
        <v>63.668720245361328</v>
      </c>
      <c r="H63" s="12">
        <v>38426</v>
      </c>
      <c r="I63" s="9">
        <v>1</v>
      </c>
      <c r="J63" s="12">
        <v>38428</v>
      </c>
      <c r="K63" s="9">
        <v>0</v>
      </c>
      <c r="L63" s="9">
        <v>1</v>
      </c>
      <c r="M63" s="10" t="s">
        <v>401</v>
      </c>
      <c r="N63" s="9"/>
      <c r="O63" s="10" t="s">
        <v>425</v>
      </c>
      <c r="P63" s="9"/>
      <c r="Q63" s="10" t="s">
        <v>425</v>
      </c>
      <c r="R63" s="12">
        <v>42566</v>
      </c>
      <c r="S63" s="10" t="s">
        <v>146</v>
      </c>
      <c r="T63" s="9"/>
      <c r="U63" s="10" t="s">
        <v>401</v>
      </c>
      <c r="V63" s="10" t="s">
        <v>401</v>
      </c>
      <c r="W63" s="9"/>
      <c r="X63" s="9"/>
      <c r="Y63" s="9">
        <v>2</v>
      </c>
      <c r="Z63" s="14">
        <v>2</v>
      </c>
      <c r="AA63" s="15">
        <v>12</v>
      </c>
      <c r="AB63" s="16">
        <v>100</v>
      </c>
      <c r="AC63" s="16">
        <v>14</v>
      </c>
      <c r="AD63" s="9">
        <v>2</v>
      </c>
      <c r="AE63" s="9">
        <v>3</v>
      </c>
      <c r="AF63" s="9">
        <v>1</v>
      </c>
      <c r="AG63" s="9">
        <v>1</v>
      </c>
      <c r="AH63" s="9">
        <v>1</v>
      </c>
      <c r="AI63" s="9">
        <v>0</v>
      </c>
      <c r="AJ63" s="12">
        <v>43273</v>
      </c>
      <c r="AK63" s="9">
        <v>2</v>
      </c>
      <c r="AL63" s="12">
        <v>43355</v>
      </c>
      <c r="AM63" s="9">
        <v>4</v>
      </c>
      <c r="AN63" s="12">
        <v>43363</v>
      </c>
      <c r="AO63" s="12">
        <v>43363</v>
      </c>
      <c r="AP63" s="12">
        <v>43363</v>
      </c>
      <c r="AQ63" s="9">
        <v>1</v>
      </c>
      <c r="AR63" s="9">
        <f t="shared" si="4"/>
        <v>1</v>
      </c>
      <c r="AS63" s="9">
        <v>1</v>
      </c>
      <c r="AT63" s="9">
        <v>2</v>
      </c>
      <c r="AU63" s="9">
        <v>2</v>
      </c>
      <c r="AV63" s="9">
        <f t="shared" si="5"/>
        <v>1</v>
      </c>
      <c r="AW63" s="12">
        <v>43653</v>
      </c>
      <c r="AX63" s="9">
        <v>2800</v>
      </c>
      <c r="AY63" s="9">
        <v>1500</v>
      </c>
      <c r="AZ63" s="9"/>
      <c r="BA63" s="9">
        <v>1500</v>
      </c>
      <c r="BB63" s="9">
        <v>968.79388427734375</v>
      </c>
      <c r="BC63" s="9">
        <v>155000</v>
      </c>
      <c r="BD63" s="9"/>
      <c r="BE63" s="9"/>
      <c r="BF63" s="9"/>
      <c r="BG63" s="9">
        <v>4530</v>
      </c>
      <c r="BH63" s="9">
        <v>3000</v>
      </c>
      <c r="BI63" s="9"/>
      <c r="BJ63" s="9">
        <v>172000</v>
      </c>
      <c r="BK63" s="9"/>
      <c r="BL63" s="9"/>
      <c r="BM63" s="9">
        <v>214</v>
      </c>
      <c r="BN63" s="9"/>
      <c r="BO63" s="9">
        <v>2800</v>
      </c>
      <c r="BP63" s="9"/>
      <c r="BQ63" s="9">
        <v>144000</v>
      </c>
      <c r="BR63" s="9"/>
      <c r="BS63" s="9"/>
      <c r="BT63" s="9"/>
      <c r="BU63" s="9">
        <v>4200</v>
      </c>
      <c r="BV63" s="9">
        <v>2600</v>
      </c>
      <c r="BW63" s="9"/>
      <c r="BX63" s="9">
        <v>162000</v>
      </c>
      <c r="BY63" s="9"/>
      <c r="BZ63" s="10" t="s">
        <v>401</v>
      </c>
      <c r="CA63" s="9"/>
      <c r="CB63" s="9"/>
      <c r="CC63" s="10">
        <f t="shared" si="6"/>
        <v>1.5483169581720686</v>
      </c>
      <c r="CD63" s="10">
        <f t="shared" si="7"/>
        <v>159.9927523444471</v>
      </c>
      <c r="CE63" s="10">
        <f t="shared" si="23"/>
        <v>239989.12851667064</v>
      </c>
      <c r="CF63" s="10">
        <f t="shared" si="9"/>
        <v>0</v>
      </c>
      <c r="CG63" s="10">
        <f t="shared" si="0"/>
        <v>0</v>
      </c>
      <c r="CH63" s="10">
        <f t="shared" si="1"/>
        <v>3</v>
      </c>
      <c r="CI63" s="9">
        <f t="shared" si="10"/>
        <v>1</v>
      </c>
      <c r="CJ63" s="10">
        <f t="shared" si="2"/>
        <v>13</v>
      </c>
      <c r="CK63" s="10" t="b">
        <f t="shared" si="11"/>
        <v>1</v>
      </c>
      <c r="CL63" s="10" t="b">
        <f t="shared" si="12"/>
        <v>0</v>
      </c>
      <c r="CM63" s="10" t="b">
        <f t="shared" si="13"/>
        <v>0</v>
      </c>
      <c r="CN63" s="9">
        <f t="shared" si="14"/>
        <v>1</v>
      </c>
      <c r="CO63" s="10">
        <f t="shared" si="24"/>
        <v>3</v>
      </c>
      <c r="CP63" s="10" t="b">
        <f t="shared" si="15"/>
        <v>1</v>
      </c>
      <c r="CQ63" s="10" t="b">
        <f t="shared" si="16"/>
        <v>0</v>
      </c>
      <c r="CR63" s="10" cm="1">
        <f t="array" ref="CR63">_xlfn.IFS(AND($CI63=0, CK63=FALSE), NA(), AND($CI63=1, CK63=FALSE), 0, CK63=TRUE, 1)</f>
        <v>1</v>
      </c>
      <c r="CS63" s="10" cm="1">
        <f t="array" ref="CS63">_xlfn.IFS(AND($CI63=0, CL63=FALSE), NA(), AND($CI63=1, CL63=FALSE), 0, CL63=TRUE, 1)</f>
        <v>0</v>
      </c>
      <c r="CT63" s="10" cm="1">
        <f t="array" ref="CT63">_xlfn.IFS(AND($CI63=0, CM63=FALSE), NA(), AND($CI63=1, CM63=FALSE), 0, CM63=TRUE, 1)</f>
        <v>0</v>
      </c>
      <c r="CU63" s="10" cm="1">
        <f t="array" ref="CU63">_xlfn.IFS(AND($CN63=0, CP63=FALSE), NA(), AND($CN63=1, CP63=FALSE), 0, CP63=TRUE, 1)</f>
        <v>1</v>
      </c>
      <c r="CV63" s="10" cm="1">
        <f t="array" ref="CV63">_xlfn.IFS(AND($CN63=0, CQ63=FALSE), NA(), AND($CN63=1, CQ63=FALSE), 0, CQ63=TRUE, 1)</f>
        <v>0</v>
      </c>
    </row>
    <row r="64" spans="1:100" ht="15.75" x14ac:dyDescent="0.25">
      <c r="A64" s="8">
        <v>63</v>
      </c>
      <c r="B64" s="9">
        <v>432</v>
      </c>
      <c r="C64" s="10" t="s">
        <v>29</v>
      </c>
      <c r="D64" s="11" t="s">
        <v>343</v>
      </c>
      <c r="E64" s="12">
        <v>14450</v>
      </c>
      <c r="F64" s="13">
        <v>1</v>
      </c>
      <c r="G64" s="9">
        <v>65.650924682617188</v>
      </c>
      <c r="H64" s="12">
        <v>38429</v>
      </c>
      <c r="I64" s="9">
        <v>1</v>
      </c>
      <c r="J64" s="12">
        <v>38429</v>
      </c>
      <c r="K64" s="9">
        <v>0</v>
      </c>
      <c r="L64" s="9">
        <v>1</v>
      </c>
      <c r="M64" s="10" t="s">
        <v>401</v>
      </c>
      <c r="N64" s="9">
        <v>1</v>
      </c>
      <c r="O64" s="10" t="s">
        <v>401</v>
      </c>
      <c r="P64" s="9">
        <v>1</v>
      </c>
      <c r="Q64" s="10" t="s">
        <v>401</v>
      </c>
      <c r="R64" s="12">
        <v>39498</v>
      </c>
      <c r="S64" s="10" t="s">
        <v>145</v>
      </c>
      <c r="T64" s="9"/>
      <c r="U64" s="10" t="s">
        <v>401</v>
      </c>
      <c r="V64" s="10" t="s">
        <v>401</v>
      </c>
      <c r="W64" s="9"/>
      <c r="X64" s="9"/>
      <c r="Y64" s="9">
        <v>2</v>
      </c>
      <c r="Z64" s="14">
        <v>1</v>
      </c>
      <c r="AA64" s="17">
        <v>9.8000000000000007</v>
      </c>
      <c r="AB64" s="18">
        <v>85</v>
      </c>
      <c r="AC64" s="18"/>
      <c r="AD64" s="9">
        <v>2</v>
      </c>
      <c r="AE64" s="9">
        <v>2</v>
      </c>
      <c r="AF64" s="9">
        <v>1</v>
      </c>
      <c r="AG64" s="9">
        <v>1</v>
      </c>
      <c r="AH64" s="9">
        <v>1</v>
      </c>
      <c r="AI64" s="9">
        <v>0</v>
      </c>
      <c r="AJ64" s="12">
        <v>42466</v>
      </c>
      <c r="AK64" s="9">
        <v>2</v>
      </c>
      <c r="AL64" s="12">
        <v>43047</v>
      </c>
      <c r="AM64" s="9">
        <v>2</v>
      </c>
      <c r="AN64" s="12">
        <v>42809</v>
      </c>
      <c r="AO64" s="12">
        <v>43061</v>
      </c>
      <c r="AP64" s="12">
        <v>43061</v>
      </c>
      <c r="AQ64" s="9">
        <v>1</v>
      </c>
      <c r="AR64" s="9">
        <f t="shared" si="4"/>
        <v>1</v>
      </c>
      <c r="AS64" s="9">
        <v>1</v>
      </c>
      <c r="AT64" s="9">
        <v>2</v>
      </c>
      <c r="AU64" s="9">
        <v>2</v>
      </c>
      <c r="AV64" s="9">
        <f t="shared" si="5"/>
        <v>1</v>
      </c>
      <c r="AW64" s="12">
        <v>43099</v>
      </c>
      <c r="AX64" s="9">
        <v>7810</v>
      </c>
      <c r="AY64" s="9">
        <v>5430</v>
      </c>
      <c r="AZ64" s="9">
        <v>1980</v>
      </c>
      <c r="BA64" s="9">
        <v>5430</v>
      </c>
      <c r="BB64" s="9">
        <v>1980.000244140625</v>
      </c>
      <c r="BC64" s="9">
        <v>351000</v>
      </c>
      <c r="BD64" s="9">
        <v>330</v>
      </c>
      <c r="BE64" s="9">
        <v>20</v>
      </c>
      <c r="BF64" s="9"/>
      <c r="BG64" s="9">
        <v>12320</v>
      </c>
      <c r="BH64" s="9">
        <v>8940</v>
      </c>
      <c r="BI64" s="9">
        <v>2210</v>
      </c>
      <c r="BJ64" s="9">
        <v>558000</v>
      </c>
      <c r="BK64" s="9">
        <v>1050</v>
      </c>
      <c r="BL64" s="9">
        <v>30</v>
      </c>
      <c r="BM64" s="9"/>
      <c r="BN64" s="9">
        <v>12590</v>
      </c>
      <c r="BO64" s="9">
        <v>9120</v>
      </c>
      <c r="BP64" s="9">
        <v>2140</v>
      </c>
      <c r="BQ64" s="9">
        <v>762000</v>
      </c>
      <c r="BR64" s="9">
        <v>1210</v>
      </c>
      <c r="BS64" s="9">
        <v>50</v>
      </c>
      <c r="BT64" s="9"/>
      <c r="BU64" s="9">
        <v>11870</v>
      </c>
      <c r="BV64" s="9">
        <v>8247</v>
      </c>
      <c r="BW64" s="9">
        <v>2017</v>
      </c>
      <c r="BX64" s="9">
        <v>588000</v>
      </c>
      <c r="BY64" s="9">
        <v>1500</v>
      </c>
      <c r="BZ64" s="10" t="s">
        <v>544</v>
      </c>
      <c r="CA64" s="9">
        <v>60</v>
      </c>
      <c r="CB64" s="9"/>
      <c r="CC64" s="10">
        <f t="shared" si="6"/>
        <v>2.7424239042741991</v>
      </c>
      <c r="CD64" s="10">
        <f t="shared" si="7"/>
        <v>177.27270541440956</v>
      </c>
      <c r="CE64" s="10">
        <f t="shared" si="23"/>
        <v>962590.79040024395</v>
      </c>
      <c r="CF64" s="10">
        <f t="shared" si="9"/>
        <v>1</v>
      </c>
      <c r="CG64" s="10">
        <f t="shared" si="0"/>
        <v>1</v>
      </c>
      <c r="CH64" s="10">
        <f t="shared" si="1"/>
        <v>19</v>
      </c>
      <c r="CI64" s="9">
        <f t="shared" si="10"/>
        <v>1</v>
      </c>
      <c r="CJ64" s="10">
        <f t="shared" si="2"/>
        <v>20</v>
      </c>
      <c r="CK64" s="10" t="b">
        <f t="shared" si="11"/>
        <v>1</v>
      </c>
      <c r="CL64" s="10" t="b">
        <f t="shared" si="12"/>
        <v>1</v>
      </c>
      <c r="CM64" s="10" t="b">
        <f t="shared" si="13"/>
        <v>0</v>
      </c>
      <c r="CN64" s="9">
        <f t="shared" si="14"/>
        <v>1</v>
      </c>
      <c r="CO64" s="10">
        <f t="shared" si="24"/>
        <v>19</v>
      </c>
      <c r="CP64" s="10" t="b">
        <f t="shared" si="15"/>
        <v>1</v>
      </c>
      <c r="CQ64" s="10" t="b">
        <f t="shared" si="16"/>
        <v>1</v>
      </c>
      <c r="CR64" s="10" cm="1">
        <f t="array" ref="CR64">_xlfn.IFS(AND($CI64=0, CK64=FALSE), NA(), AND($CI64=1, CK64=FALSE), 0, CK64=TRUE, 1)</f>
        <v>1</v>
      </c>
      <c r="CS64" s="10" cm="1">
        <f t="array" ref="CS64">_xlfn.IFS(AND($CI64=0, CL64=FALSE), NA(), AND($CI64=1, CL64=FALSE), 0, CL64=TRUE, 1)</f>
        <v>1</v>
      </c>
      <c r="CT64" s="10" cm="1">
        <f t="array" ref="CT64">_xlfn.IFS(AND($CI64=0, CM64=FALSE), NA(), AND($CI64=1, CM64=FALSE), 0, CM64=TRUE, 1)</f>
        <v>0</v>
      </c>
      <c r="CU64" s="10" cm="1">
        <f t="array" ref="CU64">_xlfn.IFS(AND($CN64=0, CP64=FALSE), NA(), AND($CN64=1, CP64=FALSE), 0, CP64=TRUE, 1)</f>
        <v>1</v>
      </c>
      <c r="CV64" s="10" cm="1">
        <f t="array" ref="CV64">_xlfn.IFS(AND($CN64=0, CQ64=FALSE), NA(), AND($CN64=1, CQ64=FALSE), 0, CQ64=TRUE, 1)</f>
        <v>1</v>
      </c>
    </row>
    <row r="65" spans="1:100" ht="15.75" x14ac:dyDescent="0.25">
      <c r="A65" s="8">
        <v>64</v>
      </c>
      <c r="B65" s="9">
        <v>522</v>
      </c>
      <c r="C65" s="10" t="s">
        <v>33</v>
      </c>
      <c r="D65" s="11" t="s">
        <v>93</v>
      </c>
      <c r="E65" s="12">
        <v>17140</v>
      </c>
      <c r="F65" s="13">
        <v>1</v>
      </c>
      <c r="G65" s="9">
        <v>58.403831481933594</v>
      </c>
      <c r="H65" s="12">
        <v>38472</v>
      </c>
      <c r="I65" s="9">
        <v>1</v>
      </c>
      <c r="J65" s="12">
        <v>38488</v>
      </c>
      <c r="K65" s="9">
        <v>1</v>
      </c>
      <c r="L65" s="9">
        <v>1</v>
      </c>
      <c r="M65" s="10" t="s">
        <v>401</v>
      </c>
      <c r="N65" s="9">
        <v>1</v>
      </c>
      <c r="O65" s="10" t="s">
        <v>401</v>
      </c>
      <c r="P65" s="9">
        <v>1</v>
      </c>
      <c r="Q65" s="10" t="s">
        <v>401</v>
      </c>
      <c r="R65" s="12">
        <v>42521</v>
      </c>
      <c r="S65" s="10" t="s">
        <v>145</v>
      </c>
      <c r="T65" s="9"/>
      <c r="U65" s="10" t="s">
        <v>401</v>
      </c>
      <c r="V65" s="10" t="s">
        <v>401</v>
      </c>
      <c r="W65" s="9"/>
      <c r="X65" s="9"/>
      <c r="Y65" s="9">
        <v>2</v>
      </c>
      <c r="Z65" s="14">
        <v>1</v>
      </c>
      <c r="AA65" s="15">
        <v>14.1</v>
      </c>
      <c r="AB65" s="16">
        <v>96</v>
      </c>
      <c r="AC65" s="16">
        <v>13</v>
      </c>
      <c r="AD65" s="9">
        <v>1</v>
      </c>
      <c r="AE65" s="9">
        <v>1</v>
      </c>
      <c r="AF65" s="9">
        <v>1</v>
      </c>
      <c r="AG65" s="9">
        <v>0</v>
      </c>
      <c r="AH65" s="9">
        <v>1</v>
      </c>
      <c r="AI65" s="9">
        <v>0</v>
      </c>
      <c r="AJ65" s="12">
        <v>43054</v>
      </c>
      <c r="AK65" s="9">
        <v>2</v>
      </c>
      <c r="AL65" s="12">
        <v>43347</v>
      </c>
      <c r="AM65" s="9">
        <v>2</v>
      </c>
      <c r="AN65" s="12">
        <v>43238</v>
      </c>
      <c r="AO65" s="12">
        <v>43362</v>
      </c>
      <c r="AP65" s="12">
        <v>43362</v>
      </c>
      <c r="AQ65" s="9">
        <v>1</v>
      </c>
      <c r="AR65" s="9">
        <f t="shared" si="4"/>
        <v>1</v>
      </c>
      <c r="AS65" s="9">
        <v>1</v>
      </c>
      <c r="AT65" s="9">
        <v>2</v>
      </c>
      <c r="AU65" s="9">
        <v>1</v>
      </c>
      <c r="AV65" s="9">
        <f t="shared" si="5"/>
        <v>0</v>
      </c>
      <c r="AW65" s="12">
        <v>43860</v>
      </c>
      <c r="AX65" s="9"/>
      <c r="AY65" s="9"/>
      <c r="AZ65" s="9"/>
      <c r="BA65" s="9">
        <v>3273.531982421875</v>
      </c>
      <c r="BB65" s="9">
        <v>1571.8045654296875</v>
      </c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>
        <v>8500</v>
      </c>
      <c r="BO65" s="9">
        <v>5600</v>
      </c>
      <c r="BP65" s="9">
        <v>1500</v>
      </c>
      <c r="BQ65" s="9">
        <v>210000</v>
      </c>
      <c r="BR65" s="9">
        <v>700</v>
      </c>
      <c r="BS65" s="9">
        <v>700</v>
      </c>
      <c r="BT65" s="9"/>
      <c r="BU65" s="9"/>
      <c r="BV65" s="9"/>
      <c r="BW65" s="9"/>
      <c r="BX65" s="9"/>
      <c r="BY65" s="9"/>
      <c r="BZ65" s="10" t="s">
        <v>401</v>
      </c>
      <c r="CA65" s="9"/>
      <c r="CB65" s="9"/>
      <c r="CC65" s="10">
        <f t="shared" si="6"/>
        <v>2.0826584006816287</v>
      </c>
      <c r="CF65" s="10">
        <f t="shared" si="9"/>
        <v>1</v>
      </c>
      <c r="CG65" s="10">
        <f t="shared" si="0"/>
        <v>1</v>
      </c>
      <c r="CH65" s="10">
        <f t="shared" si="1"/>
        <v>10</v>
      </c>
      <c r="CI65" s="9">
        <f t="shared" si="10"/>
        <v>0</v>
      </c>
      <c r="CJ65" s="10">
        <f t="shared" si="2"/>
        <v>26</v>
      </c>
      <c r="CK65" s="10" t="b">
        <f t="shared" si="11"/>
        <v>1</v>
      </c>
      <c r="CL65" s="10" t="b">
        <f t="shared" si="12"/>
        <v>1</v>
      </c>
      <c r="CM65" s="10" t="b">
        <f t="shared" si="13"/>
        <v>1</v>
      </c>
      <c r="CN65" s="9">
        <f t="shared" si="14"/>
        <v>1</v>
      </c>
      <c r="CO65" s="10">
        <f t="shared" si="24"/>
        <v>10</v>
      </c>
      <c r="CP65" s="10" t="b">
        <f t="shared" si="15"/>
        <v>1</v>
      </c>
      <c r="CQ65" s="10" t="b">
        <f t="shared" si="16"/>
        <v>1</v>
      </c>
      <c r="CR65" s="10" cm="1">
        <f t="array" ref="CR65">_xlfn.IFS(AND($CI65=0, CK65=FALSE), NA(), AND($CI65=1, CK65=FALSE), 0, CK65=TRUE, 1)</f>
        <v>1</v>
      </c>
      <c r="CS65" s="10" cm="1">
        <f t="array" ref="CS65">_xlfn.IFS(AND($CI65=0, CL65=FALSE), NA(), AND($CI65=1, CL65=FALSE), 0, CL65=TRUE, 1)</f>
        <v>1</v>
      </c>
      <c r="CT65" s="10" cm="1">
        <f t="array" ref="CT65">_xlfn.IFS(AND($CI65=0, CM65=FALSE), NA(), AND($CI65=1, CM65=FALSE), 0, CM65=TRUE, 1)</f>
        <v>1</v>
      </c>
      <c r="CU65" s="10" cm="1">
        <f t="array" ref="CU65">_xlfn.IFS(AND($CN65=0, CP65=FALSE), NA(), AND($CN65=1, CP65=FALSE), 0, CP65=TRUE, 1)</f>
        <v>1</v>
      </c>
      <c r="CV65" s="10" cm="1">
        <f t="array" ref="CV65">_xlfn.IFS(AND($CN65=0, CQ65=FALSE), NA(), AND($CN65=1, CQ65=FALSE), 0, CQ65=TRUE, 1)</f>
        <v>1</v>
      </c>
    </row>
    <row r="66" spans="1:100" ht="15.75" x14ac:dyDescent="0.25">
      <c r="A66" s="8">
        <v>65</v>
      </c>
      <c r="B66" s="9">
        <v>241</v>
      </c>
      <c r="C66" s="10" t="s">
        <v>20</v>
      </c>
      <c r="D66" s="11" t="s">
        <v>233</v>
      </c>
      <c r="E66" s="12">
        <v>20154</v>
      </c>
      <c r="F66" s="13">
        <v>1</v>
      </c>
      <c r="G66" s="9">
        <v>50.195755004882813</v>
      </c>
      <c r="H66" s="12">
        <v>38488</v>
      </c>
      <c r="I66" s="9">
        <v>1</v>
      </c>
      <c r="J66" s="12">
        <v>38488</v>
      </c>
      <c r="K66" s="9">
        <v>0</v>
      </c>
      <c r="L66" s="9">
        <v>1</v>
      </c>
      <c r="M66" s="10" t="s">
        <v>401</v>
      </c>
      <c r="N66" s="9">
        <v>1</v>
      </c>
      <c r="O66" s="10" t="s">
        <v>401</v>
      </c>
      <c r="P66" s="9">
        <v>1</v>
      </c>
      <c r="Q66" s="10" t="s">
        <v>401</v>
      </c>
      <c r="R66" s="12">
        <v>42263</v>
      </c>
      <c r="S66" s="10" t="s">
        <v>145</v>
      </c>
      <c r="T66" s="9"/>
      <c r="U66" s="10" t="s">
        <v>401</v>
      </c>
      <c r="V66" s="10" t="s">
        <v>401</v>
      </c>
      <c r="W66" s="9"/>
      <c r="X66" s="9"/>
      <c r="Y66" s="9">
        <v>2</v>
      </c>
      <c r="Z66" s="14">
        <v>1</v>
      </c>
      <c r="AB66" s="9"/>
      <c r="AC66" s="9"/>
      <c r="AD66" s="9">
        <v>2</v>
      </c>
      <c r="AE66" s="9">
        <v>2</v>
      </c>
      <c r="AF66" s="9">
        <v>2</v>
      </c>
      <c r="AG66" s="9">
        <v>1</v>
      </c>
      <c r="AH66" s="9">
        <v>0</v>
      </c>
      <c r="AI66" s="9">
        <v>1</v>
      </c>
      <c r="AJ66" s="12">
        <v>42818</v>
      </c>
      <c r="AK66" s="9">
        <v>2</v>
      </c>
      <c r="AL66" s="12">
        <v>43081</v>
      </c>
      <c r="AM66" s="9">
        <v>3</v>
      </c>
      <c r="AN66" s="12">
        <v>42920</v>
      </c>
      <c r="AO66" s="12">
        <v>43172</v>
      </c>
      <c r="AP66" s="12">
        <v>43172</v>
      </c>
      <c r="AQ66" s="9">
        <v>1</v>
      </c>
      <c r="AR66" s="9">
        <f t="shared" si="4"/>
        <v>1</v>
      </c>
      <c r="AS66" s="9">
        <v>1</v>
      </c>
      <c r="AT66" s="9">
        <v>2</v>
      </c>
      <c r="AU66" s="9">
        <v>2</v>
      </c>
      <c r="AV66" s="9">
        <f t="shared" si="5"/>
        <v>1</v>
      </c>
      <c r="AW66" s="12">
        <v>43549</v>
      </c>
      <c r="AX66" s="9">
        <v>5390</v>
      </c>
      <c r="AY66" s="9">
        <v>1239</v>
      </c>
      <c r="AZ66" s="9"/>
      <c r="BA66" s="9">
        <v>1239</v>
      </c>
      <c r="BB66" s="9">
        <v>2240.8095703125</v>
      </c>
      <c r="BC66" s="9">
        <v>106000</v>
      </c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>
        <v>7400</v>
      </c>
      <c r="BO66" s="9">
        <v>4958</v>
      </c>
      <c r="BP66" s="9"/>
      <c r="BQ66" s="9">
        <v>182000</v>
      </c>
      <c r="BR66" s="9"/>
      <c r="BS66" s="9"/>
      <c r="BT66" s="9"/>
      <c r="BU66" s="9"/>
      <c r="BV66" s="9"/>
      <c r="BW66" s="9"/>
      <c r="BX66" s="9"/>
      <c r="BY66" s="9"/>
      <c r="BZ66" s="10" t="s">
        <v>401</v>
      </c>
      <c r="CA66" s="9"/>
      <c r="CB66" s="9"/>
      <c r="CC66" s="10">
        <f t="shared" si="6"/>
        <v>0.55292516437584249</v>
      </c>
      <c r="CD66" s="10">
        <f t="shared" si="7"/>
        <v>47.30433206121009</v>
      </c>
      <c r="CE66" s="10">
        <f t="shared" ref="CE66:CE86" si="25">BC66*CC66</f>
        <v>58610.067423839304</v>
      </c>
      <c r="CF66" s="10">
        <f t="shared" ref="CF66:CF129" si="26">IF(AM66=4, 0,1)</f>
        <v>1</v>
      </c>
      <c r="CG66" s="10">
        <f t="shared" ref="CG66:CG129" si="27">IF(OR(AM66=4,AM66=3), 0,1)</f>
        <v>0</v>
      </c>
      <c r="CH66" s="10">
        <f t="shared" ref="CH66:CH129" si="28">(YEAR(AL66)-YEAR(AJ66))*12+MONTH(AL66)-MONTH(AJ66)</f>
        <v>9</v>
      </c>
      <c r="CI66" s="9">
        <f t="shared" si="10"/>
        <v>1</v>
      </c>
      <c r="CJ66" s="10">
        <f t="shared" ref="CJ66:CJ129" si="29">(YEAR(AW66)-YEAR(AJ66))*12+MONTH(AW66)-MONTH(AJ66)</f>
        <v>24</v>
      </c>
      <c r="CK66" s="10" t="b">
        <f t="shared" si="11"/>
        <v>1</v>
      </c>
      <c r="CL66" s="10" t="b">
        <f t="shared" si="12"/>
        <v>1</v>
      </c>
      <c r="CM66" s="10" t="b">
        <f t="shared" si="13"/>
        <v>1</v>
      </c>
      <c r="CN66" s="9">
        <f t="shared" si="14"/>
        <v>1</v>
      </c>
      <c r="CO66" s="10">
        <f t="shared" si="24"/>
        <v>12</v>
      </c>
      <c r="CP66" s="10" t="b">
        <f t="shared" si="15"/>
        <v>1</v>
      </c>
      <c r="CQ66" s="10" t="b">
        <f t="shared" si="16"/>
        <v>1</v>
      </c>
      <c r="CR66" s="10" cm="1">
        <f t="array" ref="CR66">_xlfn.IFS(AND($CI66=0, CK66=FALSE), NA(), AND($CI66=1, CK66=FALSE), 0, CK66=TRUE, 1)</f>
        <v>1</v>
      </c>
      <c r="CS66" s="10" cm="1">
        <f t="array" ref="CS66">_xlfn.IFS(AND($CI66=0, CL66=FALSE), NA(), AND($CI66=1, CL66=FALSE), 0, CL66=TRUE, 1)</f>
        <v>1</v>
      </c>
      <c r="CT66" s="10" cm="1">
        <f t="array" ref="CT66">_xlfn.IFS(AND($CI66=0, CM66=FALSE), NA(), AND($CI66=1, CM66=FALSE), 0, CM66=TRUE, 1)</f>
        <v>1</v>
      </c>
      <c r="CU66" s="10" cm="1">
        <f t="array" ref="CU66">_xlfn.IFS(AND($CN66=0, CP66=FALSE), NA(), AND($CN66=1, CP66=FALSE), 0, CP66=TRUE, 1)</f>
        <v>1</v>
      </c>
      <c r="CV66" s="10" cm="1">
        <f t="array" ref="CV66">_xlfn.IFS(AND($CN66=0, CQ66=FALSE), NA(), AND($CN66=1, CQ66=FALSE), 0, CQ66=TRUE, 1)</f>
        <v>1</v>
      </c>
    </row>
    <row r="67" spans="1:100" ht="15.75" x14ac:dyDescent="0.25">
      <c r="A67" s="8">
        <v>66</v>
      </c>
      <c r="B67" s="9">
        <v>559</v>
      </c>
      <c r="C67" s="10" t="s">
        <v>35</v>
      </c>
      <c r="D67" s="11" t="s">
        <v>141</v>
      </c>
      <c r="E67" s="12">
        <v>13324</v>
      </c>
      <c r="F67" s="13">
        <v>1</v>
      </c>
      <c r="G67" s="9">
        <v>69.106094360351563</v>
      </c>
      <c r="H67" s="12">
        <v>38565</v>
      </c>
      <c r="I67" s="9">
        <v>1</v>
      </c>
      <c r="J67" s="12">
        <v>38565</v>
      </c>
      <c r="K67" s="9">
        <v>0</v>
      </c>
      <c r="L67" s="9">
        <v>1</v>
      </c>
      <c r="M67" s="10" t="s">
        <v>401</v>
      </c>
      <c r="N67" s="9">
        <v>1</v>
      </c>
      <c r="O67" s="10" t="s">
        <v>401</v>
      </c>
      <c r="P67" s="9">
        <v>1</v>
      </c>
      <c r="Q67" s="10" t="s">
        <v>401</v>
      </c>
      <c r="R67" s="12">
        <v>39814</v>
      </c>
      <c r="S67" s="10" t="s">
        <v>145</v>
      </c>
      <c r="T67" s="9">
        <v>5</v>
      </c>
      <c r="U67" s="10" t="s">
        <v>401</v>
      </c>
      <c r="V67" s="10" t="s">
        <v>401</v>
      </c>
      <c r="W67" s="9"/>
      <c r="X67" s="9"/>
      <c r="Y67" s="9">
        <v>3</v>
      </c>
      <c r="Z67" s="14">
        <v>1</v>
      </c>
      <c r="AA67" s="17">
        <v>13</v>
      </c>
      <c r="AB67" s="18">
        <v>92</v>
      </c>
      <c r="AC67" s="9"/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9">
        <v>1</v>
      </c>
      <c r="AJ67" s="12">
        <v>43333</v>
      </c>
      <c r="AK67" s="9">
        <v>2</v>
      </c>
      <c r="AL67" s="12">
        <v>43697</v>
      </c>
      <c r="AM67" s="9">
        <v>3</v>
      </c>
      <c r="AN67" s="12">
        <v>43395</v>
      </c>
      <c r="AO67" s="12">
        <v>43703</v>
      </c>
      <c r="AP67" s="12">
        <v>43703</v>
      </c>
      <c r="AQ67" s="9">
        <v>1</v>
      </c>
      <c r="AR67" s="9">
        <f t="shared" ref="AR67:AR130" si="30">IF(AQ67=1,1,0)</f>
        <v>1</v>
      </c>
      <c r="AS67" s="9">
        <v>1</v>
      </c>
      <c r="AT67" s="9">
        <v>2</v>
      </c>
      <c r="AU67" s="9">
        <v>2</v>
      </c>
      <c r="AV67" s="9">
        <f t="shared" ref="AV67:AV130" si="31">IF(AU67=2,1,0)</f>
        <v>1</v>
      </c>
      <c r="AW67" s="12">
        <v>44513</v>
      </c>
      <c r="AX67" s="9">
        <v>6900</v>
      </c>
      <c r="AY67" s="9">
        <v>4640</v>
      </c>
      <c r="AZ67" s="9">
        <v>1410</v>
      </c>
      <c r="BA67" s="9">
        <v>4640</v>
      </c>
      <c r="BB67" s="9">
        <v>1410.000244140625</v>
      </c>
      <c r="BC67" s="9">
        <v>229000</v>
      </c>
      <c r="BD67" s="9">
        <v>600</v>
      </c>
      <c r="BE67" s="9">
        <v>200</v>
      </c>
      <c r="BF67" s="9"/>
      <c r="BG67" s="9">
        <v>8800</v>
      </c>
      <c r="BH67" s="9">
        <v>6000</v>
      </c>
      <c r="BI67" s="9">
        <v>1460</v>
      </c>
      <c r="BJ67" s="9">
        <v>240000</v>
      </c>
      <c r="BK67" s="9">
        <v>670</v>
      </c>
      <c r="BL67" s="9">
        <v>610</v>
      </c>
      <c r="BM67" s="9"/>
      <c r="BN67" s="9"/>
      <c r="BO67" s="9"/>
      <c r="BP67" s="9"/>
      <c r="BQ67" s="9"/>
      <c r="BR67" s="9"/>
      <c r="BS67" s="9"/>
      <c r="BT67" s="9"/>
      <c r="BU67" s="9">
        <v>7800</v>
      </c>
      <c r="BV67" s="9">
        <v>5260</v>
      </c>
      <c r="BW67" s="9">
        <v>1500</v>
      </c>
      <c r="BX67" s="9">
        <v>217000</v>
      </c>
      <c r="BY67" s="9">
        <v>660</v>
      </c>
      <c r="BZ67" s="10" t="s">
        <v>545</v>
      </c>
      <c r="CA67" s="9">
        <v>370</v>
      </c>
      <c r="CB67" s="9"/>
      <c r="CC67" s="10">
        <f t="shared" ref="CC67:CC130" si="32">BA67/BB67</f>
        <v>3.2907795720475308</v>
      </c>
      <c r="CD67" s="10">
        <f t="shared" ref="CD67:CD130" si="33">BC67/BB67</f>
        <v>162.41131939631134</v>
      </c>
      <c r="CE67" s="10">
        <f t="shared" si="25"/>
        <v>753588.52199888451</v>
      </c>
      <c r="CF67" s="10">
        <f t="shared" si="26"/>
        <v>1</v>
      </c>
      <c r="CG67" s="10">
        <f t="shared" si="27"/>
        <v>0</v>
      </c>
      <c r="CH67" s="10">
        <f t="shared" si="28"/>
        <v>12</v>
      </c>
      <c r="CI67" s="9">
        <f t="shared" ref="CI67:CI130" si="34">AV67</f>
        <v>1</v>
      </c>
      <c r="CJ67" s="10">
        <f t="shared" si="29"/>
        <v>39</v>
      </c>
      <c r="CK67" s="10" t="b">
        <f t="shared" ref="CK67:CK130" si="35">IF(CJ67&gt;=6, TRUE, FALSE)</f>
        <v>1</v>
      </c>
      <c r="CL67" s="10" t="b">
        <f t="shared" ref="CL67:CL130" si="36">IF(CJ67&gt;=18, TRUE, FALSE)</f>
        <v>1</v>
      </c>
      <c r="CM67" s="10" t="b">
        <f t="shared" ref="CM67:CM130" si="37">IF(CJ67&gt;=24, TRUE, FALSE)</f>
        <v>1</v>
      </c>
      <c r="CN67" s="9">
        <f t="shared" ref="CN67:CN130" si="38">AR67</f>
        <v>1</v>
      </c>
      <c r="CO67" s="10">
        <f t="shared" si="24"/>
        <v>12</v>
      </c>
      <c r="CP67" s="10" t="b">
        <f t="shared" ref="CP67:CP130" si="39">IF(CO67&gt;=3, TRUE, FALSE)</f>
        <v>1</v>
      </c>
      <c r="CQ67" s="10" t="b">
        <f t="shared" ref="CQ67:CQ130" si="40">IF(CO67&gt;=9, TRUE, FALSE)</f>
        <v>1</v>
      </c>
      <c r="CR67" s="10" cm="1">
        <f t="array" ref="CR67">_xlfn.IFS(AND($CI67=0, CK67=FALSE), NA(), AND($CI67=1, CK67=FALSE), 0, CK67=TRUE, 1)</f>
        <v>1</v>
      </c>
      <c r="CS67" s="10" cm="1">
        <f t="array" ref="CS67">_xlfn.IFS(AND($CI67=0, CL67=FALSE), NA(), AND($CI67=1, CL67=FALSE), 0, CL67=TRUE, 1)</f>
        <v>1</v>
      </c>
      <c r="CT67" s="10" cm="1">
        <f t="array" ref="CT67">_xlfn.IFS(AND($CI67=0, CM67=FALSE), NA(), AND($CI67=1, CM67=FALSE), 0, CM67=TRUE, 1)</f>
        <v>1</v>
      </c>
      <c r="CU67" s="10" cm="1">
        <f t="array" ref="CU67">_xlfn.IFS(AND($CN67=0, CP67=FALSE), NA(), AND($CN67=1, CP67=FALSE), 0, CP67=TRUE, 1)</f>
        <v>1</v>
      </c>
      <c r="CV67" s="10" cm="1">
        <f t="array" ref="CV67">_xlfn.IFS(AND($CN67=0, CQ67=FALSE), NA(), AND($CN67=1, CQ67=FALSE), 0, CQ67=TRUE, 1)</f>
        <v>1</v>
      </c>
    </row>
    <row r="68" spans="1:100" ht="15.75" x14ac:dyDescent="0.25">
      <c r="A68" s="8">
        <v>67</v>
      </c>
      <c r="B68" s="9">
        <v>126</v>
      </c>
      <c r="C68" s="10" t="s">
        <v>16</v>
      </c>
      <c r="D68" s="11" t="s">
        <v>40</v>
      </c>
      <c r="E68" s="12">
        <v>16706</v>
      </c>
      <c r="F68" s="13">
        <v>1</v>
      </c>
      <c r="G68" s="9">
        <v>59.871322631835938</v>
      </c>
      <c r="H68" s="12">
        <v>38574</v>
      </c>
      <c r="I68" s="9">
        <v>1</v>
      </c>
      <c r="J68" s="12">
        <v>38574</v>
      </c>
      <c r="K68" s="9">
        <v>0</v>
      </c>
      <c r="L68" s="9">
        <v>1</v>
      </c>
      <c r="M68" s="10" t="s">
        <v>401</v>
      </c>
      <c r="N68" s="9"/>
      <c r="O68" s="10" t="s">
        <v>425</v>
      </c>
      <c r="P68" s="9"/>
      <c r="Q68" s="10" t="s">
        <v>425</v>
      </c>
      <c r="R68" s="12">
        <v>42972</v>
      </c>
      <c r="S68" s="10" t="s">
        <v>146</v>
      </c>
      <c r="T68" s="9"/>
      <c r="U68" s="10" t="s">
        <v>401</v>
      </c>
      <c r="V68" s="10" t="s">
        <v>401</v>
      </c>
      <c r="W68" s="9"/>
      <c r="X68" s="9"/>
      <c r="Y68" s="9">
        <v>2</v>
      </c>
      <c r="Z68" s="14">
        <v>2</v>
      </c>
      <c r="AA68" s="23">
        <v>14.3</v>
      </c>
      <c r="AB68" s="24">
        <v>11</v>
      </c>
      <c r="AC68" s="24">
        <v>15</v>
      </c>
      <c r="AD68" s="9">
        <v>1</v>
      </c>
      <c r="AE68" s="9">
        <v>2</v>
      </c>
      <c r="AF68" s="9">
        <v>1</v>
      </c>
      <c r="AG68" s="9">
        <v>1</v>
      </c>
      <c r="AH68" s="9">
        <v>1</v>
      </c>
      <c r="AI68" s="9">
        <v>0</v>
      </c>
      <c r="AJ68" s="12">
        <v>43208</v>
      </c>
      <c r="AK68" s="9">
        <v>2</v>
      </c>
      <c r="AL68" s="12">
        <v>43509</v>
      </c>
      <c r="AM68" s="9">
        <v>3</v>
      </c>
      <c r="AN68" s="12">
        <v>43410</v>
      </c>
      <c r="AO68" s="12">
        <v>43343</v>
      </c>
      <c r="AP68" s="12">
        <v>43528</v>
      </c>
      <c r="AQ68" s="9">
        <v>1</v>
      </c>
      <c r="AR68" s="9">
        <f t="shared" si="30"/>
        <v>1</v>
      </c>
      <c r="AS68" s="9">
        <v>1</v>
      </c>
      <c r="AT68" s="9">
        <v>1</v>
      </c>
      <c r="AU68" s="9">
        <v>2</v>
      </c>
      <c r="AV68" s="9">
        <f t="shared" si="31"/>
        <v>1</v>
      </c>
      <c r="AW68" s="12">
        <v>44300</v>
      </c>
      <c r="AX68" s="9">
        <v>7760</v>
      </c>
      <c r="AY68" s="9">
        <v>5000</v>
      </c>
      <c r="AZ68" s="9"/>
      <c r="BA68" s="9">
        <v>5000</v>
      </c>
      <c r="BB68" s="9">
        <v>1781.5567626953125</v>
      </c>
      <c r="BC68" s="9">
        <v>224000</v>
      </c>
      <c r="BD68" s="9"/>
      <c r="BE68" s="9"/>
      <c r="BF68" s="9">
        <v>306</v>
      </c>
      <c r="BG68" s="9"/>
      <c r="BH68" s="9"/>
      <c r="BI68" s="9"/>
      <c r="BJ68" s="9"/>
      <c r="BK68" s="9"/>
      <c r="BL68" s="9"/>
      <c r="BM68" s="9"/>
      <c r="BN68" s="9"/>
      <c r="BO68" s="9">
        <v>5100</v>
      </c>
      <c r="BP68" s="9"/>
      <c r="BQ68" s="9">
        <v>239000</v>
      </c>
      <c r="BR68" s="9"/>
      <c r="BS68" s="9"/>
      <c r="BT68" s="9"/>
      <c r="BU68" s="9">
        <v>7990</v>
      </c>
      <c r="BV68" s="9">
        <v>5100</v>
      </c>
      <c r="BW68" s="9"/>
      <c r="BX68" s="9">
        <v>235000</v>
      </c>
      <c r="BY68" s="9"/>
      <c r="BZ68" s="10" t="s">
        <v>401</v>
      </c>
      <c r="CA68" s="9"/>
      <c r="CB68" s="9"/>
      <c r="CC68" s="10">
        <f t="shared" si="32"/>
        <v>2.8065342091236616</v>
      </c>
      <c r="CD68" s="10">
        <f t="shared" si="33"/>
        <v>125.73273256874005</v>
      </c>
      <c r="CE68" s="10">
        <f t="shared" si="25"/>
        <v>628663.66284370015</v>
      </c>
      <c r="CF68" s="10">
        <f t="shared" si="26"/>
        <v>1</v>
      </c>
      <c r="CG68" s="10">
        <f t="shared" si="27"/>
        <v>0</v>
      </c>
      <c r="CH68" s="10">
        <f t="shared" si="28"/>
        <v>10</v>
      </c>
      <c r="CI68" s="9">
        <f t="shared" si="34"/>
        <v>1</v>
      </c>
      <c r="CJ68" s="10">
        <f t="shared" si="29"/>
        <v>36</v>
      </c>
      <c r="CK68" s="10" t="b">
        <f t="shared" si="35"/>
        <v>1</v>
      </c>
      <c r="CL68" s="10" t="b">
        <f t="shared" si="36"/>
        <v>1</v>
      </c>
      <c r="CM68" s="10" t="b">
        <f t="shared" si="37"/>
        <v>1</v>
      </c>
      <c r="CN68" s="9">
        <f t="shared" si="38"/>
        <v>1</v>
      </c>
      <c r="CO68" s="10">
        <f t="shared" si="24"/>
        <v>4</v>
      </c>
      <c r="CP68" s="10" t="b">
        <f t="shared" si="39"/>
        <v>1</v>
      </c>
      <c r="CQ68" s="10" t="b">
        <f t="shared" si="40"/>
        <v>0</v>
      </c>
      <c r="CR68" s="10" cm="1">
        <f t="array" ref="CR68">_xlfn.IFS(AND($CI68=0, CK68=FALSE), NA(), AND($CI68=1, CK68=FALSE), 0, CK68=TRUE, 1)</f>
        <v>1</v>
      </c>
      <c r="CS68" s="10" cm="1">
        <f t="array" ref="CS68">_xlfn.IFS(AND($CI68=0, CL68=FALSE), NA(), AND($CI68=1, CL68=FALSE), 0, CL68=TRUE, 1)</f>
        <v>1</v>
      </c>
      <c r="CT68" s="10" cm="1">
        <f t="array" ref="CT68">_xlfn.IFS(AND($CI68=0, CM68=FALSE), NA(), AND($CI68=1, CM68=FALSE), 0, CM68=TRUE, 1)</f>
        <v>1</v>
      </c>
      <c r="CU68" s="10" cm="1">
        <f t="array" ref="CU68">_xlfn.IFS(AND($CN68=0, CP68=FALSE), NA(), AND($CN68=1, CP68=FALSE), 0, CP68=TRUE, 1)</f>
        <v>1</v>
      </c>
      <c r="CV68" s="10" cm="1">
        <f t="array" ref="CV68">_xlfn.IFS(AND($CN68=0, CQ68=FALSE), NA(), AND($CN68=1, CQ68=FALSE), 0, CQ68=TRUE, 1)</f>
        <v>0</v>
      </c>
    </row>
    <row r="69" spans="1:100" x14ac:dyDescent="0.25">
      <c r="A69" s="8">
        <v>68</v>
      </c>
      <c r="B69" s="9">
        <v>483</v>
      </c>
      <c r="C69" s="10" t="s">
        <v>31</v>
      </c>
      <c r="D69" s="11" t="s">
        <v>356</v>
      </c>
      <c r="E69" s="12"/>
      <c r="F69" s="13">
        <v>1</v>
      </c>
      <c r="G69" s="9">
        <v>69</v>
      </c>
      <c r="H69" s="12">
        <v>38589</v>
      </c>
      <c r="I69" s="9">
        <v>1</v>
      </c>
      <c r="J69" s="12">
        <v>42241</v>
      </c>
      <c r="K69" s="9">
        <v>0</v>
      </c>
      <c r="L69" s="9">
        <v>1</v>
      </c>
      <c r="M69" s="10" t="s">
        <v>401</v>
      </c>
      <c r="N69" s="9">
        <v>1</v>
      </c>
      <c r="O69" s="10" t="s">
        <v>401</v>
      </c>
      <c r="P69" s="9">
        <v>1</v>
      </c>
      <c r="Q69" s="10" t="s">
        <v>401</v>
      </c>
      <c r="R69" s="12">
        <v>40799</v>
      </c>
      <c r="S69" s="10" t="s">
        <v>511</v>
      </c>
      <c r="T69" s="9"/>
      <c r="U69" s="10" t="s">
        <v>401</v>
      </c>
      <c r="V69" s="10" t="s">
        <v>401</v>
      </c>
      <c r="W69" s="9"/>
      <c r="X69" s="9"/>
      <c r="Y69" s="9">
        <v>2</v>
      </c>
      <c r="Z69" s="19"/>
      <c r="AB69" s="9"/>
      <c r="AC69" s="9"/>
      <c r="AD69" s="9">
        <v>2</v>
      </c>
      <c r="AE69" s="9">
        <v>2</v>
      </c>
      <c r="AF69" s="9">
        <v>1</v>
      </c>
      <c r="AG69" s="9">
        <v>0</v>
      </c>
      <c r="AH69" s="9">
        <v>1</v>
      </c>
      <c r="AI69" s="9">
        <v>0</v>
      </c>
      <c r="AJ69" s="12">
        <v>43378</v>
      </c>
      <c r="AK69" s="9">
        <v>2</v>
      </c>
      <c r="AL69" s="12">
        <v>43532</v>
      </c>
      <c r="AM69" s="9">
        <v>2</v>
      </c>
      <c r="AN69" s="12">
        <v>43451</v>
      </c>
      <c r="AO69" s="12">
        <v>43941</v>
      </c>
      <c r="AP69" s="12">
        <v>43941</v>
      </c>
      <c r="AQ69" s="9">
        <v>1</v>
      </c>
      <c r="AR69" s="9">
        <f t="shared" si="30"/>
        <v>1</v>
      </c>
      <c r="AS69" s="9">
        <v>1</v>
      </c>
      <c r="AT69" s="9">
        <v>2</v>
      </c>
      <c r="AU69" s="9">
        <v>2</v>
      </c>
      <c r="AV69" s="9">
        <f t="shared" si="31"/>
        <v>1</v>
      </c>
      <c r="AW69" s="12">
        <v>44065</v>
      </c>
      <c r="AX69" s="9">
        <v>5380</v>
      </c>
      <c r="AY69" s="9">
        <v>2490</v>
      </c>
      <c r="AZ69" s="9">
        <v>2210</v>
      </c>
      <c r="BA69" s="9">
        <v>2490</v>
      </c>
      <c r="BB69" s="9">
        <v>2210.00048828125</v>
      </c>
      <c r="BC69" s="9">
        <v>101000</v>
      </c>
      <c r="BD69" s="9">
        <v>350</v>
      </c>
      <c r="BE69" s="9">
        <v>270</v>
      </c>
      <c r="BF69" s="9">
        <v>364</v>
      </c>
      <c r="BG69" s="9">
        <v>4910</v>
      </c>
      <c r="BH69" s="9">
        <v>2380</v>
      </c>
      <c r="BI69" s="9">
        <v>1930</v>
      </c>
      <c r="BJ69" s="9">
        <v>89000</v>
      </c>
      <c r="BK69" s="9">
        <v>360</v>
      </c>
      <c r="BL69" s="9">
        <v>200</v>
      </c>
      <c r="BM69" s="9">
        <v>395</v>
      </c>
      <c r="BN69" s="9">
        <v>5280</v>
      </c>
      <c r="BO69" s="9">
        <v>2570</v>
      </c>
      <c r="BP69" s="9">
        <v>2110</v>
      </c>
      <c r="BQ69" s="9">
        <v>95000</v>
      </c>
      <c r="BR69" s="9">
        <v>350</v>
      </c>
      <c r="BS69" s="9">
        <v>210</v>
      </c>
      <c r="BT69" s="9">
        <v>417</v>
      </c>
      <c r="BU69" s="9">
        <v>5210</v>
      </c>
      <c r="BV69" s="9">
        <v>2660</v>
      </c>
      <c r="BW69" s="9">
        <v>1830</v>
      </c>
      <c r="BX69" s="9">
        <v>89000</v>
      </c>
      <c r="BY69" s="9">
        <v>360</v>
      </c>
      <c r="BZ69" s="10" t="s">
        <v>542</v>
      </c>
      <c r="CA69" s="9">
        <v>300</v>
      </c>
      <c r="CB69" s="9">
        <v>377</v>
      </c>
      <c r="CC69" s="10">
        <f t="shared" si="32"/>
        <v>1.1266965836448795</v>
      </c>
      <c r="CD69" s="10">
        <f t="shared" si="33"/>
        <v>45.701347368728044</v>
      </c>
      <c r="CE69" s="10">
        <f t="shared" si="25"/>
        <v>113796.35494813282</v>
      </c>
      <c r="CF69" s="10">
        <f t="shared" si="26"/>
        <v>1</v>
      </c>
      <c r="CG69" s="10">
        <f t="shared" si="27"/>
        <v>1</v>
      </c>
      <c r="CH69" s="10">
        <f t="shared" si="28"/>
        <v>5</v>
      </c>
      <c r="CI69" s="9">
        <f t="shared" si="34"/>
        <v>1</v>
      </c>
      <c r="CJ69" s="10">
        <f t="shared" si="29"/>
        <v>22</v>
      </c>
      <c r="CK69" s="10" t="b">
        <f t="shared" si="35"/>
        <v>1</v>
      </c>
      <c r="CL69" s="10" t="b">
        <f t="shared" si="36"/>
        <v>1</v>
      </c>
      <c r="CM69" s="10" t="b">
        <f t="shared" si="37"/>
        <v>0</v>
      </c>
      <c r="CN69" s="9">
        <f t="shared" si="38"/>
        <v>1</v>
      </c>
      <c r="CO69" s="10">
        <f t="shared" si="24"/>
        <v>18</v>
      </c>
      <c r="CP69" s="10" t="b">
        <f t="shared" si="39"/>
        <v>1</v>
      </c>
      <c r="CQ69" s="10" t="b">
        <f t="shared" si="40"/>
        <v>1</v>
      </c>
      <c r="CR69" s="10" cm="1">
        <f t="array" ref="CR69">_xlfn.IFS(AND($CI69=0, CK69=FALSE), NA(), AND($CI69=1, CK69=FALSE), 0, CK69=TRUE, 1)</f>
        <v>1</v>
      </c>
      <c r="CS69" s="10" cm="1">
        <f t="array" ref="CS69">_xlfn.IFS(AND($CI69=0, CL69=FALSE), NA(), AND($CI69=1, CL69=FALSE), 0, CL69=TRUE, 1)</f>
        <v>1</v>
      </c>
      <c r="CT69" s="10" cm="1">
        <f t="array" ref="CT69">_xlfn.IFS(AND($CI69=0, CM69=FALSE), NA(), AND($CI69=1, CM69=FALSE), 0, CM69=TRUE, 1)</f>
        <v>0</v>
      </c>
      <c r="CU69" s="10" cm="1">
        <f t="array" ref="CU69">_xlfn.IFS(AND($CN69=0, CP69=FALSE), NA(), AND($CN69=1, CP69=FALSE), 0, CP69=TRUE, 1)</f>
        <v>1</v>
      </c>
      <c r="CV69" s="10" cm="1">
        <f t="array" ref="CV69">_xlfn.IFS(AND($CN69=0, CQ69=FALSE), NA(), AND($CN69=1, CQ69=FALSE), 0, CQ69=TRUE, 1)</f>
        <v>1</v>
      </c>
    </row>
    <row r="70" spans="1:100" ht="15.75" x14ac:dyDescent="0.25">
      <c r="A70" s="8">
        <v>69</v>
      </c>
      <c r="B70" s="9">
        <v>542</v>
      </c>
      <c r="C70" s="10" t="s">
        <v>34</v>
      </c>
      <c r="D70" s="11" t="s">
        <v>54</v>
      </c>
      <c r="E70" s="12">
        <v>17125</v>
      </c>
      <c r="F70" s="13">
        <v>1</v>
      </c>
      <c r="G70" s="9">
        <v>58.798084259033203</v>
      </c>
      <c r="H70" s="12">
        <v>38601</v>
      </c>
      <c r="I70" s="9">
        <v>1</v>
      </c>
      <c r="J70" s="12">
        <v>38601</v>
      </c>
      <c r="K70" s="9">
        <v>0</v>
      </c>
      <c r="L70" s="9">
        <v>1</v>
      </c>
      <c r="M70" s="10" t="s">
        <v>401</v>
      </c>
      <c r="N70" s="9">
        <v>1</v>
      </c>
      <c r="O70" s="10" t="s">
        <v>401</v>
      </c>
      <c r="P70" s="9">
        <v>1</v>
      </c>
      <c r="Q70" s="10" t="s">
        <v>401</v>
      </c>
      <c r="R70" s="12">
        <v>39509</v>
      </c>
      <c r="S70" s="10" t="s">
        <v>145</v>
      </c>
      <c r="T70" s="9">
        <v>3</v>
      </c>
      <c r="U70" s="10" t="s">
        <v>401</v>
      </c>
      <c r="V70" s="10" t="s">
        <v>401</v>
      </c>
      <c r="W70" s="9"/>
      <c r="X70" s="9"/>
      <c r="Y70" s="9">
        <v>3</v>
      </c>
      <c r="Z70" s="14">
        <v>1</v>
      </c>
      <c r="AA70" s="17">
        <v>9.6</v>
      </c>
      <c r="AB70" s="18">
        <v>73</v>
      </c>
      <c r="AC70" s="18">
        <v>17</v>
      </c>
      <c r="AD70" s="9">
        <v>2</v>
      </c>
      <c r="AE70" s="9">
        <v>2</v>
      </c>
      <c r="AF70" s="9">
        <v>1</v>
      </c>
      <c r="AG70" s="9">
        <v>1</v>
      </c>
      <c r="AH70" s="9">
        <v>1</v>
      </c>
      <c r="AI70" s="9">
        <v>0</v>
      </c>
      <c r="AJ70" s="12">
        <v>43292</v>
      </c>
      <c r="AK70" s="9">
        <v>2</v>
      </c>
      <c r="AL70" s="12">
        <v>43453</v>
      </c>
      <c r="AM70" s="9">
        <v>3</v>
      </c>
      <c r="AN70" s="12">
        <v>43368</v>
      </c>
      <c r="AO70" s="12">
        <v>43469</v>
      </c>
      <c r="AP70" s="12">
        <v>43469</v>
      </c>
      <c r="AQ70" s="9">
        <v>1</v>
      </c>
      <c r="AR70" s="9">
        <f t="shared" si="30"/>
        <v>1</v>
      </c>
      <c r="AS70" s="9">
        <v>1</v>
      </c>
      <c r="AT70" s="9">
        <v>2</v>
      </c>
      <c r="AU70" s="9">
        <v>2</v>
      </c>
      <c r="AV70" s="9">
        <f t="shared" si="31"/>
        <v>1</v>
      </c>
      <c r="AW70" s="12">
        <v>43625</v>
      </c>
      <c r="AX70" s="9">
        <v>8400</v>
      </c>
      <c r="AY70" s="9">
        <v>5670</v>
      </c>
      <c r="AZ70" s="9">
        <v>1200</v>
      </c>
      <c r="BA70" s="9">
        <v>5670</v>
      </c>
      <c r="BB70" s="9">
        <v>1200.0001220703125</v>
      </c>
      <c r="BC70" s="9">
        <v>378000</v>
      </c>
      <c r="BD70" s="9">
        <v>1040</v>
      </c>
      <c r="BE70" s="9">
        <v>430</v>
      </c>
      <c r="BF70" s="9">
        <v>173</v>
      </c>
      <c r="BG70" s="9">
        <v>7460</v>
      </c>
      <c r="BH70" s="9">
        <v>4750</v>
      </c>
      <c r="BI70" s="9">
        <v>1050</v>
      </c>
      <c r="BJ70" s="9">
        <v>370000</v>
      </c>
      <c r="BK70" s="9">
        <v>1020</v>
      </c>
      <c r="BL70" s="9">
        <v>590</v>
      </c>
      <c r="BM70" s="9"/>
      <c r="BN70" s="9">
        <v>5000</v>
      </c>
      <c r="BO70" s="9">
        <v>3140</v>
      </c>
      <c r="BP70" s="9">
        <v>830</v>
      </c>
      <c r="BQ70" s="9">
        <v>354000</v>
      </c>
      <c r="BR70" s="9">
        <v>710</v>
      </c>
      <c r="BS70" s="9">
        <v>300</v>
      </c>
      <c r="BT70" s="9">
        <v>149</v>
      </c>
      <c r="BU70" s="9">
        <v>6710</v>
      </c>
      <c r="BV70" s="9">
        <v>4160</v>
      </c>
      <c r="BW70" s="9">
        <v>970</v>
      </c>
      <c r="BX70" s="9">
        <v>435000</v>
      </c>
      <c r="BY70" s="9">
        <v>1010</v>
      </c>
      <c r="BZ70" s="10" t="s">
        <v>546</v>
      </c>
      <c r="CA70" s="9">
        <v>510</v>
      </c>
      <c r="CB70" s="9">
        <v>174</v>
      </c>
      <c r="CC70" s="10">
        <f t="shared" si="32"/>
        <v>4.7249995193481933</v>
      </c>
      <c r="CD70" s="10">
        <f t="shared" si="33"/>
        <v>314.99996795654624</v>
      </c>
      <c r="CE70" s="10">
        <f t="shared" si="25"/>
        <v>1786049.818313617</v>
      </c>
      <c r="CF70" s="10">
        <f t="shared" si="26"/>
        <v>1</v>
      </c>
      <c r="CG70" s="10">
        <f t="shared" si="27"/>
        <v>0</v>
      </c>
      <c r="CH70" s="10">
        <f t="shared" si="28"/>
        <v>5</v>
      </c>
      <c r="CI70" s="9">
        <f t="shared" si="34"/>
        <v>1</v>
      </c>
      <c r="CJ70" s="10">
        <f t="shared" si="29"/>
        <v>11</v>
      </c>
      <c r="CK70" s="10" t="b">
        <f t="shared" si="35"/>
        <v>1</v>
      </c>
      <c r="CL70" s="10" t="b">
        <f t="shared" si="36"/>
        <v>0</v>
      </c>
      <c r="CM70" s="10" t="b">
        <f t="shared" si="37"/>
        <v>0</v>
      </c>
      <c r="CN70" s="9">
        <f t="shared" si="38"/>
        <v>1</v>
      </c>
      <c r="CO70" s="10">
        <f t="shared" si="24"/>
        <v>6</v>
      </c>
      <c r="CP70" s="10" t="b">
        <f t="shared" si="39"/>
        <v>1</v>
      </c>
      <c r="CQ70" s="10" t="b">
        <f t="shared" si="40"/>
        <v>0</v>
      </c>
      <c r="CR70" s="10" cm="1">
        <f t="array" ref="CR70">_xlfn.IFS(AND($CI70=0, CK70=FALSE), NA(), AND($CI70=1, CK70=FALSE), 0, CK70=TRUE, 1)</f>
        <v>1</v>
      </c>
      <c r="CS70" s="10" cm="1">
        <f t="array" ref="CS70">_xlfn.IFS(AND($CI70=0, CL70=FALSE), NA(), AND($CI70=1, CL70=FALSE), 0, CL70=TRUE, 1)</f>
        <v>0</v>
      </c>
      <c r="CT70" s="10" cm="1">
        <f t="array" ref="CT70">_xlfn.IFS(AND($CI70=0, CM70=FALSE), NA(), AND($CI70=1, CM70=FALSE), 0, CM70=TRUE, 1)</f>
        <v>0</v>
      </c>
      <c r="CU70" s="10" cm="1">
        <f t="array" ref="CU70">_xlfn.IFS(AND($CN70=0, CP70=FALSE), NA(), AND($CN70=1, CP70=FALSE), 0, CP70=TRUE, 1)</f>
        <v>1</v>
      </c>
      <c r="CV70" s="10" cm="1">
        <f t="array" ref="CV70">_xlfn.IFS(AND($CN70=0, CQ70=FALSE), NA(), AND($CN70=1, CQ70=FALSE), 0, CQ70=TRUE, 1)</f>
        <v>0</v>
      </c>
    </row>
    <row r="71" spans="1:100" ht="15.75" x14ac:dyDescent="0.25">
      <c r="A71" s="8">
        <v>70</v>
      </c>
      <c r="B71" s="9">
        <v>39</v>
      </c>
      <c r="C71" s="10" t="s">
        <v>6</v>
      </c>
      <c r="D71" s="11" t="s">
        <v>73</v>
      </c>
      <c r="E71" s="12">
        <v>16652</v>
      </c>
      <c r="F71" s="13">
        <v>1</v>
      </c>
      <c r="G71" s="9">
        <v>60.22998046875</v>
      </c>
      <c r="H71" s="12">
        <v>38651</v>
      </c>
      <c r="I71" s="9">
        <v>1</v>
      </c>
      <c r="J71" s="12">
        <v>38651</v>
      </c>
      <c r="K71" s="9">
        <v>0</v>
      </c>
      <c r="L71" s="9">
        <v>1</v>
      </c>
      <c r="M71" s="10" t="s">
        <v>401</v>
      </c>
      <c r="N71" s="9">
        <v>1</v>
      </c>
      <c r="O71" s="10" t="s">
        <v>401</v>
      </c>
      <c r="P71" s="9">
        <v>1</v>
      </c>
      <c r="Q71" s="10" t="s">
        <v>401</v>
      </c>
      <c r="R71" s="12">
        <v>40663</v>
      </c>
      <c r="S71" s="10" t="s">
        <v>145</v>
      </c>
      <c r="T71" s="9">
        <v>6</v>
      </c>
      <c r="U71" s="10" t="s">
        <v>147</v>
      </c>
      <c r="V71" s="10" t="s">
        <v>401</v>
      </c>
      <c r="W71" s="9"/>
      <c r="X71" s="9"/>
      <c r="Y71" s="9">
        <v>4</v>
      </c>
      <c r="Z71" s="14">
        <v>1</v>
      </c>
      <c r="AA71" s="17">
        <v>12.2</v>
      </c>
      <c r="AB71" s="18" t="s">
        <v>469</v>
      </c>
      <c r="AC71" s="18">
        <v>12</v>
      </c>
      <c r="AD71" s="9">
        <v>3</v>
      </c>
      <c r="AE71" s="9">
        <v>3</v>
      </c>
      <c r="AF71" s="9">
        <v>2</v>
      </c>
      <c r="AG71" s="9">
        <v>1</v>
      </c>
      <c r="AH71" s="9">
        <v>1</v>
      </c>
      <c r="AI71" s="9">
        <v>1</v>
      </c>
      <c r="AJ71" s="12">
        <v>42617</v>
      </c>
      <c r="AK71" s="9">
        <v>2</v>
      </c>
      <c r="AL71" s="12">
        <v>42705</v>
      </c>
      <c r="AM71" s="9">
        <v>4</v>
      </c>
      <c r="AN71" s="12">
        <v>42705</v>
      </c>
      <c r="AO71" s="12">
        <v>42705</v>
      </c>
      <c r="AP71" s="12">
        <v>42705</v>
      </c>
      <c r="AQ71" s="9">
        <v>1</v>
      </c>
      <c r="AR71" s="9">
        <f t="shared" si="30"/>
        <v>1</v>
      </c>
      <c r="AS71" s="9">
        <v>1</v>
      </c>
      <c r="AT71" s="9">
        <v>2</v>
      </c>
      <c r="AU71" s="9">
        <v>2</v>
      </c>
      <c r="AV71" s="9">
        <f t="shared" si="31"/>
        <v>1</v>
      </c>
      <c r="AW71" s="12">
        <v>42737</v>
      </c>
      <c r="AX71" s="9">
        <v>6170</v>
      </c>
      <c r="AY71" s="9">
        <v>3910</v>
      </c>
      <c r="AZ71" s="9">
        <v>1120</v>
      </c>
      <c r="BA71" s="9">
        <v>3910</v>
      </c>
      <c r="BB71" s="9">
        <v>1119.9998779296875</v>
      </c>
      <c r="BC71" s="9">
        <v>273000</v>
      </c>
      <c r="BD71" s="9"/>
      <c r="BE71" s="9"/>
      <c r="BF71" s="9">
        <v>612</v>
      </c>
      <c r="BG71" s="9">
        <v>6290</v>
      </c>
      <c r="BH71" s="9">
        <v>4210</v>
      </c>
      <c r="BI71" s="9">
        <v>1080</v>
      </c>
      <c r="BJ71" s="9">
        <v>232000</v>
      </c>
      <c r="BK71" s="9"/>
      <c r="BL71" s="9"/>
      <c r="BM71" s="9">
        <v>567</v>
      </c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10" t="s">
        <v>401</v>
      </c>
      <c r="CA71" s="9"/>
      <c r="CB71" s="9"/>
      <c r="CC71" s="10">
        <f t="shared" si="32"/>
        <v>3.4910718090680595</v>
      </c>
      <c r="CD71" s="10">
        <f t="shared" si="33"/>
        <v>243.75002656664458</v>
      </c>
      <c r="CE71" s="10">
        <f t="shared" si="25"/>
        <v>953062.60387558024</v>
      </c>
      <c r="CF71" s="10">
        <f t="shared" si="26"/>
        <v>0</v>
      </c>
      <c r="CG71" s="10">
        <f t="shared" si="27"/>
        <v>0</v>
      </c>
      <c r="CH71" s="10">
        <f t="shared" si="28"/>
        <v>3</v>
      </c>
      <c r="CI71" s="9">
        <f t="shared" si="34"/>
        <v>1</v>
      </c>
      <c r="CJ71" s="10">
        <f t="shared" si="29"/>
        <v>4</v>
      </c>
      <c r="CK71" s="10" t="b">
        <f t="shared" si="35"/>
        <v>0</v>
      </c>
      <c r="CL71" s="10" t="b">
        <f t="shared" si="36"/>
        <v>0</v>
      </c>
      <c r="CM71" s="10" t="b">
        <f t="shared" si="37"/>
        <v>0</v>
      </c>
      <c r="CN71" s="9">
        <f t="shared" si="38"/>
        <v>1</v>
      </c>
      <c r="CO71" s="10">
        <f t="shared" si="24"/>
        <v>3</v>
      </c>
      <c r="CP71" s="10" t="b">
        <f t="shared" si="39"/>
        <v>1</v>
      </c>
      <c r="CQ71" s="10" t="b">
        <f t="shared" si="40"/>
        <v>0</v>
      </c>
      <c r="CR71" s="10" cm="1">
        <f t="array" ref="CR71">_xlfn.IFS(AND($CI71=0, CK71=FALSE), NA(), AND($CI71=1, CK71=FALSE), 0, CK71=TRUE, 1)</f>
        <v>0</v>
      </c>
      <c r="CS71" s="10" cm="1">
        <f t="array" ref="CS71">_xlfn.IFS(AND($CI71=0, CL71=FALSE), NA(), AND($CI71=1, CL71=FALSE), 0, CL71=TRUE, 1)</f>
        <v>0</v>
      </c>
      <c r="CT71" s="10" cm="1">
        <f t="array" ref="CT71">_xlfn.IFS(AND($CI71=0, CM71=FALSE), NA(), AND($CI71=1, CM71=FALSE), 0, CM71=TRUE, 1)</f>
        <v>0</v>
      </c>
      <c r="CU71" s="10" cm="1">
        <f t="array" ref="CU71">_xlfn.IFS(AND($CN71=0, CP71=FALSE), NA(), AND($CN71=1, CP71=FALSE), 0, CP71=TRUE, 1)</f>
        <v>1</v>
      </c>
      <c r="CV71" s="10" cm="1">
        <f t="array" ref="CV71">_xlfn.IFS(AND($CN71=0, CQ71=FALSE), NA(), AND($CN71=1, CQ71=FALSE), 0, CQ71=TRUE, 1)</f>
        <v>0</v>
      </c>
    </row>
    <row r="72" spans="1:100" ht="15.75" x14ac:dyDescent="0.25">
      <c r="A72" s="8">
        <v>71</v>
      </c>
      <c r="B72" s="9">
        <v>410</v>
      </c>
      <c r="C72" s="10" t="s">
        <v>29</v>
      </c>
      <c r="D72" s="11" t="s">
        <v>323</v>
      </c>
      <c r="E72" s="12">
        <v>22650</v>
      </c>
      <c r="F72" s="13">
        <v>1</v>
      </c>
      <c r="G72" s="9">
        <v>43.8275146484375</v>
      </c>
      <c r="H72" s="12">
        <v>38658</v>
      </c>
      <c r="I72" s="9">
        <v>1</v>
      </c>
      <c r="J72" s="12">
        <v>38658</v>
      </c>
      <c r="K72" s="9">
        <v>0</v>
      </c>
      <c r="L72" s="9">
        <v>1</v>
      </c>
      <c r="M72" s="10" t="s">
        <v>401</v>
      </c>
      <c r="N72" s="9">
        <v>1</v>
      </c>
      <c r="O72" s="10" t="s">
        <v>401</v>
      </c>
      <c r="P72" s="9">
        <v>1</v>
      </c>
      <c r="Q72" s="10" t="s">
        <v>401</v>
      </c>
      <c r="R72" s="12">
        <v>42072</v>
      </c>
      <c r="S72" s="10" t="s">
        <v>146</v>
      </c>
      <c r="T72" s="9"/>
      <c r="U72" s="10" t="s">
        <v>401</v>
      </c>
      <c r="V72" s="10" t="s">
        <v>401</v>
      </c>
      <c r="W72" s="9"/>
      <c r="X72" s="9"/>
      <c r="Y72" s="9">
        <v>2</v>
      </c>
      <c r="Z72" s="14">
        <v>2</v>
      </c>
      <c r="AA72" s="17">
        <v>9.6999999999999993</v>
      </c>
      <c r="AB72" s="18">
        <v>94</v>
      </c>
      <c r="AC72" s="18"/>
      <c r="AD72" s="9">
        <v>1</v>
      </c>
      <c r="AE72" s="9">
        <v>1</v>
      </c>
      <c r="AF72" s="9">
        <v>1</v>
      </c>
      <c r="AG72" s="9">
        <v>1</v>
      </c>
      <c r="AH72" s="9">
        <v>1</v>
      </c>
      <c r="AI72" s="9">
        <v>0</v>
      </c>
      <c r="AJ72" s="12">
        <v>43248</v>
      </c>
      <c r="AK72" s="9">
        <v>2</v>
      </c>
      <c r="AL72" s="12">
        <v>43556</v>
      </c>
      <c r="AM72" s="9">
        <v>2</v>
      </c>
      <c r="AN72" s="12">
        <v>43388</v>
      </c>
      <c r="AO72" s="12">
        <v>43591</v>
      </c>
      <c r="AP72" s="12">
        <v>43591</v>
      </c>
      <c r="AQ72" s="9">
        <v>1</v>
      </c>
      <c r="AR72" s="9">
        <f t="shared" si="30"/>
        <v>1</v>
      </c>
      <c r="AS72" s="9">
        <v>1</v>
      </c>
      <c r="AT72" s="9">
        <v>2</v>
      </c>
      <c r="AU72" s="9">
        <v>1</v>
      </c>
      <c r="AV72" s="9">
        <f t="shared" si="31"/>
        <v>0</v>
      </c>
      <c r="AW72" s="12">
        <v>44936</v>
      </c>
      <c r="AX72" s="9">
        <v>4700</v>
      </c>
      <c r="AY72" s="9">
        <v>2350</v>
      </c>
      <c r="AZ72" s="9">
        <v>1470</v>
      </c>
      <c r="BA72" s="9">
        <v>2350</v>
      </c>
      <c r="BB72" s="9">
        <v>1470.000244140625</v>
      </c>
      <c r="BC72" s="9">
        <v>336000</v>
      </c>
      <c r="BD72" s="9">
        <v>564</v>
      </c>
      <c r="BE72" s="9">
        <v>120</v>
      </c>
      <c r="BF72" s="9"/>
      <c r="BG72" s="9">
        <v>5000</v>
      </c>
      <c r="BH72" s="9">
        <v>2860</v>
      </c>
      <c r="BI72" s="9">
        <v>1320</v>
      </c>
      <c r="BJ72" s="9">
        <v>387000</v>
      </c>
      <c r="BK72" s="9">
        <v>660</v>
      </c>
      <c r="BL72" s="9">
        <v>100</v>
      </c>
      <c r="BM72" s="9"/>
      <c r="BN72" s="9">
        <v>5900</v>
      </c>
      <c r="BO72" s="9">
        <v>3360</v>
      </c>
      <c r="BP72" s="9">
        <v>1700</v>
      </c>
      <c r="BQ72" s="9">
        <v>244000</v>
      </c>
      <c r="BR72" s="9">
        <v>610</v>
      </c>
      <c r="BS72" s="9">
        <v>160</v>
      </c>
      <c r="BT72" s="9"/>
      <c r="BU72" s="9">
        <v>5900</v>
      </c>
      <c r="BV72" s="9">
        <v>2920</v>
      </c>
      <c r="BW72" s="9">
        <v>2070</v>
      </c>
      <c r="BX72" s="9">
        <v>316000</v>
      </c>
      <c r="BY72" s="9">
        <v>540</v>
      </c>
      <c r="BZ72" s="10" t="s">
        <v>531</v>
      </c>
      <c r="CA72" s="9">
        <v>270</v>
      </c>
      <c r="CB72" s="9"/>
      <c r="CC72" s="10">
        <f t="shared" si="32"/>
        <v>1.5986391902770265</v>
      </c>
      <c r="CD72" s="10">
        <f t="shared" si="33"/>
        <v>228.57139060982166</v>
      </c>
      <c r="CE72" s="10">
        <f t="shared" si="25"/>
        <v>537142.7679330809</v>
      </c>
      <c r="CF72" s="10">
        <f t="shared" si="26"/>
        <v>1</v>
      </c>
      <c r="CG72" s="10">
        <f t="shared" si="27"/>
        <v>1</v>
      </c>
      <c r="CH72" s="10">
        <f t="shared" si="28"/>
        <v>11</v>
      </c>
      <c r="CI72" s="9">
        <f t="shared" si="34"/>
        <v>0</v>
      </c>
      <c r="CJ72" s="10">
        <f t="shared" si="29"/>
        <v>56</v>
      </c>
      <c r="CK72" s="10" t="b">
        <f t="shared" si="35"/>
        <v>1</v>
      </c>
      <c r="CL72" s="10" t="b">
        <f t="shared" si="36"/>
        <v>1</v>
      </c>
      <c r="CM72" s="10" t="b">
        <f t="shared" si="37"/>
        <v>1</v>
      </c>
      <c r="CN72" s="9">
        <f t="shared" si="38"/>
        <v>1</v>
      </c>
      <c r="CO72" s="10">
        <f t="shared" si="24"/>
        <v>12</v>
      </c>
      <c r="CP72" s="10" t="b">
        <f t="shared" si="39"/>
        <v>1</v>
      </c>
      <c r="CQ72" s="10" t="b">
        <f t="shared" si="40"/>
        <v>1</v>
      </c>
      <c r="CR72" s="10" cm="1">
        <f t="array" ref="CR72">_xlfn.IFS(AND($CI72=0, CK72=FALSE), NA(), AND($CI72=1, CK72=FALSE), 0, CK72=TRUE, 1)</f>
        <v>1</v>
      </c>
      <c r="CS72" s="10" cm="1">
        <f t="array" ref="CS72">_xlfn.IFS(AND($CI72=0, CL72=FALSE), NA(), AND($CI72=1, CL72=FALSE), 0, CL72=TRUE, 1)</f>
        <v>1</v>
      </c>
      <c r="CT72" s="10" cm="1">
        <f t="array" ref="CT72">_xlfn.IFS(AND($CI72=0, CM72=FALSE), NA(), AND($CI72=1, CM72=FALSE), 0, CM72=TRUE, 1)</f>
        <v>1</v>
      </c>
      <c r="CU72" s="10" cm="1">
        <f t="array" ref="CU72">_xlfn.IFS(AND($CN72=0, CP72=FALSE), NA(), AND($CN72=1, CP72=FALSE), 0, CP72=TRUE, 1)</f>
        <v>1</v>
      </c>
      <c r="CV72" s="10" cm="1">
        <f t="array" ref="CV72">_xlfn.IFS(AND($CN72=0, CQ72=FALSE), NA(), AND($CN72=1, CQ72=FALSE), 0, CQ72=TRUE, 1)</f>
        <v>1</v>
      </c>
    </row>
    <row r="73" spans="1:100" ht="15.75" x14ac:dyDescent="0.25">
      <c r="A73" s="8">
        <v>72</v>
      </c>
      <c r="B73" s="9">
        <v>427</v>
      </c>
      <c r="C73" s="10" t="s">
        <v>29</v>
      </c>
      <c r="D73" s="11" t="s">
        <v>338</v>
      </c>
      <c r="E73" s="12">
        <v>13085</v>
      </c>
      <c r="F73" s="13">
        <v>1</v>
      </c>
      <c r="G73" s="9">
        <v>70.094459533691406</v>
      </c>
      <c r="H73" s="12">
        <v>38687</v>
      </c>
      <c r="I73" s="9">
        <v>1</v>
      </c>
      <c r="J73" s="12">
        <v>38687</v>
      </c>
      <c r="K73" s="9">
        <v>1</v>
      </c>
      <c r="L73" s="9">
        <v>1</v>
      </c>
      <c r="M73" s="10" t="s">
        <v>401</v>
      </c>
      <c r="N73" s="9">
        <v>1</v>
      </c>
      <c r="O73" s="10" t="s">
        <v>401</v>
      </c>
      <c r="P73" s="9">
        <v>1</v>
      </c>
      <c r="Q73" s="10" t="s">
        <v>401</v>
      </c>
      <c r="R73" s="12">
        <v>42628</v>
      </c>
      <c r="S73" s="10" t="s">
        <v>146</v>
      </c>
      <c r="T73" s="9"/>
      <c r="U73" s="10" t="s">
        <v>401</v>
      </c>
      <c r="V73" s="10" t="s">
        <v>401</v>
      </c>
      <c r="W73" s="9"/>
      <c r="X73" s="9"/>
      <c r="Y73" s="9">
        <v>2</v>
      </c>
      <c r="Z73" s="14">
        <v>2</v>
      </c>
      <c r="AA73" s="17">
        <v>11.9</v>
      </c>
      <c r="AB73" s="18">
        <v>97</v>
      </c>
      <c r="AC73" s="18">
        <v>15</v>
      </c>
      <c r="AD73" s="9">
        <v>1</v>
      </c>
      <c r="AE73" s="9">
        <v>1</v>
      </c>
      <c r="AF73" s="9">
        <v>1</v>
      </c>
      <c r="AG73" s="9">
        <v>0</v>
      </c>
      <c r="AH73" s="9">
        <v>1</v>
      </c>
      <c r="AI73" s="9">
        <v>0</v>
      </c>
      <c r="AJ73" s="12">
        <v>43053</v>
      </c>
      <c r="AK73" s="9">
        <v>2</v>
      </c>
      <c r="AL73" s="12">
        <v>43795</v>
      </c>
      <c r="AM73" s="9">
        <v>2</v>
      </c>
      <c r="AN73" s="12">
        <v>43627</v>
      </c>
      <c r="AO73" s="12"/>
      <c r="AP73" s="12"/>
      <c r="AQ73" s="9">
        <v>2</v>
      </c>
      <c r="AR73" s="9">
        <f t="shared" si="30"/>
        <v>0</v>
      </c>
      <c r="AS73" s="9">
        <v>2</v>
      </c>
      <c r="AT73" s="9"/>
      <c r="AU73" s="9">
        <v>1</v>
      </c>
      <c r="AV73" s="9">
        <f t="shared" si="31"/>
        <v>0</v>
      </c>
      <c r="AW73" s="12">
        <v>44926</v>
      </c>
      <c r="AX73" s="9">
        <v>3150</v>
      </c>
      <c r="AY73" s="9">
        <v>1080</v>
      </c>
      <c r="AZ73" s="9">
        <v>1200</v>
      </c>
      <c r="BA73" s="9">
        <v>1080</v>
      </c>
      <c r="BB73" s="9">
        <v>1200.0001220703125</v>
      </c>
      <c r="BC73" s="9">
        <v>120000</v>
      </c>
      <c r="BD73" s="9">
        <v>340</v>
      </c>
      <c r="BE73" s="9">
        <v>150</v>
      </c>
      <c r="BF73" s="9"/>
      <c r="BG73" s="9">
        <v>3610</v>
      </c>
      <c r="BH73" s="9">
        <v>2130</v>
      </c>
      <c r="BI73" s="9">
        <v>990</v>
      </c>
      <c r="BJ73" s="9">
        <v>199000</v>
      </c>
      <c r="BK73" s="9">
        <v>360</v>
      </c>
      <c r="BL73" s="9">
        <v>110</v>
      </c>
      <c r="BM73" s="9"/>
      <c r="BN73" s="9">
        <v>4340</v>
      </c>
      <c r="BO73" s="9">
        <v>2400</v>
      </c>
      <c r="BP73" s="9">
        <v>1280</v>
      </c>
      <c r="BQ73" s="9">
        <v>176000</v>
      </c>
      <c r="BR73" s="9">
        <v>450</v>
      </c>
      <c r="BS73" s="9">
        <v>180</v>
      </c>
      <c r="BT73" s="9"/>
      <c r="BU73" s="9">
        <v>4300</v>
      </c>
      <c r="BV73" s="9">
        <v>2400</v>
      </c>
      <c r="BW73" s="9">
        <v>1280</v>
      </c>
      <c r="BX73" s="9">
        <v>176000</v>
      </c>
      <c r="BY73" s="9">
        <v>450</v>
      </c>
      <c r="BZ73" s="10" t="s">
        <v>547</v>
      </c>
      <c r="CA73" s="9">
        <v>180</v>
      </c>
      <c r="CB73" s="9"/>
      <c r="CC73" s="10">
        <f t="shared" si="32"/>
        <v>0.89999990844727495</v>
      </c>
      <c r="CD73" s="10">
        <f t="shared" si="33"/>
        <v>99.999989827474991</v>
      </c>
      <c r="CE73" s="10">
        <f t="shared" si="25"/>
        <v>107999.989013673</v>
      </c>
      <c r="CF73" s="10">
        <f t="shared" si="26"/>
        <v>1</v>
      </c>
      <c r="CG73" s="10">
        <f t="shared" si="27"/>
        <v>1</v>
      </c>
      <c r="CH73" s="10">
        <f t="shared" si="28"/>
        <v>24</v>
      </c>
      <c r="CI73" s="9">
        <f t="shared" si="34"/>
        <v>0</v>
      </c>
      <c r="CJ73" s="10">
        <f t="shared" si="29"/>
        <v>61</v>
      </c>
      <c r="CK73" s="10" t="b">
        <f t="shared" si="35"/>
        <v>1</v>
      </c>
      <c r="CL73" s="10" t="b">
        <f t="shared" si="36"/>
        <v>1</v>
      </c>
      <c r="CM73" s="10" t="b">
        <f t="shared" si="37"/>
        <v>1</v>
      </c>
      <c r="CN73" s="9">
        <f t="shared" si="38"/>
        <v>0</v>
      </c>
      <c r="CO73" s="10">
        <f>CJ73</f>
        <v>61</v>
      </c>
      <c r="CP73" s="10" t="b">
        <f t="shared" si="39"/>
        <v>1</v>
      </c>
      <c r="CQ73" s="10" t="b">
        <f t="shared" si="40"/>
        <v>1</v>
      </c>
      <c r="CR73" s="10" cm="1">
        <f t="array" ref="CR73">_xlfn.IFS(AND($CI73=0, CK73=FALSE), NA(), AND($CI73=1, CK73=FALSE), 0, CK73=TRUE, 1)</f>
        <v>1</v>
      </c>
      <c r="CS73" s="10" cm="1">
        <f t="array" ref="CS73">_xlfn.IFS(AND($CI73=0, CL73=FALSE), NA(), AND($CI73=1, CL73=FALSE), 0, CL73=TRUE, 1)</f>
        <v>1</v>
      </c>
      <c r="CT73" s="10" cm="1">
        <f t="array" ref="CT73">_xlfn.IFS(AND($CI73=0, CM73=FALSE), NA(), AND($CI73=1, CM73=FALSE), 0, CM73=TRUE, 1)</f>
        <v>1</v>
      </c>
      <c r="CU73" s="10" cm="1">
        <f t="array" ref="CU73">_xlfn.IFS(AND($CN73=0, CP73=FALSE), NA(), AND($CN73=1, CP73=FALSE), 0, CP73=TRUE, 1)</f>
        <v>1</v>
      </c>
      <c r="CV73" s="10" cm="1">
        <f t="array" ref="CV73">_xlfn.IFS(AND($CN73=0, CQ73=FALSE), NA(), AND($CN73=1, CQ73=FALSE), 0, CQ73=TRUE, 1)</f>
        <v>1</v>
      </c>
    </row>
    <row r="74" spans="1:100" ht="15.75" x14ac:dyDescent="0.25">
      <c r="A74" s="8">
        <v>73</v>
      </c>
      <c r="B74" s="9">
        <v>529</v>
      </c>
      <c r="C74" s="10" t="s">
        <v>36</v>
      </c>
      <c r="D74" s="11" t="s">
        <v>223</v>
      </c>
      <c r="E74" s="12">
        <v>20738</v>
      </c>
      <c r="F74" s="13">
        <v>1</v>
      </c>
      <c r="G74" s="9">
        <v>49.177276611328125</v>
      </c>
      <c r="H74" s="12">
        <v>38700</v>
      </c>
      <c r="I74" s="9">
        <v>1</v>
      </c>
      <c r="J74" s="12">
        <v>38700</v>
      </c>
      <c r="K74" s="9">
        <v>0</v>
      </c>
      <c r="L74" s="9">
        <v>1</v>
      </c>
      <c r="M74" s="10" t="s">
        <v>401</v>
      </c>
      <c r="N74" s="9">
        <v>1</v>
      </c>
      <c r="O74" s="10" t="s">
        <v>401</v>
      </c>
      <c r="P74" s="9">
        <v>1</v>
      </c>
      <c r="Q74" s="10" t="s">
        <v>401</v>
      </c>
      <c r="R74" s="12">
        <v>39462</v>
      </c>
      <c r="S74" s="10" t="s">
        <v>145</v>
      </c>
      <c r="T74" s="9"/>
      <c r="U74" s="10" t="s">
        <v>401</v>
      </c>
      <c r="V74" s="10" t="s">
        <v>401</v>
      </c>
      <c r="W74" s="9"/>
      <c r="X74" s="9"/>
      <c r="Y74" s="9">
        <v>2</v>
      </c>
      <c r="Z74" s="14">
        <v>1</v>
      </c>
      <c r="AA74" s="17">
        <v>15.1</v>
      </c>
      <c r="AB74" s="18">
        <v>95</v>
      </c>
      <c r="AC74" s="18">
        <v>15</v>
      </c>
      <c r="AD74" s="9">
        <v>2</v>
      </c>
      <c r="AE74" s="9">
        <v>2</v>
      </c>
      <c r="AF74" s="9">
        <v>2</v>
      </c>
      <c r="AG74" s="9">
        <v>1</v>
      </c>
      <c r="AH74" s="9">
        <v>1</v>
      </c>
      <c r="AI74" s="9">
        <v>0</v>
      </c>
      <c r="AJ74" s="12">
        <v>43255</v>
      </c>
      <c r="AK74" s="9">
        <v>2</v>
      </c>
      <c r="AL74" s="12">
        <v>43311</v>
      </c>
      <c r="AM74" s="9">
        <v>4</v>
      </c>
      <c r="AN74" s="12">
        <v>43322</v>
      </c>
      <c r="AO74" s="12">
        <v>43322</v>
      </c>
      <c r="AP74" s="12">
        <v>43322</v>
      </c>
      <c r="AQ74" s="9">
        <v>1</v>
      </c>
      <c r="AR74" s="9">
        <f t="shared" si="30"/>
        <v>1</v>
      </c>
      <c r="AS74" s="9">
        <v>1</v>
      </c>
      <c r="AT74" s="9">
        <v>2</v>
      </c>
      <c r="AU74" s="9">
        <v>2</v>
      </c>
      <c r="AV74" s="9">
        <f t="shared" si="31"/>
        <v>1</v>
      </c>
      <c r="AW74" s="12">
        <v>43515</v>
      </c>
      <c r="AX74" s="9">
        <v>10000</v>
      </c>
      <c r="AY74" s="9">
        <v>6700</v>
      </c>
      <c r="AZ74" s="9">
        <v>2400</v>
      </c>
      <c r="BA74" s="9">
        <v>6700</v>
      </c>
      <c r="BB74" s="9">
        <v>2400.000244140625</v>
      </c>
      <c r="BC74" s="9">
        <v>234000</v>
      </c>
      <c r="BD74" s="9">
        <v>800</v>
      </c>
      <c r="BE74" s="9">
        <v>100</v>
      </c>
      <c r="BF74" s="9">
        <v>309</v>
      </c>
      <c r="BG74" s="9">
        <v>8800</v>
      </c>
      <c r="BH74" s="9">
        <v>5800</v>
      </c>
      <c r="BI74" s="9">
        <v>2300</v>
      </c>
      <c r="BJ74" s="9">
        <v>372000</v>
      </c>
      <c r="BK74" s="9">
        <v>600</v>
      </c>
      <c r="BL74" s="9">
        <v>100</v>
      </c>
      <c r="BM74" s="9">
        <v>291</v>
      </c>
      <c r="BN74" s="9">
        <v>8700</v>
      </c>
      <c r="BO74" s="9">
        <v>5700</v>
      </c>
      <c r="BP74" s="9">
        <v>2200</v>
      </c>
      <c r="BQ74" s="9">
        <v>351000</v>
      </c>
      <c r="BR74" s="9">
        <v>600</v>
      </c>
      <c r="BS74" s="9">
        <v>100</v>
      </c>
      <c r="BT74" s="9">
        <v>238</v>
      </c>
      <c r="BU74" s="9">
        <v>10000</v>
      </c>
      <c r="BV74" s="9">
        <v>6700</v>
      </c>
      <c r="BW74" s="9">
        <v>2500</v>
      </c>
      <c r="BX74" s="9">
        <v>343000</v>
      </c>
      <c r="BY74" s="9">
        <v>700</v>
      </c>
      <c r="BZ74" s="10" t="s">
        <v>526</v>
      </c>
      <c r="CA74" s="9">
        <v>190</v>
      </c>
      <c r="CB74" s="9">
        <v>185</v>
      </c>
      <c r="CC74" s="10">
        <f t="shared" si="32"/>
        <v>2.791666382683677</v>
      </c>
      <c r="CD74" s="10">
        <f t="shared" si="33"/>
        <v>97.499990081788113</v>
      </c>
      <c r="CE74" s="10">
        <f t="shared" si="25"/>
        <v>653249.93354798038</v>
      </c>
      <c r="CF74" s="10">
        <f t="shared" si="26"/>
        <v>0</v>
      </c>
      <c r="CG74" s="10">
        <f t="shared" si="27"/>
        <v>0</v>
      </c>
      <c r="CH74" s="10">
        <f t="shared" si="28"/>
        <v>1</v>
      </c>
      <c r="CI74" s="9">
        <f t="shared" si="34"/>
        <v>1</v>
      </c>
      <c r="CJ74" s="10">
        <f t="shared" si="29"/>
        <v>8</v>
      </c>
      <c r="CK74" s="10" t="b">
        <f t="shared" si="35"/>
        <v>1</v>
      </c>
      <c r="CL74" s="10" t="b">
        <f t="shared" si="36"/>
        <v>0</v>
      </c>
      <c r="CM74" s="10" t="b">
        <f t="shared" si="37"/>
        <v>0</v>
      </c>
      <c r="CN74" s="9">
        <f t="shared" si="38"/>
        <v>1</v>
      </c>
      <c r="CO74" s="10">
        <f>(YEAR(AO74)-YEAR(AJ74))*12+MONTH(AO74)-MONTH(AJ74)</f>
        <v>2</v>
      </c>
      <c r="CP74" s="10" t="b">
        <f t="shared" si="39"/>
        <v>0</v>
      </c>
      <c r="CQ74" s="10" t="b">
        <f t="shared" si="40"/>
        <v>0</v>
      </c>
      <c r="CR74" s="10" cm="1">
        <f t="array" ref="CR74">_xlfn.IFS(AND($CI74=0, CK74=FALSE), NA(), AND($CI74=1, CK74=FALSE), 0, CK74=TRUE, 1)</f>
        <v>1</v>
      </c>
      <c r="CS74" s="10" cm="1">
        <f t="array" ref="CS74">_xlfn.IFS(AND($CI74=0, CL74=FALSE), NA(), AND($CI74=1, CL74=FALSE), 0, CL74=TRUE, 1)</f>
        <v>0</v>
      </c>
      <c r="CT74" s="10" cm="1">
        <f t="array" ref="CT74">_xlfn.IFS(AND($CI74=0, CM74=FALSE), NA(), AND($CI74=1, CM74=FALSE), 0, CM74=TRUE, 1)</f>
        <v>0</v>
      </c>
      <c r="CU74" s="10" cm="1">
        <f t="array" ref="CU74">_xlfn.IFS(AND($CN74=0, CP74=FALSE), NA(), AND($CN74=1, CP74=FALSE), 0, CP74=TRUE, 1)</f>
        <v>0</v>
      </c>
      <c r="CV74" s="10" cm="1">
        <f t="array" ref="CV74">_xlfn.IFS(AND($CN74=0, CQ74=FALSE), NA(), AND($CN74=1, CQ74=FALSE), 0, CQ74=TRUE, 1)</f>
        <v>0</v>
      </c>
    </row>
    <row r="75" spans="1:100" ht="15.75" x14ac:dyDescent="0.25">
      <c r="A75" s="8">
        <v>74</v>
      </c>
      <c r="B75" s="9">
        <v>558</v>
      </c>
      <c r="C75" s="10" t="s">
        <v>35</v>
      </c>
      <c r="D75" s="11" t="s">
        <v>261</v>
      </c>
      <c r="E75" s="12">
        <v>17080</v>
      </c>
      <c r="F75" s="13">
        <v>2</v>
      </c>
      <c r="G75" s="9">
        <v>59.244354248046875</v>
      </c>
      <c r="H75" s="12">
        <v>38719</v>
      </c>
      <c r="I75" s="9">
        <v>1</v>
      </c>
      <c r="J75" s="12">
        <v>38719</v>
      </c>
      <c r="K75" s="9">
        <v>0</v>
      </c>
      <c r="L75" s="9">
        <v>1</v>
      </c>
      <c r="M75" s="10" t="s">
        <v>401</v>
      </c>
      <c r="N75" s="9">
        <v>1</v>
      </c>
      <c r="O75" s="10" t="s">
        <v>401</v>
      </c>
      <c r="P75" s="9">
        <v>1</v>
      </c>
      <c r="Q75" s="10" t="s">
        <v>401</v>
      </c>
      <c r="R75" s="12">
        <v>42249</v>
      </c>
      <c r="S75" s="10" t="s">
        <v>145</v>
      </c>
      <c r="T75" s="9">
        <v>5</v>
      </c>
      <c r="U75" s="10" t="s">
        <v>401</v>
      </c>
      <c r="V75" s="10" t="s">
        <v>401</v>
      </c>
      <c r="W75" s="9"/>
      <c r="X75" s="9"/>
      <c r="Y75" s="9">
        <v>3</v>
      </c>
      <c r="Z75" s="14">
        <v>1</v>
      </c>
      <c r="AA75" s="17">
        <v>11.6</v>
      </c>
      <c r="AB75" s="18">
        <v>86</v>
      </c>
      <c r="AC75" s="9"/>
      <c r="AD75" s="9">
        <v>1</v>
      </c>
      <c r="AE75" s="9">
        <v>1</v>
      </c>
      <c r="AF75" s="9">
        <v>1</v>
      </c>
      <c r="AG75" s="9">
        <v>1</v>
      </c>
      <c r="AH75" s="9">
        <v>1</v>
      </c>
      <c r="AI75" s="9">
        <v>0</v>
      </c>
      <c r="AJ75" s="12">
        <v>43109</v>
      </c>
      <c r="AK75" s="9">
        <v>2</v>
      </c>
      <c r="AL75" s="12">
        <v>43137</v>
      </c>
      <c r="AM75" s="9">
        <v>4</v>
      </c>
      <c r="AN75" s="12">
        <v>43154</v>
      </c>
      <c r="AO75" s="12">
        <v>43154</v>
      </c>
      <c r="AP75" s="12">
        <v>43154</v>
      </c>
      <c r="AQ75" s="9">
        <v>1</v>
      </c>
      <c r="AR75" s="9">
        <f t="shared" si="30"/>
        <v>1</v>
      </c>
      <c r="AS75" s="9">
        <v>1</v>
      </c>
      <c r="AT75" s="9">
        <v>2</v>
      </c>
      <c r="AU75" s="9">
        <v>2</v>
      </c>
      <c r="AV75" s="9">
        <f t="shared" si="31"/>
        <v>1</v>
      </c>
      <c r="AW75" s="12">
        <v>43200</v>
      </c>
      <c r="AX75" s="9">
        <v>5100</v>
      </c>
      <c r="AY75" s="9">
        <v>3860</v>
      </c>
      <c r="AZ75" s="9">
        <v>640</v>
      </c>
      <c r="BA75" s="9">
        <v>3860</v>
      </c>
      <c r="BB75" s="9">
        <v>640</v>
      </c>
      <c r="BC75" s="9">
        <v>228000</v>
      </c>
      <c r="BD75" s="9">
        <v>570</v>
      </c>
      <c r="BE75" s="9">
        <v>40</v>
      </c>
      <c r="BF75" s="9"/>
      <c r="BG75" s="9">
        <v>6100</v>
      </c>
      <c r="BH75" s="9">
        <v>4970</v>
      </c>
      <c r="BI75" s="9">
        <v>530</v>
      </c>
      <c r="BJ75" s="9">
        <v>284000</v>
      </c>
      <c r="BK75" s="9">
        <v>530</v>
      </c>
      <c r="BL75" s="9">
        <v>40</v>
      </c>
      <c r="BM75" s="9"/>
      <c r="BN75" s="9">
        <v>5900</v>
      </c>
      <c r="BO75" s="9">
        <v>4640</v>
      </c>
      <c r="BP75" s="9">
        <v>580</v>
      </c>
      <c r="BQ75" s="9">
        <v>271000</v>
      </c>
      <c r="BR75" s="9">
        <v>540</v>
      </c>
      <c r="BS75" s="9">
        <v>120</v>
      </c>
      <c r="BT75" s="9"/>
      <c r="BU75" s="9"/>
      <c r="BV75" s="9"/>
      <c r="BW75" s="9"/>
      <c r="BX75" s="9"/>
      <c r="BY75" s="9"/>
      <c r="BZ75" s="10" t="s">
        <v>401</v>
      </c>
      <c r="CA75" s="9"/>
      <c r="CB75" s="9"/>
      <c r="CC75" s="10">
        <f t="shared" si="32"/>
        <v>6.03125</v>
      </c>
      <c r="CD75" s="10">
        <f t="shared" si="33"/>
        <v>356.25</v>
      </c>
      <c r="CE75" s="10">
        <f t="shared" si="25"/>
        <v>1375125</v>
      </c>
      <c r="CF75" s="10">
        <f t="shared" si="26"/>
        <v>0</v>
      </c>
      <c r="CG75" s="10">
        <f t="shared" si="27"/>
        <v>0</v>
      </c>
      <c r="CH75" s="10">
        <f t="shared" si="28"/>
        <v>1</v>
      </c>
      <c r="CI75" s="9">
        <f t="shared" si="34"/>
        <v>1</v>
      </c>
      <c r="CJ75" s="10">
        <f t="shared" si="29"/>
        <v>3</v>
      </c>
      <c r="CK75" s="10" t="b">
        <f t="shared" si="35"/>
        <v>0</v>
      </c>
      <c r="CL75" s="10" t="b">
        <f t="shared" si="36"/>
        <v>0</v>
      </c>
      <c r="CM75" s="10" t="b">
        <f t="shared" si="37"/>
        <v>0</v>
      </c>
      <c r="CN75" s="9">
        <f t="shared" si="38"/>
        <v>1</v>
      </c>
      <c r="CO75" s="10">
        <f>(YEAR(AO75)-YEAR(AJ75))*12+MONTH(AO75)-MONTH(AJ75)</f>
        <v>1</v>
      </c>
      <c r="CP75" s="10" t="b">
        <f t="shared" si="39"/>
        <v>0</v>
      </c>
      <c r="CQ75" s="10" t="b">
        <f t="shared" si="40"/>
        <v>0</v>
      </c>
      <c r="CR75" s="10" cm="1">
        <f t="array" ref="CR75">_xlfn.IFS(AND($CI75=0, CK75=FALSE), NA(), AND($CI75=1, CK75=FALSE), 0, CK75=TRUE, 1)</f>
        <v>0</v>
      </c>
      <c r="CS75" s="10" cm="1">
        <f t="array" ref="CS75">_xlfn.IFS(AND($CI75=0, CL75=FALSE), NA(), AND($CI75=1, CL75=FALSE), 0, CL75=TRUE, 1)</f>
        <v>0</v>
      </c>
      <c r="CT75" s="10" cm="1">
        <f t="array" ref="CT75">_xlfn.IFS(AND($CI75=0, CM75=FALSE), NA(), AND($CI75=1, CM75=FALSE), 0, CM75=TRUE, 1)</f>
        <v>0</v>
      </c>
      <c r="CU75" s="10" cm="1">
        <f t="array" ref="CU75">_xlfn.IFS(AND($CN75=0, CP75=FALSE), NA(), AND($CN75=1, CP75=FALSE), 0, CP75=TRUE, 1)</f>
        <v>0</v>
      </c>
      <c r="CV75" s="10" cm="1">
        <f t="array" ref="CV75">_xlfn.IFS(AND($CN75=0, CQ75=FALSE), NA(), AND($CN75=1, CQ75=FALSE), 0, CQ75=TRUE, 1)</f>
        <v>0</v>
      </c>
    </row>
    <row r="76" spans="1:100" x14ac:dyDescent="0.25">
      <c r="A76" s="8">
        <v>75</v>
      </c>
      <c r="B76" s="9">
        <v>113</v>
      </c>
      <c r="C76" s="10" t="s">
        <v>12</v>
      </c>
      <c r="D76" s="11" t="s">
        <v>136</v>
      </c>
      <c r="E76" s="12">
        <v>17750</v>
      </c>
      <c r="F76" s="13">
        <v>2</v>
      </c>
      <c r="G76" s="9">
        <v>57.459274291992188</v>
      </c>
      <c r="H76" s="12">
        <v>38737</v>
      </c>
      <c r="I76" s="9">
        <v>1</v>
      </c>
      <c r="J76" s="12">
        <v>38804</v>
      </c>
      <c r="K76" s="9">
        <v>0</v>
      </c>
      <c r="L76" s="9">
        <v>1</v>
      </c>
      <c r="M76" s="10" t="s">
        <v>401</v>
      </c>
      <c r="N76" s="9">
        <v>2</v>
      </c>
      <c r="O76" s="10" t="s">
        <v>146</v>
      </c>
      <c r="P76" s="9">
        <v>2</v>
      </c>
      <c r="Q76" s="10" t="s">
        <v>146</v>
      </c>
      <c r="R76" s="12">
        <v>41051</v>
      </c>
      <c r="S76" s="10" t="s">
        <v>146</v>
      </c>
      <c r="T76" s="9"/>
      <c r="U76" s="10" t="s">
        <v>401</v>
      </c>
      <c r="V76" s="10" t="s">
        <v>401</v>
      </c>
      <c r="W76" s="9"/>
      <c r="X76" s="9"/>
      <c r="Y76" s="9">
        <v>2</v>
      </c>
      <c r="Z76" s="19">
        <v>2</v>
      </c>
      <c r="AB76" s="9"/>
      <c r="AC76" s="9"/>
      <c r="AD76" s="9">
        <v>2</v>
      </c>
      <c r="AE76" s="9">
        <v>2</v>
      </c>
      <c r="AF76" s="9">
        <v>2</v>
      </c>
      <c r="AG76" s="9">
        <v>0</v>
      </c>
      <c r="AH76" s="9">
        <v>1</v>
      </c>
      <c r="AI76" s="9">
        <v>0</v>
      </c>
      <c r="AJ76" s="12">
        <v>43126</v>
      </c>
      <c r="AK76" s="9">
        <v>1</v>
      </c>
      <c r="AL76" s="12">
        <v>43930</v>
      </c>
      <c r="AM76" s="9">
        <v>4</v>
      </c>
      <c r="AN76" s="12">
        <v>43220</v>
      </c>
      <c r="AO76" s="12">
        <v>43220</v>
      </c>
      <c r="AP76" s="12"/>
      <c r="AQ76" s="9">
        <v>1</v>
      </c>
      <c r="AR76" s="9">
        <f t="shared" si="30"/>
        <v>1</v>
      </c>
      <c r="AS76" s="9">
        <v>2</v>
      </c>
      <c r="AT76" s="9">
        <v>1</v>
      </c>
      <c r="AU76" s="9">
        <v>1</v>
      </c>
      <c r="AV76" s="9">
        <f t="shared" si="31"/>
        <v>0</v>
      </c>
      <c r="AW76" s="12">
        <v>43930</v>
      </c>
      <c r="AX76" s="9">
        <v>5320</v>
      </c>
      <c r="AY76" s="9">
        <v>4010</v>
      </c>
      <c r="AZ76" s="9">
        <v>780</v>
      </c>
      <c r="BA76" s="9">
        <v>4010</v>
      </c>
      <c r="BB76" s="9">
        <v>780.00018310546875</v>
      </c>
      <c r="BC76" s="9">
        <v>235000</v>
      </c>
      <c r="BD76" s="9">
        <v>330</v>
      </c>
      <c r="BE76" s="9">
        <v>20</v>
      </c>
      <c r="BF76" s="9"/>
      <c r="BG76" s="9">
        <v>5460</v>
      </c>
      <c r="BH76" s="9">
        <v>3950</v>
      </c>
      <c r="BI76" s="9">
        <v>930</v>
      </c>
      <c r="BJ76" s="9">
        <v>218000</v>
      </c>
      <c r="BK76" s="9">
        <v>330</v>
      </c>
      <c r="BL76" s="9">
        <v>20</v>
      </c>
      <c r="BM76" s="9"/>
      <c r="BN76" s="9">
        <v>6030</v>
      </c>
      <c r="BO76" s="9">
        <v>4580</v>
      </c>
      <c r="BP76" s="9">
        <v>900</v>
      </c>
      <c r="BQ76" s="9">
        <v>222000</v>
      </c>
      <c r="BR76" s="9">
        <v>330</v>
      </c>
      <c r="BS76" s="9">
        <v>200</v>
      </c>
      <c r="BT76" s="9"/>
      <c r="BU76" s="9">
        <v>6170</v>
      </c>
      <c r="BV76" s="9">
        <v>4660</v>
      </c>
      <c r="BW76" s="9">
        <v>870</v>
      </c>
      <c r="BX76" s="9">
        <v>208000</v>
      </c>
      <c r="BY76" s="9">
        <v>330</v>
      </c>
      <c r="BZ76" s="10" t="s">
        <v>548</v>
      </c>
      <c r="CA76" s="9">
        <v>290</v>
      </c>
      <c r="CB76" s="9"/>
      <c r="CC76" s="10">
        <f t="shared" si="32"/>
        <v>5.1410244341670657</v>
      </c>
      <c r="CD76" s="10">
        <f t="shared" si="33"/>
        <v>301.28198055592532</v>
      </c>
      <c r="CE76" s="10">
        <f t="shared" si="25"/>
        <v>1208140.7420292604</v>
      </c>
      <c r="CF76" s="10">
        <f t="shared" si="26"/>
        <v>0</v>
      </c>
      <c r="CG76" s="10">
        <f t="shared" si="27"/>
        <v>0</v>
      </c>
      <c r="CH76" s="10">
        <f t="shared" si="28"/>
        <v>27</v>
      </c>
      <c r="CI76" s="9">
        <f t="shared" si="34"/>
        <v>0</v>
      </c>
      <c r="CJ76" s="10">
        <f t="shared" si="29"/>
        <v>27</v>
      </c>
      <c r="CK76" s="10" t="b">
        <f t="shared" si="35"/>
        <v>1</v>
      </c>
      <c r="CL76" s="10" t="b">
        <f t="shared" si="36"/>
        <v>1</v>
      </c>
      <c r="CM76" s="10" t="b">
        <f t="shared" si="37"/>
        <v>1</v>
      </c>
      <c r="CN76" s="9">
        <f t="shared" si="38"/>
        <v>1</v>
      </c>
      <c r="CO76" s="10">
        <f>(YEAR(AO76)-YEAR(AJ76))*12+MONTH(AO76)-MONTH(AJ76)</f>
        <v>3</v>
      </c>
      <c r="CP76" s="10" t="b">
        <f t="shared" si="39"/>
        <v>1</v>
      </c>
      <c r="CQ76" s="10" t="b">
        <f t="shared" si="40"/>
        <v>0</v>
      </c>
      <c r="CR76" s="10" cm="1">
        <f t="array" ref="CR76">_xlfn.IFS(AND($CI76=0, CK76=FALSE), NA(), AND($CI76=1, CK76=FALSE), 0, CK76=TRUE, 1)</f>
        <v>1</v>
      </c>
      <c r="CS76" s="10" cm="1">
        <f t="array" ref="CS76">_xlfn.IFS(AND($CI76=0, CL76=FALSE), NA(), AND($CI76=1, CL76=FALSE), 0, CL76=TRUE, 1)</f>
        <v>1</v>
      </c>
      <c r="CT76" s="10" cm="1">
        <f t="array" ref="CT76">_xlfn.IFS(AND($CI76=0, CM76=FALSE), NA(), AND($CI76=1, CM76=FALSE), 0, CM76=TRUE, 1)</f>
        <v>1</v>
      </c>
      <c r="CU76" s="10" cm="1">
        <f t="array" ref="CU76">_xlfn.IFS(AND($CN76=0, CP76=FALSE), NA(), AND($CN76=1, CP76=FALSE), 0, CP76=TRUE, 1)</f>
        <v>1</v>
      </c>
      <c r="CV76" s="10" cm="1">
        <f t="array" ref="CV76">_xlfn.IFS(AND($CN76=0, CQ76=FALSE), NA(), AND($CN76=1, CQ76=FALSE), 0, CQ76=TRUE, 1)</f>
        <v>0</v>
      </c>
    </row>
    <row r="77" spans="1:100" ht="15.75" x14ac:dyDescent="0.25">
      <c r="A77" s="8">
        <v>76</v>
      </c>
      <c r="B77" s="9">
        <v>36</v>
      </c>
      <c r="C77" s="10" t="s">
        <v>6</v>
      </c>
      <c r="D77" s="11" t="s">
        <v>59</v>
      </c>
      <c r="E77" s="12">
        <v>17693</v>
      </c>
      <c r="F77" s="13">
        <v>1</v>
      </c>
      <c r="G77" s="9">
        <v>57.650924682617188</v>
      </c>
      <c r="H77" s="12">
        <v>38750</v>
      </c>
      <c r="I77" s="9">
        <v>1</v>
      </c>
      <c r="J77" s="12">
        <v>38750</v>
      </c>
      <c r="K77" s="9">
        <v>0</v>
      </c>
      <c r="L77" s="9">
        <v>1</v>
      </c>
      <c r="M77" s="10" t="s">
        <v>401</v>
      </c>
      <c r="N77" s="9">
        <v>1</v>
      </c>
      <c r="O77" s="10" t="s">
        <v>401</v>
      </c>
      <c r="P77" s="9">
        <v>1</v>
      </c>
      <c r="Q77" s="10" t="s">
        <v>401</v>
      </c>
      <c r="R77" s="12">
        <v>39475</v>
      </c>
      <c r="S77" s="10" t="s">
        <v>145</v>
      </c>
      <c r="T77" s="9">
        <v>6</v>
      </c>
      <c r="U77" s="10" t="s">
        <v>147</v>
      </c>
      <c r="V77" s="10" t="s">
        <v>149</v>
      </c>
      <c r="W77" s="9"/>
      <c r="X77" s="9"/>
      <c r="Y77" s="9">
        <v>5</v>
      </c>
      <c r="Z77" s="14">
        <v>1</v>
      </c>
      <c r="AA77" s="17">
        <v>12.1</v>
      </c>
      <c r="AB77" s="18" t="s">
        <v>467</v>
      </c>
      <c r="AC77" s="18">
        <v>13</v>
      </c>
      <c r="AD77" s="9">
        <v>1</v>
      </c>
      <c r="AE77" s="9">
        <v>1</v>
      </c>
      <c r="AF77" s="9">
        <v>1</v>
      </c>
      <c r="AG77" s="9">
        <v>0</v>
      </c>
      <c r="AH77" s="9">
        <v>1</v>
      </c>
      <c r="AI77" s="9">
        <v>1</v>
      </c>
      <c r="AJ77" s="12">
        <v>42279</v>
      </c>
      <c r="AK77" s="9">
        <v>2</v>
      </c>
      <c r="AL77" s="12">
        <v>44911</v>
      </c>
      <c r="AM77" s="9">
        <v>2</v>
      </c>
      <c r="AN77" s="12">
        <v>42464</v>
      </c>
      <c r="AO77" s="12"/>
      <c r="AP77" s="12"/>
      <c r="AQ77" s="9">
        <v>2</v>
      </c>
      <c r="AR77" s="9">
        <f t="shared" si="30"/>
        <v>0</v>
      </c>
      <c r="AS77" s="9">
        <v>2</v>
      </c>
      <c r="AT77" s="9"/>
      <c r="AU77" s="9">
        <v>1</v>
      </c>
      <c r="AV77" s="9">
        <f t="shared" si="31"/>
        <v>0</v>
      </c>
      <c r="AW77" s="12">
        <v>44986</v>
      </c>
      <c r="AX77" s="9">
        <v>7110</v>
      </c>
      <c r="AY77" s="9">
        <v>3180</v>
      </c>
      <c r="AZ77" s="9">
        <v>2790</v>
      </c>
      <c r="BA77" s="9">
        <v>3180</v>
      </c>
      <c r="BB77" s="9">
        <v>2790</v>
      </c>
      <c r="BC77" s="9">
        <v>251000</v>
      </c>
      <c r="BD77" s="9">
        <v>600</v>
      </c>
      <c r="BE77" s="9">
        <v>100</v>
      </c>
      <c r="BF77" s="9">
        <v>377</v>
      </c>
      <c r="BG77" s="9">
        <v>5770</v>
      </c>
      <c r="BH77" s="9">
        <v>2770</v>
      </c>
      <c r="BI77" s="9">
        <v>2200</v>
      </c>
      <c r="BJ77" s="9">
        <v>255000</v>
      </c>
      <c r="BK77" s="9">
        <v>400</v>
      </c>
      <c r="BL77" s="9">
        <v>90</v>
      </c>
      <c r="BM77" s="9">
        <v>321</v>
      </c>
      <c r="BN77" s="9">
        <v>5890</v>
      </c>
      <c r="BO77" s="9">
        <v>2800</v>
      </c>
      <c r="BP77" s="9">
        <v>2080</v>
      </c>
      <c r="BQ77" s="9">
        <v>287000</v>
      </c>
      <c r="BR77" s="9">
        <v>430</v>
      </c>
      <c r="BS77" s="9">
        <v>140</v>
      </c>
      <c r="BT77" s="9">
        <v>395</v>
      </c>
      <c r="BU77" s="9">
        <v>6300</v>
      </c>
      <c r="BV77" s="9">
        <v>3200</v>
      </c>
      <c r="BW77" s="9">
        <v>2130</v>
      </c>
      <c r="BX77" s="9">
        <v>270000</v>
      </c>
      <c r="BY77" s="9">
        <v>410</v>
      </c>
      <c r="BZ77" s="10" t="s">
        <v>549</v>
      </c>
      <c r="CA77" s="9">
        <v>110</v>
      </c>
      <c r="CB77" s="9">
        <v>975</v>
      </c>
      <c r="CC77" s="10">
        <f t="shared" si="32"/>
        <v>1.1397849462365592</v>
      </c>
      <c r="CD77" s="10">
        <f t="shared" si="33"/>
        <v>89.964157706093189</v>
      </c>
      <c r="CE77" s="10">
        <f t="shared" si="25"/>
        <v>286086.02150537638</v>
      </c>
      <c r="CF77" s="10">
        <f t="shared" si="26"/>
        <v>1</v>
      </c>
      <c r="CG77" s="10">
        <f t="shared" si="27"/>
        <v>1</v>
      </c>
      <c r="CH77" s="10">
        <f t="shared" si="28"/>
        <v>86</v>
      </c>
      <c r="CI77" s="9">
        <f t="shared" si="34"/>
        <v>0</v>
      </c>
      <c r="CJ77" s="10">
        <f t="shared" si="29"/>
        <v>89</v>
      </c>
      <c r="CK77" s="10" t="b">
        <f t="shared" si="35"/>
        <v>1</v>
      </c>
      <c r="CL77" s="10" t="b">
        <f t="shared" si="36"/>
        <v>1</v>
      </c>
      <c r="CM77" s="10" t="b">
        <f t="shared" si="37"/>
        <v>1</v>
      </c>
      <c r="CN77" s="9">
        <f t="shared" si="38"/>
        <v>0</v>
      </c>
      <c r="CO77" s="10">
        <f t="shared" ref="CO77:CO78" si="41">CJ77</f>
        <v>89</v>
      </c>
      <c r="CP77" s="10" t="b">
        <f t="shared" si="39"/>
        <v>1</v>
      </c>
      <c r="CQ77" s="10" t="b">
        <f t="shared" si="40"/>
        <v>1</v>
      </c>
      <c r="CR77" s="10" cm="1">
        <f t="array" ref="CR77">_xlfn.IFS(AND($CI77=0, CK77=FALSE), NA(), AND($CI77=1, CK77=FALSE), 0, CK77=TRUE, 1)</f>
        <v>1</v>
      </c>
      <c r="CS77" s="10" cm="1">
        <f t="array" ref="CS77">_xlfn.IFS(AND($CI77=0, CL77=FALSE), NA(), AND($CI77=1, CL77=FALSE), 0, CL77=TRUE, 1)</f>
        <v>1</v>
      </c>
      <c r="CT77" s="10" cm="1">
        <f t="array" ref="CT77">_xlfn.IFS(AND($CI77=0, CM77=FALSE), NA(), AND($CI77=1, CM77=FALSE), 0, CM77=TRUE, 1)</f>
        <v>1</v>
      </c>
      <c r="CU77" s="10" cm="1">
        <f t="array" ref="CU77">_xlfn.IFS(AND($CN77=0, CP77=FALSE), NA(), AND($CN77=1, CP77=FALSE), 0, CP77=TRUE, 1)</f>
        <v>1</v>
      </c>
      <c r="CV77" s="10" cm="1">
        <f t="array" ref="CV77">_xlfn.IFS(AND($CN77=0, CQ77=FALSE), NA(), AND($CN77=1, CQ77=FALSE), 0, CQ77=TRUE, 1)</f>
        <v>1</v>
      </c>
    </row>
    <row r="78" spans="1:100" ht="15.75" x14ac:dyDescent="0.25">
      <c r="A78" s="8">
        <v>77</v>
      </c>
      <c r="B78" s="9">
        <v>553</v>
      </c>
      <c r="C78" s="10" t="s">
        <v>35</v>
      </c>
      <c r="D78" s="11" t="s">
        <v>393</v>
      </c>
      <c r="E78" s="12">
        <v>23956</v>
      </c>
      <c r="F78" s="13">
        <v>1</v>
      </c>
      <c r="G78" s="9">
        <v>40.520191192626953</v>
      </c>
      <c r="H78" s="12">
        <v>38756</v>
      </c>
      <c r="I78" s="9">
        <v>1</v>
      </c>
      <c r="J78" s="12">
        <v>38756</v>
      </c>
      <c r="K78" s="9">
        <v>0</v>
      </c>
      <c r="L78" s="9">
        <v>1</v>
      </c>
      <c r="M78" s="10" t="s">
        <v>401</v>
      </c>
      <c r="N78" s="9">
        <v>1</v>
      </c>
      <c r="O78" s="10" t="s">
        <v>401</v>
      </c>
      <c r="P78" s="9">
        <v>1</v>
      </c>
      <c r="Q78" s="10" t="s">
        <v>401</v>
      </c>
      <c r="R78" s="12">
        <v>41331</v>
      </c>
      <c r="S78" s="10" t="s">
        <v>145</v>
      </c>
      <c r="T78" s="9"/>
      <c r="U78" s="10" t="s">
        <v>401</v>
      </c>
      <c r="V78" s="10" t="s">
        <v>401</v>
      </c>
      <c r="W78" s="9"/>
      <c r="X78" s="9"/>
      <c r="Y78" s="9">
        <v>2</v>
      </c>
      <c r="Z78" s="14">
        <v>1</v>
      </c>
      <c r="AA78" s="28">
        <v>15.2</v>
      </c>
      <c r="AB78" s="29">
        <v>87</v>
      </c>
      <c r="AC78" s="9"/>
      <c r="AD78" s="9">
        <v>1</v>
      </c>
      <c r="AE78" s="9">
        <v>1</v>
      </c>
      <c r="AF78" s="9">
        <v>1</v>
      </c>
      <c r="AG78" s="9">
        <v>1</v>
      </c>
      <c r="AH78" s="9">
        <v>1</v>
      </c>
      <c r="AI78" s="9">
        <v>0</v>
      </c>
      <c r="AJ78" s="12">
        <v>42927</v>
      </c>
      <c r="AK78" s="9">
        <v>1</v>
      </c>
      <c r="AL78" s="12">
        <v>44915</v>
      </c>
      <c r="AM78" s="9">
        <v>1</v>
      </c>
      <c r="AN78" s="12">
        <v>43006</v>
      </c>
      <c r="AO78" s="12"/>
      <c r="AP78" s="12"/>
      <c r="AQ78" s="9">
        <v>2</v>
      </c>
      <c r="AR78" s="9">
        <f t="shared" si="30"/>
        <v>0</v>
      </c>
      <c r="AS78" s="9">
        <v>2</v>
      </c>
      <c r="AT78" s="9"/>
      <c r="AU78" s="9">
        <v>1</v>
      </c>
      <c r="AV78" s="9">
        <f t="shared" si="31"/>
        <v>0</v>
      </c>
      <c r="AW78" s="12">
        <v>44915</v>
      </c>
      <c r="AX78" s="9">
        <v>6900</v>
      </c>
      <c r="AY78" s="9">
        <v>4400</v>
      </c>
      <c r="AZ78" s="9">
        <v>1700</v>
      </c>
      <c r="BA78" s="9">
        <v>4400</v>
      </c>
      <c r="BB78" s="9">
        <v>1700.0001220703125</v>
      </c>
      <c r="BC78" s="9">
        <v>209000</v>
      </c>
      <c r="BD78" s="9">
        <v>520</v>
      </c>
      <c r="BE78" s="9">
        <v>260</v>
      </c>
      <c r="BF78" s="9">
        <v>211</v>
      </c>
      <c r="BG78" s="9">
        <v>6800</v>
      </c>
      <c r="BH78" s="9">
        <v>4350</v>
      </c>
      <c r="BI78" s="9">
        <v>1760</v>
      </c>
      <c r="BJ78" s="9">
        <v>255000</v>
      </c>
      <c r="BK78" s="9">
        <v>450</v>
      </c>
      <c r="BL78" s="9">
        <v>230</v>
      </c>
      <c r="BM78" s="9"/>
      <c r="BN78" s="9">
        <v>6800</v>
      </c>
      <c r="BO78" s="9">
        <v>4580</v>
      </c>
      <c r="BP78" s="9">
        <v>1640</v>
      </c>
      <c r="BQ78" s="9">
        <v>202000</v>
      </c>
      <c r="BR78" s="9">
        <v>420</v>
      </c>
      <c r="BS78" s="9">
        <v>160</v>
      </c>
      <c r="BT78" s="9"/>
      <c r="BU78" s="9">
        <v>6400</v>
      </c>
      <c r="BV78" s="9">
        <v>4080</v>
      </c>
      <c r="BW78" s="9">
        <v>1690</v>
      </c>
      <c r="BX78" s="9">
        <v>226000</v>
      </c>
      <c r="BY78" s="9">
        <v>430</v>
      </c>
      <c r="BZ78" s="10" t="s">
        <v>524</v>
      </c>
      <c r="CA78" s="9">
        <v>200</v>
      </c>
      <c r="CB78" s="9"/>
      <c r="CC78" s="10">
        <f t="shared" si="32"/>
        <v>2.5882351082666655</v>
      </c>
      <c r="CD78" s="10">
        <f t="shared" si="33"/>
        <v>122.94116764266661</v>
      </c>
      <c r="CE78" s="10">
        <f t="shared" si="25"/>
        <v>540941.13762773306</v>
      </c>
      <c r="CF78" s="10">
        <f t="shared" si="26"/>
        <v>1</v>
      </c>
      <c r="CG78" s="10">
        <f t="shared" si="27"/>
        <v>1</v>
      </c>
      <c r="CH78" s="10">
        <f t="shared" si="28"/>
        <v>65</v>
      </c>
      <c r="CI78" s="9">
        <f t="shared" si="34"/>
        <v>0</v>
      </c>
      <c r="CJ78" s="10">
        <f t="shared" si="29"/>
        <v>65</v>
      </c>
      <c r="CK78" s="10" t="b">
        <f t="shared" si="35"/>
        <v>1</v>
      </c>
      <c r="CL78" s="10" t="b">
        <f t="shared" si="36"/>
        <v>1</v>
      </c>
      <c r="CM78" s="10" t="b">
        <f t="shared" si="37"/>
        <v>1</v>
      </c>
      <c r="CN78" s="9">
        <f t="shared" si="38"/>
        <v>0</v>
      </c>
      <c r="CO78" s="10">
        <f t="shared" si="41"/>
        <v>65</v>
      </c>
      <c r="CP78" s="10" t="b">
        <f t="shared" si="39"/>
        <v>1</v>
      </c>
      <c r="CQ78" s="10" t="b">
        <f t="shared" si="40"/>
        <v>1</v>
      </c>
      <c r="CR78" s="10" cm="1">
        <f t="array" ref="CR78">_xlfn.IFS(AND($CI78=0, CK78=FALSE), NA(), AND($CI78=1, CK78=FALSE), 0, CK78=TRUE, 1)</f>
        <v>1</v>
      </c>
      <c r="CS78" s="10" cm="1">
        <f t="array" ref="CS78">_xlfn.IFS(AND($CI78=0, CL78=FALSE), NA(), AND($CI78=1, CL78=FALSE), 0, CL78=TRUE, 1)</f>
        <v>1</v>
      </c>
      <c r="CT78" s="10" cm="1">
        <f t="array" ref="CT78">_xlfn.IFS(AND($CI78=0, CM78=FALSE), NA(), AND($CI78=1, CM78=FALSE), 0, CM78=TRUE, 1)</f>
        <v>1</v>
      </c>
      <c r="CU78" s="10" cm="1">
        <f t="array" ref="CU78">_xlfn.IFS(AND($CN78=0, CP78=FALSE), NA(), AND($CN78=1, CP78=FALSE), 0, CP78=TRUE, 1)</f>
        <v>1</v>
      </c>
      <c r="CV78" s="10" cm="1">
        <f t="array" ref="CV78">_xlfn.IFS(AND($CN78=0, CQ78=FALSE), NA(), AND($CN78=1, CQ78=FALSE), 0, CQ78=TRUE, 1)</f>
        <v>1</v>
      </c>
    </row>
    <row r="79" spans="1:100" ht="15.75" x14ac:dyDescent="0.25">
      <c r="A79" s="8">
        <v>78</v>
      </c>
      <c r="B79" s="9">
        <v>373</v>
      </c>
      <c r="C79" s="10" t="s">
        <v>28</v>
      </c>
      <c r="D79" s="11" t="s">
        <v>56</v>
      </c>
      <c r="E79" s="12">
        <v>15649</v>
      </c>
      <c r="F79" s="13">
        <v>1</v>
      </c>
      <c r="G79" s="9">
        <v>63.268993377685547</v>
      </c>
      <c r="H79" s="12">
        <v>38758</v>
      </c>
      <c r="I79" s="9">
        <v>1</v>
      </c>
      <c r="J79" s="12">
        <v>38758</v>
      </c>
      <c r="K79" s="9">
        <v>0</v>
      </c>
      <c r="L79" s="9">
        <v>1</v>
      </c>
      <c r="M79" s="10" t="s">
        <v>401</v>
      </c>
      <c r="N79" s="9">
        <v>1</v>
      </c>
      <c r="O79" s="10" t="s">
        <v>401</v>
      </c>
      <c r="P79" s="9">
        <v>1</v>
      </c>
      <c r="Q79" s="10" t="s">
        <v>401</v>
      </c>
      <c r="R79" s="12">
        <v>40281</v>
      </c>
      <c r="S79" s="10" t="s">
        <v>145</v>
      </c>
      <c r="T79" s="9">
        <v>6</v>
      </c>
      <c r="U79" s="10" t="s">
        <v>147</v>
      </c>
      <c r="V79" s="10" t="s">
        <v>401</v>
      </c>
      <c r="W79" s="9"/>
      <c r="X79" s="9"/>
      <c r="Y79" s="9">
        <v>4</v>
      </c>
      <c r="Z79" s="14">
        <v>1</v>
      </c>
      <c r="AA79" s="15">
        <v>12</v>
      </c>
      <c r="AB79" s="16">
        <v>111</v>
      </c>
      <c r="AC79" s="16">
        <v>19</v>
      </c>
      <c r="AD79" s="9">
        <v>2</v>
      </c>
      <c r="AE79" s="9">
        <v>2</v>
      </c>
      <c r="AF79" s="9">
        <v>1</v>
      </c>
      <c r="AG79" s="9">
        <v>1</v>
      </c>
      <c r="AH79" s="9">
        <v>1</v>
      </c>
      <c r="AI79" s="9">
        <v>0</v>
      </c>
      <c r="AJ79" s="12">
        <v>43172</v>
      </c>
      <c r="AK79" s="9">
        <v>2</v>
      </c>
      <c r="AL79" s="12">
        <v>43677</v>
      </c>
      <c r="AM79" s="9">
        <v>3</v>
      </c>
      <c r="AN79" s="12">
        <v>43257</v>
      </c>
      <c r="AO79" s="12">
        <v>43723</v>
      </c>
      <c r="AP79" s="12">
        <v>43723</v>
      </c>
      <c r="AQ79" s="9">
        <v>1</v>
      </c>
      <c r="AR79" s="9">
        <f t="shared" si="30"/>
        <v>1</v>
      </c>
      <c r="AS79" s="9">
        <v>1</v>
      </c>
      <c r="AT79" s="9">
        <v>2</v>
      </c>
      <c r="AU79" s="9">
        <v>2</v>
      </c>
      <c r="AV79" s="9">
        <f t="shared" si="31"/>
        <v>1</v>
      </c>
      <c r="AW79" s="12">
        <v>43723</v>
      </c>
      <c r="AX79" s="9">
        <v>6210</v>
      </c>
      <c r="AY79" s="9">
        <v>3460</v>
      </c>
      <c r="AZ79" s="9">
        <v>1390</v>
      </c>
      <c r="BA79" s="9">
        <v>3460</v>
      </c>
      <c r="BB79" s="9">
        <v>1390.0001220703125</v>
      </c>
      <c r="BC79" s="9">
        <v>303000</v>
      </c>
      <c r="BD79" s="9">
        <v>590</v>
      </c>
      <c r="BE79" s="9">
        <v>540</v>
      </c>
      <c r="BF79" s="9">
        <v>448</v>
      </c>
      <c r="BG79" s="9">
        <v>7530</v>
      </c>
      <c r="BH79" s="9">
        <v>4510</v>
      </c>
      <c r="BI79" s="9">
        <v>1510</v>
      </c>
      <c r="BJ79" s="9">
        <v>362000</v>
      </c>
      <c r="BK79" s="9">
        <v>750</v>
      </c>
      <c r="BL79" s="9">
        <v>430</v>
      </c>
      <c r="BM79" s="9">
        <v>638</v>
      </c>
      <c r="BN79" s="9">
        <v>8020</v>
      </c>
      <c r="BO79" s="9">
        <v>4470</v>
      </c>
      <c r="BP79" s="9">
        <v>1660</v>
      </c>
      <c r="BQ79" s="9">
        <v>304000</v>
      </c>
      <c r="BR79" s="9">
        <v>950</v>
      </c>
      <c r="BS79" s="9">
        <v>700</v>
      </c>
      <c r="BT79" s="9">
        <v>535</v>
      </c>
      <c r="BU79" s="9">
        <v>8670</v>
      </c>
      <c r="BV79" s="9">
        <v>5180</v>
      </c>
      <c r="BW79" s="9">
        <v>1850</v>
      </c>
      <c r="BX79" s="9">
        <v>348000</v>
      </c>
      <c r="BY79" s="9">
        <v>1010</v>
      </c>
      <c r="BZ79" s="10" t="s">
        <v>538</v>
      </c>
      <c r="CA79" s="9">
        <v>250</v>
      </c>
      <c r="CB79" s="9">
        <v>528</v>
      </c>
      <c r="CC79" s="10">
        <f t="shared" si="32"/>
        <v>2.4892084144903244</v>
      </c>
      <c r="CD79" s="10">
        <f t="shared" si="33"/>
        <v>217.98559236721627</v>
      </c>
      <c r="CE79" s="10">
        <f t="shared" si="25"/>
        <v>754230.14959056827</v>
      </c>
      <c r="CF79" s="10">
        <f t="shared" si="26"/>
        <v>1</v>
      </c>
      <c r="CG79" s="10">
        <f t="shared" si="27"/>
        <v>0</v>
      </c>
      <c r="CH79" s="10">
        <f t="shared" si="28"/>
        <v>16</v>
      </c>
      <c r="CI79" s="9">
        <f t="shared" si="34"/>
        <v>1</v>
      </c>
      <c r="CJ79" s="10">
        <f t="shared" si="29"/>
        <v>18</v>
      </c>
      <c r="CK79" s="10" t="b">
        <f t="shared" si="35"/>
        <v>1</v>
      </c>
      <c r="CL79" s="10" t="b">
        <f t="shared" si="36"/>
        <v>1</v>
      </c>
      <c r="CM79" s="10" t="b">
        <f t="shared" si="37"/>
        <v>0</v>
      </c>
      <c r="CN79" s="9">
        <f t="shared" si="38"/>
        <v>1</v>
      </c>
      <c r="CO79" s="10">
        <f t="shared" ref="CO79:CO92" si="42">(YEAR(AO79)-YEAR(AJ79))*12+MONTH(AO79)-MONTH(AJ79)</f>
        <v>18</v>
      </c>
      <c r="CP79" s="10" t="b">
        <f t="shared" si="39"/>
        <v>1</v>
      </c>
      <c r="CQ79" s="10" t="b">
        <f t="shared" si="40"/>
        <v>1</v>
      </c>
      <c r="CR79" s="10" cm="1">
        <f t="array" ref="CR79">_xlfn.IFS(AND($CI79=0, CK79=FALSE), NA(), AND($CI79=1, CK79=FALSE), 0, CK79=TRUE, 1)</f>
        <v>1</v>
      </c>
      <c r="CS79" s="10" cm="1">
        <f t="array" ref="CS79">_xlfn.IFS(AND($CI79=0, CL79=FALSE), NA(), AND($CI79=1, CL79=FALSE), 0, CL79=TRUE, 1)</f>
        <v>1</v>
      </c>
      <c r="CT79" s="10" cm="1">
        <f t="array" ref="CT79">_xlfn.IFS(AND($CI79=0, CM79=FALSE), NA(), AND($CI79=1, CM79=FALSE), 0, CM79=TRUE, 1)</f>
        <v>0</v>
      </c>
      <c r="CU79" s="10" cm="1">
        <f t="array" ref="CU79">_xlfn.IFS(AND($CN79=0, CP79=FALSE), NA(), AND($CN79=1, CP79=FALSE), 0, CP79=TRUE, 1)</f>
        <v>1</v>
      </c>
      <c r="CV79" s="10" cm="1">
        <f t="array" ref="CV79">_xlfn.IFS(AND($CN79=0, CQ79=FALSE), NA(), AND($CN79=1, CQ79=FALSE), 0, CQ79=TRUE, 1)</f>
        <v>1</v>
      </c>
    </row>
    <row r="80" spans="1:100" ht="15.75" x14ac:dyDescent="0.25">
      <c r="A80" s="8">
        <v>79</v>
      </c>
      <c r="B80" s="9">
        <v>127</v>
      </c>
      <c r="C80" s="10" t="s">
        <v>16</v>
      </c>
      <c r="D80" s="11" t="s">
        <v>169</v>
      </c>
      <c r="E80" s="12">
        <v>13697</v>
      </c>
      <c r="F80" s="13">
        <v>2</v>
      </c>
      <c r="G80" s="9">
        <v>68.739219665527344</v>
      </c>
      <c r="H80" s="12">
        <v>38804</v>
      </c>
      <c r="I80" s="9">
        <v>1</v>
      </c>
      <c r="J80" s="12">
        <v>38804</v>
      </c>
      <c r="K80" s="9">
        <v>0</v>
      </c>
      <c r="L80" s="9">
        <v>1</v>
      </c>
      <c r="M80" s="10" t="s">
        <v>401</v>
      </c>
      <c r="N80" s="9"/>
      <c r="O80" s="10" t="s">
        <v>425</v>
      </c>
      <c r="P80" s="9"/>
      <c r="Q80" s="10" t="s">
        <v>425</v>
      </c>
      <c r="R80" s="12">
        <v>39134</v>
      </c>
      <c r="S80" s="10" t="s">
        <v>145</v>
      </c>
      <c r="T80" s="9">
        <v>6</v>
      </c>
      <c r="U80" s="10" t="s">
        <v>401</v>
      </c>
      <c r="V80" s="10" t="s">
        <v>401</v>
      </c>
      <c r="W80" s="9"/>
      <c r="X80" s="9"/>
      <c r="Y80" s="9">
        <v>3</v>
      </c>
      <c r="Z80" s="14">
        <v>1</v>
      </c>
      <c r="AA80" s="15">
        <v>11.6</v>
      </c>
      <c r="AB80" s="16">
        <v>86</v>
      </c>
      <c r="AC80" s="16">
        <v>20</v>
      </c>
      <c r="AD80" s="9">
        <v>2</v>
      </c>
      <c r="AE80" s="9">
        <v>3</v>
      </c>
      <c r="AF80" s="9">
        <v>2</v>
      </c>
      <c r="AG80" s="9">
        <v>0</v>
      </c>
      <c r="AH80" s="9">
        <v>1</v>
      </c>
      <c r="AI80" s="9">
        <v>0</v>
      </c>
      <c r="AJ80" s="12">
        <v>42356</v>
      </c>
      <c r="AK80" s="9">
        <v>2</v>
      </c>
      <c r="AL80" s="12">
        <v>42845</v>
      </c>
      <c r="AM80" s="9">
        <v>2</v>
      </c>
      <c r="AN80" s="12">
        <v>42467</v>
      </c>
      <c r="AO80" s="12">
        <v>42649</v>
      </c>
      <c r="AP80" s="12">
        <v>42849</v>
      </c>
      <c r="AQ80" s="9">
        <v>1</v>
      </c>
      <c r="AR80" s="9">
        <f t="shared" si="30"/>
        <v>1</v>
      </c>
      <c r="AS80" s="9">
        <v>1</v>
      </c>
      <c r="AT80" s="9">
        <v>1</v>
      </c>
      <c r="AU80" s="9">
        <v>2</v>
      </c>
      <c r="AV80" s="9">
        <f t="shared" si="31"/>
        <v>1</v>
      </c>
      <c r="AW80" s="12">
        <v>43743</v>
      </c>
      <c r="AX80" s="9">
        <v>9740</v>
      </c>
      <c r="AY80" s="9">
        <v>5740</v>
      </c>
      <c r="AZ80" s="9">
        <v>3030</v>
      </c>
      <c r="BA80" s="9">
        <v>5740</v>
      </c>
      <c r="BB80" s="9">
        <v>3030.001220703125</v>
      </c>
      <c r="BC80" s="9">
        <v>276000</v>
      </c>
      <c r="BD80" s="9">
        <v>660</v>
      </c>
      <c r="BE80" s="9">
        <v>170</v>
      </c>
      <c r="BF80" s="9">
        <v>308</v>
      </c>
      <c r="BG80" s="9">
        <v>10020</v>
      </c>
      <c r="BH80" s="9">
        <v>6200</v>
      </c>
      <c r="BI80" s="9"/>
      <c r="BJ80" s="9">
        <v>300000</v>
      </c>
      <c r="BK80" s="9"/>
      <c r="BL80" s="9"/>
      <c r="BM80" s="9">
        <v>222</v>
      </c>
      <c r="BN80" s="9"/>
      <c r="BO80" s="9">
        <v>4100</v>
      </c>
      <c r="BP80" s="9"/>
      <c r="BQ80" s="9">
        <v>256000</v>
      </c>
      <c r="BR80" s="9"/>
      <c r="BS80" s="9"/>
      <c r="BT80" s="9"/>
      <c r="BU80" s="9">
        <v>7940</v>
      </c>
      <c r="BV80" s="9">
        <v>4500</v>
      </c>
      <c r="BW80" s="9"/>
      <c r="BX80" s="9">
        <v>247000</v>
      </c>
      <c r="BY80" s="9"/>
      <c r="BZ80" s="10" t="s">
        <v>401</v>
      </c>
      <c r="CA80" s="9"/>
      <c r="CB80" s="9">
        <v>173</v>
      </c>
      <c r="CC80" s="10">
        <f t="shared" si="32"/>
        <v>1.8943886757471364</v>
      </c>
      <c r="CD80" s="10">
        <f t="shared" si="33"/>
        <v>91.089072213625371</v>
      </c>
      <c r="CE80" s="10">
        <f t="shared" si="25"/>
        <v>522851.27450620965</v>
      </c>
      <c r="CF80" s="10">
        <f t="shared" si="26"/>
        <v>1</v>
      </c>
      <c r="CG80" s="10">
        <f t="shared" si="27"/>
        <v>1</v>
      </c>
      <c r="CH80" s="10">
        <f t="shared" si="28"/>
        <v>16</v>
      </c>
      <c r="CI80" s="9">
        <f t="shared" si="34"/>
        <v>1</v>
      </c>
      <c r="CJ80" s="10">
        <f t="shared" si="29"/>
        <v>46</v>
      </c>
      <c r="CK80" s="10" t="b">
        <f t="shared" si="35"/>
        <v>1</v>
      </c>
      <c r="CL80" s="10" t="b">
        <f t="shared" si="36"/>
        <v>1</v>
      </c>
      <c r="CM80" s="10" t="b">
        <f t="shared" si="37"/>
        <v>1</v>
      </c>
      <c r="CN80" s="9">
        <f t="shared" si="38"/>
        <v>1</v>
      </c>
      <c r="CO80" s="10">
        <f t="shared" si="42"/>
        <v>10</v>
      </c>
      <c r="CP80" s="10" t="b">
        <f t="shared" si="39"/>
        <v>1</v>
      </c>
      <c r="CQ80" s="10" t="b">
        <f t="shared" si="40"/>
        <v>1</v>
      </c>
      <c r="CR80" s="10" cm="1">
        <f t="array" ref="CR80">_xlfn.IFS(AND($CI80=0, CK80=FALSE), NA(), AND($CI80=1, CK80=FALSE), 0, CK80=TRUE, 1)</f>
        <v>1</v>
      </c>
      <c r="CS80" s="10" cm="1">
        <f t="array" ref="CS80">_xlfn.IFS(AND($CI80=0, CL80=FALSE), NA(), AND($CI80=1, CL80=FALSE), 0, CL80=TRUE, 1)</f>
        <v>1</v>
      </c>
      <c r="CT80" s="10" cm="1">
        <f t="array" ref="CT80">_xlfn.IFS(AND($CI80=0, CM80=FALSE), NA(), AND($CI80=1, CM80=FALSE), 0, CM80=TRUE, 1)</f>
        <v>1</v>
      </c>
      <c r="CU80" s="10" cm="1">
        <f t="array" ref="CU80">_xlfn.IFS(AND($CN80=0, CP80=FALSE), NA(), AND($CN80=1, CP80=FALSE), 0, CP80=TRUE, 1)</f>
        <v>1</v>
      </c>
      <c r="CV80" s="10" cm="1">
        <f t="array" ref="CV80">_xlfn.IFS(AND($CN80=0, CQ80=FALSE), NA(), AND($CN80=1, CQ80=FALSE), 0, CQ80=TRUE, 1)</f>
        <v>1</v>
      </c>
    </row>
    <row r="81" spans="1:100" ht="15.75" x14ac:dyDescent="0.25">
      <c r="A81" s="8">
        <v>80</v>
      </c>
      <c r="B81" s="9">
        <v>347</v>
      </c>
      <c r="C81" s="10" t="s">
        <v>27</v>
      </c>
      <c r="D81" s="11" t="s">
        <v>283</v>
      </c>
      <c r="E81" s="12">
        <v>21721</v>
      </c>
      <c r="F81" s="13">
        <v>2</v>
      </c>
      <c r="G81" s="9">
        <v>47.115673065185547</v>
      </c>
      <c r="H81" s="12">
        <v>38930</v>
      </c>
      <c r="I81" s="9">
        <v>1</v>
      </c>
      <c r="J81" s="12">
        <v>38953</v>
      </c>
      <c r="K81" s="9">
        <v>0</v>
      </c>
      <c r="L81" s="9">
        <v>1</v>
      </c>
      <c r="M81" s="10" t="s">
        <v>401</v>
      </c>
      <c r="N81" s="9">
        <v>1</v>
      </c>
      <c r="O81" s="10" t="s">
        <v>401</v>
      </c>
      <c r="P81" s="9">
        <v>2</v>
      </c>
      <c r="Q81" s="10" t="s">
        <v>147</v>
      </c>
      <c r="R81" s="12">
        <v>41590</v>
      </c>
      <c r="S81" s="10" t="s">
        <v>146</v>
      </c>
      <c r="T81" s="9">
        <v>4</v>
      </c>
      <c r="U81" s="10" t="s">
        <v>401</v>
      </c>
      <c r="V81" s="10" t="s">
        <v>401</v>
      </c>
      <c r="W81" s="9"/>
      <c r="X81" s="9"/>
      <c r="Y81" s="9">
        <v>3</v>
      </c>
      <c r="Z81" s="14">
        <v>2</v>
      </c>
      <c r="AA81" s="21">
        <v>10.6</v>
      </c>
      <c r="AB81" s="22">
        <v>99</v>
      </c>
      <c r="AC81" s="22">
        <v>20</v>
      </c>
      <c r="AD81" s="9">
        <v>2</v>
      </c>
      <c r="AE81" s="9">
        <v>2</v>
      </c>
      <c r="AF81" s="9">
        <v>1</v>
      </c>
      <c r="AG81" s="9">
        <v>1</v>
      </c>
      <c r="AH81" s="9">
        <v>1</v>
      </c>
      <c r="AI81" s="9">
        <v>1</v>
      </c>
      <c r="AJ81" s="12">
        <v>43320</v>
      </c>
      <c r="AK81" s="9">
        <v>2</v>
      </c>
      <c r="AL81" s="12">
        <v>43377</v>
      </c>
      <c r="AM81" s="9">
        <v>4</v>
      </c>
      <c r="AN81" s="12">
        <v>43377</v>
      </c>
      <c r="AO81" s="12">
        <v>43377</v>
      </c>
      <c r="AP81" s="12">
        <v>43377</v>
      </c>
      <c r="AQ81" s="9">
        <v>1</v>
      </c>
      <c r="AR81" s="9">
        <f t="shared" si="30"/>
        <v>1</v>
      </c>
      <c r="AS81" s="9">
        <v>1</v>
      </c>
      <c r="AT81" s="9">
        <v>2</v>
      </c>
      <c r="AU81" s="9">
        <v>2</v>
      </c>
      <c r="AV81" s="9">
        <f t="shared" si="31"/>
        <v>1</v>
      </c>
      <c r="AW81" s="12">
        <v>43403</v>
      </c>
      <c r="AX81" s="9">
        <v>5810</v>
      </c>
      <c r="AY81" s="9">
        <v>4800</v>
      </c>
      <c r="AZ81" s="9">
        <v>700</v>
      </c>
      <c r="BA81" s="9">
        <v>4800</v>
      </c>
      <c r="BB81" s="9">
        <v>699.99993896484375</v>
      </c>
      <c r="BC81" s="9">
        <v>297000</v>
      </c>
      <c r="BD81" s="9">
        <v>200</v>
      </c>
      <c r="BE81" s="9">
        <v>0</v>
      </c>
      <c r="BF81" s="9">
        <v>471</v>
      </c>
      <c r="BG81" s="9">
        <v>9500</v>
      </c>
      <c r="BH81" s="9">
        <v>6900</v>
      </c>
      <c r="BI81" s="9">
        <v>1800</v>
      </c>
      <c r="BJ81" s="9">
        <v>429000</v>
      </c>
      <c r="BK81" s="9">
        <v>600</v>
      </c>
      <c r="BL81" s="9">
        <v>100</v>
      </c>
      <c r="BM81" s="9">
        <v>320</v>
      </c>
      <c r="BN81" s="9">
        <v>10640</v>
      </c>
      <c r="BO81" s="9">
        <v>8500</v>
      </c>
      <c r="BP81" s="9">
        <v>1400</v>
      </c>
      <c r="BQ81" s="9">
        <v>531000</v>
      </c>
      <c r="BR81" s="9">
        <v>600</v>
      </c>
      <c r="BS81" s="9">
        <v>0</v>
      </c>
      <c r="BT81" s="9">
        <v>411</v>
      </c>
      <c r="BU81" s="9"/>
      <c r="BV81" s="9"/>
      <c r="BW81" s="9"/>
      <c r="BX81" s="9"/>
      <c r="BY81" s="9"/>
      <c r="BZ81" s="10" t="s">
        <v>401</v>
      </c>
      <c r="CA81" s="9"/>
      <c r="CB81" s="9"/>
      <c r="CC81" s="10">
        <f t="shared" si="32"/>
        <v>6.857143455038317</v>
      </c>
      <c r="CD81" s="10">
        <f t="shared" si="33"/>
        <v>424.2857512804959</v>
      </c>
      <c r="CE81" s="10">
        <f t="shared" si="25"/>
        <v>2036571.6061463801</v>
      </c>
      <c r="CF81" s="10">
        <f t="shared" si="26"/>
        <v>0</v>
      </c>
      <c r="CG81" s="10">
        <f t="shared" si="27"/>
        <v>0</v>
      </c>
      <c r="CH81" s="10">
        <f t="shared" si="28"/>
        <v>2</v>
      </c>
      <c r="CI81" s="9">
        <f t="shared" si="34"/>
        <v>1</v>
      </c>
      <c r="CJ81" s="10">
        <f t="shared" si="29"/>
        <v>2</v>
      </c>
      <c r="CK81" s="10" t="b">
        <f t="shared" si="35"/>
        <v>0</v>
      </c>
      <c r="CL81" s="10" t="b">
        <f t="shared" si="36"/>
        <v>0</v>
      </c>
      <c r="CM81" s="10" t="b">
        <f t="shared" si="37"/>
        <v>0</v>
      </c>
      <c r="CN81" s="9">
        <f t="shared" si="38"/>
        <v>1</v>
      </c>
      <c r="CO81" s="10">
        <f t="shared" si="42"/>
        <v>2</v>
      </c>
      <c r="CP81" s="10" t="b">
        <f t="shared" si="39"/>
        <v>0</v>
      </c>
      <c r="CQ81" s="10" t="b">
        <f t="shared" si="40"/>
        <v>0</v>
      </c>
      <c r="CR81" s="10" cm="1">
        <f t="array" ref="CR81">_xlfn.IFS(AND($CI81=0, CK81=FALSE), NA(), AND($CI81=1, CK81=FALSE), 0, CK81=TRUE, 1)</f>
        <v>0</v>
      </c>
      <c r="CS81" s="10" cm="1">
        <f t="array" ref="CS81">_xlfn.IFS(AND($CI81=0, CL81=FALSE), NA(), AND($CI81=1, CL81=FALSE), 0, CL81=TRUE, 1)</f>
        <v>0</v>
      </c>
      <c r="CT81" s="10" cm="1">
        <f t="array" ref="CT81">_xlfn.IFS(AND($CI81=0, CM81=FALSE), NA(), AND($CI81=1, CM81=FALSE), 0, CM81=TRUE, 1)</f>
        <v>0</v>
      </c>
      <c r="CU81" s="10" cm="1">
        <f t="array" ref="CU81">_xlfn.IFS(AND($CN81=0, CP81=FALSE), NA(), AND($CN81=1, CP81=FALSE), 0, CP81=TRUE, 1)</f>
        <v>0</v>
      </c>
      <c r="CV81" s="10" cm="1">
        <f t="array" ref="CV81">_xlfn.IFS(AND($CN81=0, CQ81=FALSE), NA(), AND($CN81=1, CQ81=FALSE), 0, CQ81=TRUE, 1)</f>
        <v>0</v>
      </c>
    </row>
    <row r="82" spans="1:100" ht="15.75" x14ac:dyDescent="0.25">
      <c r="A82" s="8">
        <v>81</v>
      </c>
      <c r="B82" s="9">
        <v>435</v>
      </c>
      <c r="C82" s="10" t="s">
        <v>29</v>
      </c>
      <c r="D82" s="11" t="s">
        <v>151</v>
      </c>
      <c r="E82" s="12">
        <v>15350</v>
      </c>
      <c r="F82" s="13">
        <v>1</v>
      </c>
      <c r="G82" s="9">
        <v>64.624229431152344</v>
      </c>
      <c r="H82" s="12">
        <v>38954</v>
      </c>
      <c r="I82" s="9">
        <v>1</v>
      </c>
      <c r="J82" s="12">
        <v>38954</v>
      </c>
      <c r="K82" s="9">
        <v>0</v>
      </c>
      <c r="L82" s="9">
        <v>3</v>
      </c>
      <c r="M82" s="10" t="s">
        <v>401</v>
      </c>
      <c r="N82" s="9">
        <v>1</v>
      </c>
      <c r="O82" s="10" t="s">
        <v>401</v>
      </c>
      <c r="P82" s="9">
        <v>1</v>
      </c>
      <c r="Q82" s="10" t="s">
        <v>401</v>
      </c>
      <c r="R82" s="12">
        <v>41404</v>
      </c>
      <c r="S82" s="10" t="s">
        <v>145</v>
      </c>
      <c r="T82" s="9"/>
      <c r="U82" s="10" t="s">
        <v>401</v>
      </c>
      <c r="V82" s="10" t="s">
        <v>401</v>
      </c>
      <c r="W82" s="9"/>
      <c r="X82" s="9"/>
      <c r="Y82" s="9">
        <v>2</v>
      </c>
      <c r="Z82" s="14">
        <v>1</v>
      </c>
      <c r="AA82" s="17">
        <v>13.1</v>
      </c>
      <c r="AB82" s="18">
        <v>94</v>
      </c>
      <c r="AC82" s="18">
        <v>18</v>
      </c>
      <c r="AD82" s="9">
        <v>2</v>
      </c>
      <c r="AE82" s="9">
        <v>2</v>
      </c>
      <c r="AF82" s="9">
        <v>1</v>
      </c>
      <c r="AG82" s="9">
        <v>1</v>
      </c>
      <c r="AH82" s="9">
        <v>1</v>
      </c>
      <c r="AI82" s="9">
        <v>0</v>
      </c>
      <c r="AJ82" s="12">
        <v>42473</v>
      </c>
      <c r="AK82" s="9">
        <v>2</v>
      </c>
      <c r="AL82" s="12">
        <v>43453</v>
      </c>
      <c r="AM82" s="9">
        <v>2</v>
      </c>
      <c r="AN82" s="12">
        <v>42774</v>
      </c>
      <c r="AO82" s="12">
        <v>43858</v>
      </c>
      <c r="AP82" s="12">
        <v>43858</v>
      </c>
      <c r="AQ82" s="9">
        <v>1</v>
      </c>
      <c r="AR82" s="9">
        <f t="shared" si="30"/>
        <v>1</v>
      </c>
      <c r="AS82" s="9">
        <v>1</v>
      </c>
      <c r="AT82" s="9">
        <v>2</v>
      </c>
      <c r="AU82" s="9">
        <v>1</v>
      </c>
      <c r="AV82" s="9">
        <f t="shared" si="31"/>
        <v>0</v>
      </c>
      <c r="AW82" s="12">
        <v>44950</v>
      </c>
      <c r="AX82" s="9">
        <v>5200</v>
      </c>
      <c r="AY82" s="9">
        <v>4100</v>
      </c>
      <c r="AZ82" s="9">
        <v>1000</v>
      </c>
      <c r="BA82" s="9">
        <v>4100</v>
      </c>
      <c r="BB82" s="9">
        <v>1000.0001220703125</v>
      </c>
      <c r="BC82" s="9">
        <v>139000</v>
      </c>
      <c r="BD82" s="9">
        <v>480</v>
      </c>
      <c r="BE82" s="9">
        <v>200</v>
      </c>
      <c r="BF82" s="9"/>
      <c r="BG82" s="9">
        <v>10130</v>
      </c>
      <c r="BH82" s="9">
        <v>7860</v>
      </c>
      <c r="BI82" s="9">
        <v>1260</v>
      </c>
      <c r="BJ82" s="9">
        <v>145000</v>
      </c>
      <c r="BK82" s="9">
        <v>74</v>
      </c>
      <c r="BL82" s="9">
        <v>23</v>
      </c>
      <c r="BM82" s="9"/>
      <c r="BN82" s="9">
        <v>5560</v>
      </c>
      <c r="BO82" s="9">
        <v>3330</v>
      </c>
      <c r="BP82" s="9">
        <v>1290</v>
      </c>
      <c r="BQ82" s="9">
        <v>75000</v>
      </c>
      <c r="BR82" s="9">
        <v>670</v>
      </c>
      <c r="BS82" s="9">
        <v>240</v>
      </c>
      <c r="BT82" s="9"/>
      <c r="BU82" s="9">
        <v>6640</v>
      </c>
      <c r="BV82" s="9">
        <v>4180</v>
      </c>
      <c r="BW82" s="9">
        <v>1490</v>
      </c>
      <c r="BX82" s="9">
        <v>100000</v>
      </c>
      <c r="BY82" s="9">
        <v>580</v>
      </c>
      <c r="BZ82" s="10" t="s">
        <v>539</v>
      </c>
      <c r="CA82" s="9">
        <v>350</v>
      </c>
      <c r="CB82" s="9"/>
      <c r="CC82" s="10">
        <f t="shared" si="32"/>
        <v>4.0999994995117799</v>
      </c>
      <c r="CD82" s="10">
        <f t="shared" si="33"/>
        <v>138.99998303222864</v>
      </c>
      <c r="CE82" s="10">
        <f t="shared" si="25"/>
        <v>569899.93043213745</v>
      </c>
      <c r="CF82" s="10">
        <f t="shared" si="26"/>
        <v>1</v>
      </c>
      <c r="CG82" s="10">
        <f t="shared" si="27"/>
        <v>1</v>
      </c>
      <c r="CH82" s="10">
        <f t="shared" si="28"/>
        <v>32</v>
      </c>
      <c r="CI82" s="9">
        <f t="shared" si="34"/>
        <v>0</v>
      </c>
      <c r="CJ82" s="10">
        <f t="shared" si="29"/>
        <v>81</v>
      </c>
      <c r="CK82" s="10" t="b">
        <f t="shared" si="35"/>
        <v>1</v>
      </c>
      <c r="CL82" s="10" t="b">
        <f t="shared" si="36"/>
        <v>1</v>
      </c>
      <c r="CM82" s="10" t="b">
        <f t="shared" si="37"/>
        <v>1</v>
      </c>
      <c r="CN82" s="9">
        <f t="shared" si="38"/>
        <v>1</v>
      </c>
      <c r="CO82" s="10">
        <f t="shared" si="42"/>
        <v>45</v>
      </c>
      <c r="CP82" s="10" t="b">
        <f t="shared" si="39"/>
        <v>1</v>
      </c>
      <c r="CQ82" s="10" t="b">
        <f t="shared" si="40"/>
        <v>1</v>
      </c>
      <c r="CR82" s="10" cm="1">
        <f t="array" ref="CR82">_xlfn.IFS(AND($CI82=0, CK82=FALSE), NA(), AND($CI82=1, CK82=FALSE), 0, CK82=TRUE, 1)</f>
        <v>1</v>
      </c>
      <c r="CS82" s="10" cm="1">
        <f t="array" ref="CS82">_xlfn.IFS(AND($CI82=0, CL82=FALSE), NA(), AND($CI82=1, CL82=FALSE), 0, CL82=TRUE, 1)</f>
        <v>1</v>
      </c>
      <c r="CT82" s="10" cm="1">
        <f t="array" ref="CT82">_xlfn.IFS(AND($CI82=0, CM82=FALSE), NA(), AND($CI82=1, CM82=FALSE), 0, CM82=TRUE, 1)</f>
        <v>1</v>
      </c>
      <c r="CU82" s="10" cm="1">
        <f t="array" ref="CU82">_xlfn.IFS(AND($CN82=0, CP82=FALSE), NA(), AND($CN82=1, CP82=FALSE), 0, CP82=TRUE, 1)</f>
        <v>1</v>
      </c>
      <c r="CV82" s="10" cm="1">
        <f t="array" ref="CV82">_xlfn.IFS(AND($CN82=0, CQ82=FALSE), NA(), AND($CN82=1, CQ82=FALSE), 0, CQ82=TRUE, 1)</f>
        <v>1</v>
      </c>
    </row>
    <row r="83" spans="1:100" ht="15.75" x14ac:dyDescent="0.25">
      <c r="A83" s="8">
        <v>82</v>
      </c>
      <c r="B83" s="9">
        <v>253</v>
      </c>
      <c r="C83" s="10" t="s">
        <v>20</v>
      </c>
      <c r="D83" s="11" t="s">
        <v>239</v>
      </c>
      <c r="E83" s="12">
        <v>20857</v>
      </c>
      <c r="F83" s="13">
        <v>1</v>
      </c>
      <c r="G83" s="9">
        <v>49.776866912841797</v>
      </c>
      <c r="H83" s="12">
        <v>39038</v>
      </c>
      <c r="I83" s="9">
        <v>1</v>
      </c>
      <c r="J83" s="12">
        <v>39038</v>
      </c>
      <c r="K83" s="9">
        <v>0</v>
      </c>
      <c r="L83" s="9">
        <v>1</v>
      </c>
      <c r="M83" s="10" t="s">
        <v>401</v>
      </c>
      <c r="N83" s="9">
        <v>1</v>
      </c>
      <c r="O83" s="10" t="s">
        <v>401</v>
      </c>
      <c r="P83" s="9">
        <v>1</v>
      </c>
      <c r="Q83" s="10" t="s">
        <v>401</v>
      </c>
      <c r="R83" s="12">
        <v>42509</v>
      </c>
      <c r="S83" s="10" t="s">
        <v>145</v>
      </c>
      <c r="T83" s="9"/>
      <c r="U83" s="10" t="s">
        <v>401</v>
      </c>
      <c r="V83" s="10" t="s">
        <v>401</v>
      </c>
      <c r="W83" s="9"/>
      <c r="X83" s="9"/>
      <c r="Y83" s="9">
        <v>2</v>
      </c>
      <c r="Z83" s="14">
        <v>1</v>
      </c>
      <c r="AB83" s="9"/>
      <c r="AC83" s="9"/>
      <c r="AD83" s="9">
        <v>1</v>
      </c>
      <c r="AE83" s="9">
        <v>1</v>
      </c>
      <c r="AF83" s="9">
        <v>1</v>
      </c>
      <c r="AG83" s="9">
        <v>0</v>
      </c>
      <c r="AH83" s="9">
        <v>0</v>
      </c>
      <c r="AI83" s="9">
        <v>0</v>
      </c>
      <c r="AJ83" s="12">
        <v>43054</v>
      </c>
      <c r="AK83" s="9">
        <v>2</v>
      </c>
      <c r="AL83" s="12">
        <v>43783</v>
      </c>
      <c r="AM83" s="9">
        <v>3</v>
      </c>
      <c r="AN83" s="12">
        <v>43319</v>
      </c>
      <c r="AO83" s="12">
        <v>43805</v>
      </c>
      <c r="AP83" s="12">
        <v>43805</v>
      </c>
      <c r="AQ83" s="9">
        <v>1</v>
      </c>
      <c r="AR83" s="9">
        <f t="shared" si="30"/>
        <v>1</v>
      </c>
      <c r="AS83" s="9">
        <v>1</v>
      </c>
      <c r="AT83" s="9">
        <v>2</v>
      </c>
      <c r="AU83" s="9">
        <v>2</v>
      </c>
      <c r="AV83" s="9">
        <f t="shared" si="31"/>
        <v>1</v>
      </c>
      <c r="AW83" s="12">
        <v>44389</v>
      </c>
      <c r="AX83" s="9">
        <v>3100</v>
      </c>
      <c r="AY83" s="9">
        <v>1400</v>
      </c>
      <c r="AZ83" s="9"/>
      <c r="BA83" s="9">
        <v>1400</v>
      </c>
      <c r="BB83" s="9">
        <v>1362.1710205078125</v>
      </c>
      <c r="BC83" s="9">
        <v>193000</v>
      </c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>
        <v>4400</v>
      </c>
      <c r="BO83" s="9">
        <v>2300</v>
      </c>
      <c r="BP83" s="9"/>
      <c r="BQ83" s="9">
        <v>192000</v>
      </c>
      <c r="BR83" s="9"/>
      <c r="BS83" s="9"/>
      <c r="BT83" s="9"/>
      <c r="BU83" s="9"/>
      <c r="BV83" s="9"/>
      <c r="BW83" s="9"/>
      <c r="BX83" s="9"/>
      <c r="BY83" s="9"/>
      <c r="BZ83" s="10" t="s">
        <v>401</v>
      </c>
      <c r="CA83" s="9"/>
      <c r="CB83" s="9"/>
      <c r="CC83" s="10">
        <f t="shared" si="32"/>
        <v>1.027771094027595</v>
      </c>
      <c r="CD83" s="10">
        <f t="shared" si="33"/>
        <v>141.68558653380416</v>
      </c>
      <c r="CE83" s="10">
        <f t="shared" si="25"/>
        <v>198359.82114732583</v>
      </c>
      <c r="CF83" s="10">
        <f t="shared" si="26"/>
        <v>1</v>
      </c>
      <c r="CG83" s="10">
        <f t="shared" si="27"/>
        <v>0</v>
      </c>
      <c r="CH83" s="10">
        <f t="shared" si="28"/>
        <v>24</v>
      </c>
      <c r="CI83" s="9">
        <f t="shared" si="34"/>
        <v>1</v>
      </c>
      <c r="CJ83" s="10">
        <f t="shared" si="29"/>
        <v>44</v>
      </c>
      <c r="CK83" s="10" t="b">
        <f t="shared" si="35"/>
        <v>1</v>
      </c>
      <c r="CL83" s="10" t="b">
        <f t="shared" si="36"/>
        <v>1</v>
      </c>
      <c r="CM83" s="10" t="b">
        <f t="shared" si="37"/>
        <v>1</v>
      </c>
      <c r="CN83" s="9">
        <f t="shared" si="38"/>
        <v>1</v>
      </c>
      <c r="CO83" s="10">
        <f t="shared" si="42"/>
        <v>25</v>
      </c>
      <c r="CP83" s="10" t="b">
        <f t="shared" si="39"/>
        <v>1</v>
      </c>
      <c r="CQ83" s="10" t="b">
        <f t="shared" si="40"/>
        <v>1</v>
      </c>
      <c r="CR83" s="10" cm="1">
        <f t="array" ref="CR83">_xlfn.IFS(AND($CI83=0, CK83=FALSE), NA(), AND($CI83=1, CK83=FALSE), 0, CK83=TRUE, 1)</f>
        <v>1</v>
      </c>
      <c r="CS83" s="10" cm="1">
        <f t="array" ref="CS83">_xlfn.IFS(AND($CI83=0, CL83=FALSE), NA(), AND($CI83=1, CL83=FALSE), 0, CL83=TRUE, 1)</f>
        <v>1</v>
      </c>
      <c r="CT83" s="10" cm="1">
        <f t="array" ref="CT83">_xlfn.IFS(AND($CI83=0, CM83=FALSE), NA(), AND($CI83=1, CM83=FALSE), 0, CM83=TRUE, 1)</f>
        <v>1</v>
      </c>
      <c r="CU83" s="10" cm="1">
        <f t="array" ref="CU83">_xlfn.IFS(AND($CN83=0, CP83=FALSE), NA(), AND($CN83=1, CP83=FALSE), 0, CP83=TRUE, 1)</f>
        <v>1</v>
      </c>
      <c r="CV83" s="10" cm="1">
        <f t="array" ref="CV83">_xlfn.IFS(AND($CN83=0, CQ83=FALSE), NA(), AND($CN83=1, CQ83=FALSE), 0, CQ83=TRUE, 1)</f>
        <v>1</v>
      </c>
    </row>
    <row r="84" spans="1:100" x14ac:dyDescent="0.25">
      <c r="A84" s="8">
        <v>83</v>
      </c>
      <c r="B84" s="9">
        <v>97</v>
      </c>
      <c r="C84" s="10" t="s">
        <v>11</v>
      </c>
      <c r="D84" s="11" t="s">
        <v>124</v>
      </c>
      <c r="E84" s="12">
        <v>18121</v>
      </c>
      <c r="F84" s="13">
        <v>1</v>
      </c>
      <c r="G84" s="9">
        <v>57.563312530517578</v>
      </c>
      <c r="H84" s="12">
        <v>39146</v>
      </c>
      <c r="I84" s="9">
        <v>1</v>
      </c>
      <c r="J84" s="12">
        <v>39182</v>
      </c>
      <c r="K84" s="9">
        <v>0</v>
      </c>
      <c r="L84" s="9">
        <v>1</v>
      </c>
      <c r="M84" s="10" t="s">
        <v>401</v>
      </c>
      <c r="N84" s="9">
        <v>1</v>
      </c>
      <c r="O84" s="10" t="s">
        <v>401</v>
      </c>
      <c r="P84" s="9">
        <v>1</v>
      </c>
      <c r="Q84" s="10" t="s">
        <v>401</v>
      </c>
      <c r="R84" s="12">
        <v>40278</v>
      </c>
      <c r="S84" s="10" t="s">
        <v>145</v>
      </c>
      <c r="T84" s="9"/>
      <c r="U84" s="10" t="s">
        <v>401</v>
      </c>
      <c r="V84" s="10" t="s">
        <v>401</v>
      </c>
      <c r="W84" s="9"/>
      <c r="X84" s="9"/>
      <c r="Y84" s="9">
        <v>2</v>
      </c>
      <c r="Z84" s="19">
        <v>1</v>
      </c>
      <c r="AB84" s="9"/>
      <c r="AC84" s="9"/>
      <c r="AD84" s="9">
        <v>2</v>
      </c>
      <c r="AE84" s="9">
        <v>2</v>
      </c>
      <c r="AF84" s="9">
        <v>2</v>
      </c>
      <c r="AG84" s="9">
        <v>1</v>
      </c>
      <c r="AH84" s="9">
        <v>0</v>
      </c>
      <c r="AI84" s="9">
        <v>0</v>
      </c>
      <c r="AJ84" s="12">
        <v>42452</v>
      </c>
      <c r="AK84" s="9">
        <v>2</v>
      </c>
      <c r="AL84" s="12">
        <v>42747</v>
      </c>
      <c r="AM84" s="9">
        <v>1</v>
      </c>
      <c r="AN84" s="12">
        <v>42779</v>
      </c>
      <c r="AO84" s="12">
        <v>44816</v>
      </c>
      <c r="AP84" s="12">
        <v>44816</v>
      </c>
      <c r="AQ84" s="9">
        <v>1</v>
      </c>
      <c r="AR84" s="9">
        <f t="shared" si="30"/>
        <v>1</v>
      </c>
      <c r="AS84" s="9">
        <v>1</v>
      </c>
      <c r="AT84" s="9">
        <v>2</v>
      </c>
      <c r="AU84" s="9">
        <v>1</v>
      </c>
      <c r="AV84" s="9">
        <f t="shared" si="31"/>
        <v>0</v>
      </c>
      <c r="AW84" s="12">
        <v>44622</v>
      </c>
      <c r="AX84" s="9">
        <v>6500</v>
      </c>
      <c r="AY84" s="9">
        <v>4000</v>
      </c>
      <c r="AZ84" s="9">
        <v>1600</v>
      </c>
      <c r="BA84" s="9">
        <v>4000</v>
      </c>
      <c r="BB84" s="9">
        <v>1600.0001220703125</v>
      </c>
      <c r="BC84" s="9">
        <v>170000</v>
      </c>
      <c r="BD84" s="9">
        <v>400</v>
      </c>
      <c r="BE84" s="9">
        <v>100</v>
      </c>
      <c r="BF84" s="9"/>
      <c r="BG84" s="9"/>
      <c r="BH84" s="9"/>
      <c r="BI84" s="9"/>
      <c r="BJ84" s="9"/>
      <c r="BK84" s="9"/>
      <c r="BL84" s="9"/>
      <c r="BM84" s="9"/>
      <c r="BN84" s="9">
        <v>6600</v>
      </c>
      <c r="BO84" s="9">
        <v>4000</v>
      </c>
      <c r="BP84" s="9">
        <v>1500</v>
      </c>
      <c r="BQ84" s="9">
        <v>168000</v>
      </c>
      <c r="BR84" s="9">
        <v>400</v>
      </c>
      <c r="BS84" s="9">
        <v>100</v>
      </c>
      <c r="BT84" s="9"/>
      <c r="BU84" s="9">
        <v>6800</v>
      </c>
      <c r="BV84" s="9">
        <v>4200</v>
      </c>
      <c r="BW84" s="9">
        <v>1600</v>
      </c>
      <c r="BX84" s="9">
        <v>169000</v>
      </c>
      <c r="BY84" s="9">
        <v>400</v>
      </c>
      <c r="BZ84" s="10" t="s">
        <v>525</v>
      </c>
      <c r="CA84" s="9">
        <v>100</v>
      </c>
      <c r="CB84" s="9"/>
      <c r="CC84" s="10">
        <f t="shared" si="32"/>
        <v>2.4999998092651512</v>
      </c>
      <c r="CD84" s="10">
        <f t="shared" si="33"/>
        <v>106.24999189376894</v>
      </c>
      <c r="CE84" s="10">
        <f t="shared" si="25"/>
        <v>424999.96757507569</v>
      </c>
      <c r="CF84" s="10">
        <f t="shared" si="26"/>
        <v>1</v>
      </c>
      <c r="CG84" s="10">
        <f t="shared" si="27"/>
        <v>1</v>
      </c>
      <c r="CH84" s="10">
        <f t="shared" si="28"/>
        <v>10</v>
      </c>
      <c r="CI84" s="9">
        <f t="shared" si="34"/>
        <v>0</v>
      </c>
      <c r="CJ84" s="10">
        <f t="shared" si="29"/>
        <v>72</v>
      </c>
      <c r="CK84" s="10" t="b">
        <f t="shared" si="35"/>
        <v>1</v>
      </c>
      <c r="CL84" s="10" t="b">
        <f t="shared" si="36"/>
        <v>1</v>
      </c>
      <c r="CM84" s="10" t="b">
        <f t="shared" si="37"/>
        <v>1</v>
      </c>
      <c r="CN84" s="9">
        <f t="shared" si="38"/>
        <v>1</v>
      </c>
      <c r="CO84" s="10">
        <f t="shared" si="42"/>
        <v>78</v>
      </c>
      <c r="CP84" s="10" t="b">
        <f t="shared" si="39"/>
        <v>1</v>
      </c>
      <c r="CQ84" s="10" t="b">
        <f t="shared" si="40"/>
        <v>1</v>
      </c>
      <c r="CR84" s="10" cm="1">
        <f t="array" ref="CR84">_xlfn.IFS(AND($CI84=0, CK84=FALSE), NA(), AND($CI84=1, CK84=FALSE), 0, CK84=TRUE, 1)</f>
        <v>1</v>
      </c>
      <c r="CS84" s="10" cm="1">
        <f t="array" ref="CS84">_xlfn.IFS(AND($CI84=0, CL84=FALSE), NA(), AND($CI84=1, CL84=FALSE), 0, CL84=TRUE, 1)</f>
        <v>1</v>
      </c>
      <c r="CT84" s="10" cm="1">
        <f t="array" ref="CT84">_xlfn.IFS(AND($CI84=0, CM84=FALSE), NA(), AND($CI84=1, CM84=FALSE), 0, CM84=TRUE, 1)</f>
        <v>1</v>
      </c>
      <c r="CU84" s="10" cm="1">
        <f t="array" ref="CU84">_xlfn.IFS(AND($CN84=0, CP84=FALSE), NA(), AND($CN84=1, CP84=FALSE), 0, CP84=TRUE, 1)</f>
        <v>1</v>
      </c>
      <c r="CV84" s="10" cm="1">
        <f t="array" ref="CV84">_xlfn.IFS(AND($CN84=0, CQ84=FALSE), NA(), AND($CN84=1, CQ84=FALSE), 0, CQ84=TRUE, 1)</f>
        <v>1</v>
      </c>
    </row>
    <row r="85" spans="1:100" ht="15.75" x14ac:dyDescent="0.25">
      <c r="A85" s="8">
        <v>84</v>
      </c>
      <c r="B85" s="9">
        <v>270</v>
      </c>
      <c r="C85" s="10" t="s">
        <v>21</v>
      </c>
      <c r="D85" s="11" t="s">
        <v>199</v>
      </c>
      <c r="E85" s="12">
        <v>18251</v>
      </c>
      <c r="F85" s="13">
        <v>2</v>
      </c>
      <c r="G85" s="9">
        <v>57.305953979492188</v>
      </c>
      <c r="H85" s="12">
        <v>39182</v>
      </c>
      <c r="I85" s="9">
        <v>1</v>
      </c>
      <c r="J85" s="12">
        <v>39182</v>
      </c>
      <c r="K85" s="9">
        <v>0</v>
      </c>
      <c r="L85" s="9">
        <v>1</v>
      </c>
      <c r="M85" s="10" t="s">
        <v>401</v>
      </c>
      <c r="N85" s="9"/>
      <c r="O85" s="10" t="s">
        <v>401</v>
      </c>
      <c r="P85" s="9"/>
      <c r="Q85" s="10" t="s">
        <v>401</v>
      </c>
      <c r="R85" s="12">
        <v>39979</v>
      </c>
      <c r="S85" s="10" t="s">
        <v>145</v>
      </c>
      <c r="T85" s="9">
        <v>3</v>
      </c>
      <c r="U85" s="10" t="s">
        <v>150</v>
      </c>
      <c r="V85" s="10" t="s">
        <v>401</v>
      </c>
      <c r="W85" s="9"/>
      <c r="X85" s="9"/>
      <c r="Y85" s="9">
        <v>4</v>
      </c>
      <c r="Z85" s="14">
        <v>1</v>
      </c>
      <c r="AA85" s="15">
        <v>10.5</v>
      </c>
      <c r="AB85" s="16">
        <v>70</v>
      </c>
      <c r="AC85" s="16">
        <v>22</v>
      </c>
      <c r="AD85" s="9">
        <v>1</v>
      </c>
      <c r="AE85" s="9">
        <v>1</v>
      </c>
      <c r="AF85" s="9">
        <v>1</v>
      </c>
      <c r="AG85" s="9">
        <v>0</v>
      </c>
      <c r="AH85" s="9">
        <v>1</v>
      </c>
      <c r="AI85" s="9">
        <v>0</v>
      </c>
      <c r="AJ85" s="12">
        <v>42362</v>
      </c>
      <c r="AK85" s="9">
        <v>2</v>
      </c>
      <c r="AL85" s="12">
        <v>43038</v>
      </c>
      <c r="AM85" s="9">
        <v>3</v>
      </c>
      <c r="AN85" s="12">
        <v>42436</v>
      </c>
      <c r="AO85" s="12">
        <v>43105</v>
      </c>
      <c r="AP85" s="12">
        <v>43105</v>
      </c>
      <c r="AQ85" s="9">
        <v>1</v>
      </c>
      <c r="AR85" s="9">
        <f t="shared" si="30"/>
        <v>1</v>
      </c>
      <c r="AS85" s="9">
        <v>1</v>
      </c>
      <c r="AT85" s="9">
        <v>2</v>
      </c>
      <c r="AU85" s="9">
        <v>1</v>
      </c>
      <c r="AV85" s="9">
        <f t="shared" si="31"/>
        <v>0</v>
      </c>
      <c r="AW85" s="12">
        <v>43531</v>
      </c>
      <c r="AX85" s="9">
        <v>8910</v>
      </c>
      <c r="AY85" s="9">
        <v>6550</v>
      </c>
      <c r="AZ85" s="9">
        <v>1750</v>
      </c>
      <c r="BA85" s="9">
        <v>6550</v>
      </c>
      <c r="BB85" s="9">
        <v>1749.9998779296875</v>
      </c>
      <c r="BC85" s="9">
        <v>261000</v>
      </c>
      <c r="BD85" s="9">
        <v>460</v>
      </c>
      <c r="BE85" s="9">
        <v>110</v>
      </c>
      <c r="BF85" s="9">
        <v>188</v>
      </c>
      <c r="BG85" s="9">
        <v>7820</v>
      </c>
      <c r="BH85" s="9">
        <v>5630</v>
      </c>
      <c r="BI85" s="9">
        <v>1430</v>
      </c>
      <c r="BJ85" s="9">
        <v>277000</v>
      </c>
      <c r="BK85" s="9">
        <v>560</v>
      </c>
      <c r="BL85" s="9">
        <v>170</v>
      </c>
      <c r="BM85" s="9">
        <v>169</v>
      </c>
      <c r="BN85" s="9">
        <v>6520</v>
      </c>
      <c r="BO85" s="9">
        <v>4660</v>
      </c>
      <c r="BP85" s="9">
        <v>1250</v>
      </c>
      <c r="BQ85" s="9">
        <v>229000</v>
      </c>
      <c r="BR85" s="9">
        <v>430</v>
      </c>
      <c r="BS85" s="9">
        <v>130</v>
      </c>
      <c r="BT85" s="9">
        <v>199</v>
      </c>
      <c r="BU85" s="9">
        <v>6580</v>
      </c>
      <c r="BV85" s="9">
        <v>4770</v>
      </c>
      <c r="BW85" s="9">
        <v>1150</v>
      </c>
      <c r="BX85" s="9">
        <v>261000</v>
      </c>
      <c r="BY85" s="9">
        <v>500</v>
      </c>
      <c r="BZ85" s="10" t="s">
        <v>527</v>
      </c>
      <c r="CA85" s="9">
        <v>120</v>
      </c>
      <c r="CB85" s="9">
        <v>165</v>
      </c>
      <c r="CC85" s="10">
        <f t="shared" si="32"/>
        <v>3.7428574039381561</v>
      </c>
      <c r="CD85" s="10">
        <f t="shared" si="33"/>
        <v>149.14286754623797</v>
      </c>
      <c r="CE85" s="10">
        <f t="shared" si="25"/>
        <v>976885.78242785879</v>
      </c>
      <c r="CF85" s="10">
        <f t="shared" si="26"/>
        <v>1</v>
      </c>
      <c r="CG85" s="10">
        <f t="shared" si="27"/>
        <v>0</v>
      </c>
      <c r="CH85" s="10">
        <f t="shared" si="28"/>
        <v>22</v>
      </c>
      <c r="CI85" s="9">
        <f t="shared" si="34"/>
        <v>0</v>
      </c>
      <c r="CJ85" s="10">
        <f t="shared" si="29"/>
        <v>39</v>
      </c>
      <c r="CK85" s="10" t="b">
        <f t="shared" si="35"/>
        <v>1</v>
      </c>
      <c r="CL85" s="10" t="b">
        <f t="shared" si="36"/>
        <v>1</v>
      </c>
      <c r="CM85" s="10" t="b">
        <f t="shared" si="37"/>
        <v>1</v>
      </c>
      <c r="CN85" s="9">
        <f t="shared" si="38"/>
        <v>1</v>
      </c>
      <c r="CO85" s="10">
        <f t="shared" si="42"/>
        <v>25</v>
      </c>
      <c r="CP85" s="10" t="b">
        <f t="shared" si="39"/>
        <v>1</v>
      </c>
      <c r="CQ85" s="10" t="b">
        <f t="shared" si="40"/>
        <v>1</v>
      </c>
      <c r="CR85" s="10" cm="1">
        <f t="array" ref="CR85">_xlfn.IFS(AND($CI85=0, CK85=FALSE), NA(), AND($CI85=1, CK85=FALSE), 0, CK85=TRUE, 1)</f>
        <v>1</v>
      </c>
      <c r="CS85" s="10" cm="1">
        <f t="array" ref="CS85">_xlfn.IFS(AND($CI85=0, CL85=FALSE), NA(), AND($CI85=1, CL85=FALSE), 0, CL85=TRUE, 1)</f>
        <v>1</v>
      </c>
      <c r="CT85" s="10" cm="1">
        <f t="array" ref="CT85">_xlfn.IFS(AND($CI85=0, CM85=FALSE), NA(), AND($CI85=1, CM85=FALSE), 0, CM85=TRUE, 1)</f>
        <v>1</v>
      </c>
      <c r="CU85" s="10" cm="1">
        <f t="array" ref="CU85">_xlfn.IFS(AND($CN85=0, CP85=FALSE), NA(), AND($CN85=1, CP85=FALSE), 0, CP85=TRUE, 1)</f>
        <v>1</v>
      </c>
      <c r="CV85" s="10" cm="1">
        <f t="array" ref="CV85">_xlfn.IFS(AND($CN85=0, CQ85=FALSE), NA(), AND($CN85=1, CQ85=FALSE), 0, CQ85=TRUE, 1)</f>
        <v>1</v>
      </c>
    </row>
    <row r="86" spans="1:100" ht="15.75" x14ac:dyDescent="0.25">
      <c r="A86" s="8">
        <v>85</v>
      </c>
      <c r="B86" s="9">
        <v>398</v>
      </c>
      <c r="C86" s="10" t="s">
        <v>29</v>
      </c>
      <c r="D86" s="11" t="s">
        <v>312</v>
      </c>
      <c r="E86" s="12">
        <v>24336</v>
      </c>
      <c r="F86" s="13">
        <v>1</v>
      </c>
      <c r="G86" s="9">
        <v>40.898014068603516</v>
      </c>
      <c r="H86" s="12">
        <v>39274</v>
      </c>
      <c r="I86" s="9">
        <v>1</v>
      </c>
      <c r="J86" s="12">
        <v>39274</v>
      </c>
      <c r="K86" s="9">
        <v>0</v>
      </c>
      <c r="L86" s="9">
        <v>1</v>
      </c>
      <c r="M86" s="10" t="s">
        <v>401</v>
      </c>
      <c r="N86" s="9">
        <v>1</v>
      </c>
      <c r="O86" s="10" t="s">
        <v>401</v>
      </c>
      <c r="P86" s="9">
        <v>1</v>
      </c>
      <c r="Q86" s="10" t="s">
        <v>401</v>
      </c>
      <c r="R86" s="12">
        <v>41893</v>
      </c>
      <c r="S86" s="10" t="s">
        <v>146</v>
      </c>
      <c r="T86" s="9"/>
      <c r="U86" s="10" t="s">
        <v>401</v>
      </c>
      <c r="V86" s="10" t="s">
        <v>401</v>
      </c>
      <c r="W86" s="9"/>
      <c r="X86" s="9"/>
      <c r="Y86" s="9">
        <v>2</v>
      </c>
      <c r="Z86" s="14">
        <v>2</v>
      </c>
      <c r="AA86" s="17">
        <v>13.3</v>
      </c>
      <c r="AB86" s="18">
        <v>99</v>
      </c>
      <c r="AC86" s="18"/>
      <c r="AD86" s="9">
        <v>1</v>
      </c>
      <c r="AE86" s="9">
        <v>1</v>
      </c>
      <c r="AF86" s="9">
        <v>1</v>
      </c>
      <c r="AG86" s="9">
        <v>1</v>
      </c>
      <c r="AH86" s="9">
        <v>0</v>
      </c>
      <c r="AI86" s="9">
        <v>1</v>
      </c>
      <c r="AJ86" s="12">
        <v>42409</v>
      </c>
      <c r="AK86" s="9">
        <v>2</v>
      </c>
      <c r="AL86" s="12">
        <v>43433</v>
      </c>
      <c r="AM86" s="9">
        <v>2</v>
      </c>
      <c r="AN86" s="12">
        <v>42585</v>
      </c>
      <c r="AO86" s="12">
        <v>43481</v>
      </c>
      <c r="AP86" s="12">
        <v>43481</v>
      </c>
      <c r="AQ86" s="9">
        <v>1</v>
      </c>
      <c r="AR86" s="9">
        <f t="shared" si="30"/>
        <v>1</v>
      </c>
      <c r="AS86" s="9">
        <v>1</v>
      </c>
      <c r="AT86" s="9">
        <v>2</v>
      </c>
      <c r="AU86" s="9">
        <v>1</v>
      </c>
      <c r="AV86" s="9">
        <f t="shared" si="31"/>
        <v>0</v>
      </c>
      <c r="AW86" s="12">
        <v>44926</v>
      </c>
      <c r="AX86" s="9">
        <v>5680</v>
      </c>
      <c r="AY86" s="9">
        <v>3910</v>
      </c>
      <c r="AZ86" s="9">
        <v>1200</v>
      </c>
      <c r="BA86" s="9">
        <v>3910</v>
      </c>
      <c r="BB86" s="9">
        <v>1200.0001220703125</v>
      </c>
      <c r="BC86" s="9">
        <v>234000</v>
      </c>
      <c r="BD86" s="9">
        <v>50</v>
      </c>
      <c r="BE86" s="9">
        <v>11</v>
      </c>
      <c r="BF86" s="9"/>
      <c r="BG86" s="9">
        <v>6100</v>
      </c>
      <c r="BH86" s="9">
        <v>3900</v>
      </c>
      <c r="BI86" s="9">
        <v>1037</v>
      </c>
      <c r="BJ86" s="9">
        <v>263000</v>
      </c>
      <c r="BK86" s="9">
        <v>45</v>
      </c>
      <c r="BL86" s="9">
        <v>13</v>
      </c>
      <c r="BM86" s="9"/>
      <c r="BN86" s="9">
        <v>5850</v>
      </c>
      <c r="BO86" s="9">
        <v>4078</v>
      </c>
      <c r="BP86" s="9">
        <v>1236</v>
      </c>
      <c r="BQ86" s="9">
        <v>262000</v>
      </c>
      <c r="BR86" s="9">
        <v>67</v>
      </c>
      <c r="BS86" s="9">
        <v>14</v>
      </c>
      <c r="BT86" s="9"/>
      <c r="BU86" s="9">
        <v>6180</v>
      </c>
      <c r="BV86" s="9">
        <v>4800</v>
      </c>
      <c r="BW86" s="9">
        <v>1000</v>
      </c>
      <c r="BX86" s="9">
        <v>233000</v>
      </c>
      <c r="BY86" s="9">
        <v>43</v>
      </c>
      <c r="BZ86" s="10" t="s">
        <v>298</v>
      </c>
      <c r="CA86" s="9">
        <v>11</v>
      </c>
      <c r="CB86" s="9"/>
      <c r="CC86" s="10">
        <f t="shared" si="32"/>
        <v>3.2583330018785603</v>
      </c>
      <c r="CD86" s="10">
        <f t="shared" si="33"/>
        <v>194.99998016357623</v>
      </c>
      <c r="CE86" s="10">
        <f t="shared" si="25"/>
        <v>762449.92243958311</v>
      </c>
      <c r="CF86" s="10">
        <f t="shared" si="26"/>
        <v>1</v>
      </c>
      <c r="CG86" s="10">
        <f t="shared" si="27"/>
        <v>1</v>
      </c>
      <c r="CH86" s="10">
        <f t="shared" si="28"/>
        <v>33</v>
      </c>
      <c r="CI86" s="9">
        <f t="shared" si="34"/>
        <v>0</v>
      </c>
      <c r="CJ86" s="10">
        <f t="shared" si="29"/>
        <v>82</v>
      </c>
      <c r="CK86" s="10" t="b">
        <f t="shared" si="35"/>
        <v>1</v>
      </c>
      <c r="CL86" s="10" t="b">
        <f t="shared" si="36"/>
        <v>1</v>
      </c>
      <c r="CM86" s="10" t="b">
        <f t="shared" si="37"/>
        <v>1</v>
      </c>
      <c r="CN86" s="9">
        <f t="shared" si="38"/>
        <v>1</v>
      </c>
      <c r="CO86" s="10">
        <f t="shared" si="42"/>
        <v>35</v>
      </c>
      <c r="CP86" s="10" t="b">
        <f t="shared" si="39"/>
        <v>1</v>
      </c>
      <c r="CQ86" s="10" t="b">
        <f t="shared" si="40"/>
        <v>1</v>
      </c>
      <c r="CR86" s="10" cm="1">
        <f t="array" ref="CR86">_xlfn.IFS(AND($CI86=0, CK86=FALSE), NA(), AND($CI86=1, CK86=FALSE), 0, CK86=TRUE, 1)</f>
        <v>1</v>
      </c>
      <c r="CS86" s="10" cm="1">
        <f t="array" ref="CS86">_xlfn.IFS(AND($CI86=0, CL86=FALSE), NA(), AND($CI86=1, CL86=FALSE), 0, CL86=TRUE, 1)</f>
        <v>1</v>
      </c>
      <c r="CT86" s="10" cm="1">
        <f t="array" ref="CT86">_xlfn.IFS(AND($CI86=0, CM86=FALSE), NA(), AND($CI86=1, CM86=FALSE), 0, CM86=TRUE, 1)</f>
        <v>1</v>
      </c>
      <c r="CU86" s="10" cm="1">
        <f t="array" ref="CU86">_xlfn.IFS(AND($CN86=0, CP86=FALSE), NA(), AND($CN86=1, CP86=FALSE), 0, CP86=TRUE, 1)</f>
        <v>1</v>
      </c>
      <c r="CV86" s="10" cm="1">
        <f t="array" ref="CV86">_xlfn.IFS(AND($CN86=0, CQ86=FALSE), NA(), AND($CN86=1, CQ86=FALSE), 0, CQ86=TRUE, 1)</f>
        <v>1</v>
      </c>
    </row>
    <row r="87" spans="1:100" x14ac:dyDescent="0.25">
      <c r="A87" s="8">
        <v>86</v>
      </c>
      <c r="B87" s="9">
        <v>568</v>
      </c>
      <c r="C87" s="10" t="s">
        <v>5</v>
      </c>
      <c r="D87" s="11" t="s">
        <v>65</v>
      </c>
      <c r="E87" s="12">
        <v>21989</v>
      </c>
      <c r="F87" s="13">
        <v>1</v>
      </c>
      <c r="G87" s="9">
        <v>47.326488494873047</v>
      </c>
      <c r="H87" s="12">
        <v>39275</v>
      </c>
      <c r="I87" s="9">
        <v>1</v>
      </c>
      <c r="J87" s="12">
        <v>39275</v>
      </c>
      <c r="K87" s="9">
        <v>0</v>
      </c>
      <c r="L87" s="9">
        <v>1</v>
      </c>
      <c r="M87" s="10" t="s">
        <v>401</v>
      </c>
      <c r="N87" s="9"/>
      <c r="O87" s="10" t="s">
        <v>401</v>
      </c>
      <c r="P87" s="9"/>
      <c r="Q87" s="10" t="s">
        <v>401</v>
      </c>
      <c r="R87" s="12"/>
      <c r="S87" s="10" t="s">
        <v>146</v>
      </c>
      <c r="T87" s="9">
        <v>3</v>
      </c>
      <c r="U87" s="10" t="s">
        <v>401</v>
      </c>
      <c r="V87" s="10" t="s">
        <v>401</v>
      </c>
      <c r="W87" s="9"/>
      <c r="X87" s="9"/>
      <c r="Y87" s="9">
        <v>3</v>
      </c>
      <c r="Z87" s="19">
        <v>2</v>
      </c>
      <c r="AB87" s="9"/>
      <c r="AC87" s="9"/>
      <c r="AD87" s="9"/>
      <c r="AE87" s="9"/>
      <c r="AF87" s="9">
        <v>1</v>
      </c>
      <c r="AG87" s="9">
        <v>1</v>
      </c>
      <c r="AH87" s="9">
        <v>1</v>
      </c>
      <c r="AI87" s="9">
        <v>1</v>
      </c>
      <c r="AJ87" s="12">
        <v>42852</v>
      </c>
      <c r="AK87" s="9">
        <v>2</v>
      </c>
      <c r="AL87" s="12">
        <v>42936</v>
      </c>
      <c r="AM87" s="9">
        <v>4</v>
      </c>
      <c r="AN87" s="12">
        <v>42928</v>
      </c>
      <c r="AO87" s="12">
        <v>42928</v>
      </c>
      <c r="AP87" s="12">
        <v>42928</v>
      </c>
      <c r="AQ87" s="9">
        <v>1</v>
      </c>
      <c r="AR87" s="9">
        <f t="shared" si="30"/>
        <v>1</v>
      </c>
      <c r="AS87" s="9">
        <v>1</v>
      </c>
      <c r="AT87" s="9">
        <v>2</v>
      </c>
      <c r="AU87" s="9">
        <v>1</v>
      </c>
      <c r="AV87" s="9">
        <f t="shared" si="31"/>
        <v>0</v>
      </c>
      <c r="AW87" s="12">
        <v>43081</v>
      </c>
      <c r="AX87" s="9"/>
      <c r="AY87" s="9"/>
      <c r="AZ87" s="9"/>
      <c r="BA87" s="9">
        <v>4482.76318359375</v>
      </c>
      <c r="BB87" s="9">
        <v>1186.3720703125</v>
      </c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10" t="s">
        <v>401</v>
      </c>
      <c r="CA87" s="9"/>
      <c r="CB87" s="9"/>
      <c r="CC87" s="10">
        <f t="shared" si="32"/>
        <v>3.7785474690186813</v>
      </c>
      <c r="CF87" s="10">
        <f t="shared" si="26"/>
        <v>0</v>
      </c>
      <c r="CG87" s="10">
        <f t="shared" si="27"/>
        <v>0</v>
      </c>
      <c r="CH87" s="10">
        <f t="shared" si="28"/>
        <v>3</v>
      </c>
      <c r="CI87" s="9">
        <f t="shared" si="34"/>
        <v>0</v>
      </c>
      <c r="CJ87" s="10">
        <f t="shared" si="29"/>
        <v>8</v>
      </c>
      <c r="CK87" s="10" t="b">
        <f t="shared" si="35"/>
        <v>1</v>
      </c>
      <c r="CL87" s="10" t="b">
        <f t="shared" si="36"/>
        <v>0</v>
      </c>
      <c r="CM87" s="10" t="b">
        <f t="shared" si="37"/>
        <v>0</v>
      </c>
      <c r="CN87" s="9">
        <f t="shared" si="38"/>
        <v>1</v>
      </c>
      <c r="CO87" s="10">
        <f t="shared" si="42"/>
        <v>3</v>
      </c>
      <c r="CP87" s="10" t="b">
        <f t="shared" si="39"/>
        <v>1</v>
      </c>
      <c r="CQ87" s="10" t="b">
        <f t="shared" si="40"/>
        <v>0</v>
      </c>
      <c r="CR87" s="10" cm="1">
        <f t="array" ref="CR87">_xlfn.IFS(AND($CI87=0, CK87=FALSE), NA(), AND($CI87=1, CK87=FALSE), 0, CK87=TRUE, 1)</f>
        <v>1</v>
      </c>
      <c r="CS87" s="10" t="e" cm="1">
        <f t="array" ref="CS87">_xlfn.IFS(AND($CI87=0, CL87=FALSE), NA(), AND($CI87=1, CL87=FALSE), 0, CL87=TRUE, 1)</f>
        <v>#N/A</v>
      </c>
      <c r="CT87" s="10" t="e" cm="1">
        <f t="array" ref="CT87">_xlfn.IFS(AND($CI87=0, CM87=FALSE), NA(), AND($CI87=1, CM87=FALSE), 0, CM87=TRUE, 1)</f>
        <v>#N/A</v>
      </c>
      <c r="CU87" s="10" cm="1">
        <f t="array" ref="CU87">_xlfn.IFS(AND($CN87=0, CP87=FALSE), NA(), AND($CN87=1, CP87=FALSE), 0, CP87=TRUE, 1)</f>
        <v>1</v>
      </c>
      <c r="CV87" s="10" cm="1">
        <f t="array" ref="CV87">_xlfn.IFS(AND($CN87=0, CQ87=FALSE), NA(), AND($CN87=1, CQ87=FALSE), 0, CQ87=TRUE, 1)</f>
        <v>0</v>
      </c>
    </row>
    <row r="88" spans="1:100" ht="15.75" x14ac:dyDescent="0.25">
      <c r="A88" s="8">
        <v>87</v>
      </c>
      <c r="B88" s="9">
        <v>236</v>
      </c>
      <c r="C88" s="10" t="s">
        <v>20</v>
      </c>
      <c r="D88" s="11" t="s">
        <v>134</v>
      </c>
      <c r="E88" s="12">
        <v>18317</v>
      </c>
      <c r="F88" s="13">
        <v>2</v>
      </c>
      <c r="G88" s="9">
        <v>57.388092041015625</v>
      </c>
      <c r="H88" s="12">
        <v>39278</v>
      </c>
      <c r="I88" s="9">
        <v>1</v>
      </c>
      <c r="J88" s="12">
        <v>39278</v>
      </c>
      <c r="K88" s="9">
        <v>1</v>
      </c>
      <c r="L88" s="9">
        <v>1</v>
      </c>
      <c r="M88" s="10" t="s">
        <v>401</v>
      </c>
      <c r="N88" s="9">
        <v>1</v>
      </c>
      <c r="O88" s="10" t="s">
        <v>401</v>
      </c>
      <c r="P88" s="9">
        <v>1</v>
      </c>
      <c r="Q88" s="10" t="s">
        <v>401</v>
      </c>
      <c r="R88" s="12">
        <v>41452</v>
      </c>
      <c r="S88" s="10" t="s">
        <v>145</v>
      </c>
      <c r="T88" s="9"/>
      <c r="U88" s="10" t="s">
        <v>401</v>
      </c>
      <c r="V88" s="10" t="s">
        <v>401</v>
      </c>
      <c r="W88" s="9"/>
      <c r="X88" s="9"/>
      <c r="Y88" s="9">
        <v>2</v>
      </c>
      <c r="Z88" s="14">
        <v>1</v>
      </c>
      <c r="AB88" s="9"/>
      <c r="AC88" s="9"/>
      <c r="AD88" s="9">
        <v>2</v>
      </c>
      <c r="AE88" s="9">
        <v>2</v>
      </c>
      <c r="AF88" s="9">
        <v>2</v>
      </c>
      <c r="AG88" s="9">
        <v>1</v>
      </c>
      <c r="AH88" s="9">
        <v>1</v>
      </c>
      <c r="AI88" s="9">
        <v>1</v>
      </c>
      <c r="AJ88" s="12">
        <v>43013</v>
      </c>
      <c r="AK88" s="9">
        <v>2</v>
      </c>
      <c r="AL88" s="12">
        <v>43154</v>
      </c>
      <c r="AM88" s="9">
        <v>4</v>
      </c>
      <c r="AN88" s="12">
        <v>43156</v>
      </c>
      <c r="AO88" s="12">
        <v>43156</v>
      </c>
      <c r="AP88" s="12">
        <v>43156</v>
      </c>
      <c r="AQ88" s="9">
        <v>1</v>
      </c>
      <c r="AR88" s="9">
        <f t="shared" si="30"/>
        <v>1</v>
      </c>
      <c r="AS88" s="9">
        <v>1</v>
      </c>
      <c r="AT88" s="9">
        <v>2</v>
      </c>
      <c r="AU88" s="9">
        <v>2</v>
      </c>
      <c r="AV88" s="9">
        <f t="shared" si="31"/>
        <v>1</v>
      </c>
      <c r="AW88" s="12">
        <v>43694</v>
      </c>
      <c r="AX88" s="9">
        <v>3800</v>
      </c>
      <c r="AY88" s="9">
        <v>2650</v>
      </c>
      <c r="AZ88" s="9"/>
      <c r="BA88" s="9">
        <v>2650</v>
      </c>
      <c r="BB88" s="9">
        <v>959.24322509765625</v>
      </c>
      <c r="BC88" s="9">
        <v>330000</v>
      </c>
      <c r="BD88" s="9"/>
      <c r="BE88" s="9"/>
      <c r="BF88" s="9"/>
      <c r="BG88" s="9">
        <v>3270</v>
      </c>
      <c r="BH88" s="9"/>
      <c r="BI88" s="9"/>
      <c r="BJ88" s="9">
        <v>333000</v>
      </c>
      <c r="BK88" s="9"/>
      <c r="BL88" s="9"/>
      <c r="BM88" s="9"/>
      <c r="BN88" s="9">
        <v>14300</v>
      </c>
      <c r="BO88" s="9">
        <v>12900</v>
      </c>
      <c r="BP88" s="9"/>
      <c r="BQ88" s="9">
        <v>440000</v>
      </c>
      <c r="BR88" s="9"/>
      <c r="BS88" s="9"/>
      <c r="BT88" s="9"/>
      <c r="BU88" s="9">
        <v>8900</v>
      </c>
      <c r="BV88" s="9"/>
      <c r="BW88" s="9"/>
      <c r="BX88" s="9">
        <v>413000</v>
      </c>
      <c r="BY88" s="9"/>
      <c r="BZ88" s="10" t="s">
        <v>401</v>
      </c>
      <c r="CA88" s="9"/>
      <c r="CB88" s="9"/>
      <c r="CC88" s="10">
        <f t="shared" si="32"/>
        <v>2.7625944397263953</v>
      </c>
      <c r="CD88" s="10">
        <f t="shared" si="33"/>
        <v>344.02119438102278</v>
      </c>
      <c r="CE88" s="10">
        <f t="shared" ref="CE88:CE91" si="43">BC88*CC88</f>
        <v>911656.16510971042</v>
      </c>
      <c r="CF88" s="10">
        <f t="shared" si="26"/>
        <v>0</v>
      </c>
      <c r="CG88" s="10">
        <f t="shared" si="27"/>
        <v>0</v>
      </c>
      <c r="CH88" s="10">
        <f t="shared" si="28"/>
        <v>4</v>
      </c>
      <c r="CI88" s="9">
        <f t="shared" si="34"/>
        <v>1</v>
      </c>
      <c r="CJ88" s="10">
        <f t="shared" si="29"/>
        <v>22</v>
      </c>
      <c r="CK88" s="10" t="b">
        <f t="shared" si="35"/>
        <v>1</v>
      </c>
      <c r="CL88" s="10" t="b">
        <f t="shared" si="36"/>
        <v>1</v>
      </c>
      <c r="CM88" s="10" t="b">
        <f t="shared" si="37"/>
        <v>0</v>
      </c>
      <c r="CN88" s="9">
        <f t="shared" si="38"/>
        <v>1</v>
      </c>
      <c r="CO88" s="10">
        <f t="shared" si="42"/>
        <v>4</v>
      </c>
      <c r="CP88" s="10" t="b">
        <f t="shared" si="39"/>
        <v>1</v>
      </c>
      <c r="CQ88" s="10" t="b">
        <f t="shared" si="40"/>
        <v>0</v>
      </c>
      <c r="CR88" s="10" cm="1">
        <f t="array" ref="CR88">_xlfn.IFS(AND($CI88=0, CK88=FALSE), NA(), AND($CI88=1, CK88=FALSE), 0, CK88=TRUE, 1)</f>
        <v>1</v>
      </c>
      <c r="CS88" s="10" cm="1">
        <f t="array" ref="CS88">_xlfn.IFS(AND($CI88=0, CL88=FALSE), NA(), AND($CI88=1, CL88=FALSE), 0, CL88=TRUE, 1)</f>
        <v>1</v>
      </c>
      <c r="CT88" s="10" cm="1">
        <f t="array" ref="CT88">_xlfn.IFS(AND($CI88=0, CM88=FALSE), NA(), AND($CI88=1, CM88=FALSE), 0, CM88=TRUE, 1)</f>
        <v>0</v>
      </c>
      <c r="CU88" s="10" cm="1">
        <f t="array" ref="CU88">_xlfn.IFS(AND($CN88=0, CP88=FALSE), NA(), AND($CN88=1, CP88=FALSE), 0, CP88=TRUE, 1)</f>
        <v>1</v>
      </c>
      <c r="CV88" s="10" cm="1">
        <f t="array" ref="CV88">_xlfn.IFS(AND($CN88=0, CQ88=FALSE), NA(), AND($CN88=1, CQ88=FALSE), 0, CQ88=TRUE, 1)</f>
        <v>0</v>
      </c>
    </row>
    <row r="89" spans="1:100" ht="15.75" x14ac:dyDescent="0.25">
      <c r="A89" s="8">
        <v>88</v>
      </c>
      <c r="B89" s="9">
        <v>174</v>
      </c>
      <c r="C89" s="10" t="s">
        <v>15</v>
      </c>
      <c r="D89" s="11" t="s">
        <v>167</v>
      </c>
      <c r="E89" s="12">
        <v>15009</v>
      </c>
      <c r="F89" s="13">
        <v>1</v>
      </c>
      <c r="G89" s="9">
        <v>66.475013732910156</v>
      </c>
      <c r="H89" s="12">
        <v>39289</v>
      </c>
      <c r="I89" s="9">
        <v>1</v>
      </c>
      <c r="J89" s="12">
        <v>39289</v>
      </c>
      <c r="K89" s="9">
        <v>0</v>
      </c>
      <c r="L89" s="9">
        <v>1</v>
      </c>
      <c r="M89" s="10" t="s">
        <v>401</v>
      </c>
      <c r="N89" s="9"/>
      <c r="O89" s="10" t="s">
        <v>401</v>
      </c>
      <c r="P89" s="9"/>
      <c r="Q89" s="10" t="s">
        <v>401</v>
      </c>
      <c r="R89" s="12">
        <v>40954</v>
      </c>
      <c r="S89" s="10" t="s">
        <v>146</v>
      </c>
      <c r="T89" s="9">
        <v>6</v>
      </c>
      <c r="U89" s="10" t="s">
        <v>401</v>
      </c>
      <c r="V89" s="10" t="s">
        <v>401</v>
      </c>
      <c r="W89" s="9"/>
      <c r="X89" s="9"/>
      <c r="Y89" s="9">
        <v>3</v>
      </c>
      <c r="Z89" s="14">
        <v>2</v>
      </c>
      <c r="AA89" s="15"/>
      <c r="AB89" s="16"/>
      <c r="AC89" s="16"/>
      <c r="AD89" s="9">
        <v>1</v>
      </c>
      <c r="AE89" s="9">
        <v>1</v>
      </c>
      <c r="AF89" s="9">
        <v>1</v>
      </c>
      <c r="AG89" s="9">
        <v>0</v>
      </c>
      <c r="AH89" s="9">
        <v>1</v>
      </c>
      <c r="AI89" s="9">
        <v>0</v>
      </c>
      <c r="AJ89" s="12">
        <v>42942</v>
      </c>
      <c r="AK89" s="9">
        <v>2</v>
      </c>
      <c r="AL89" s="12">
        <v>43320</v>
      </c>
      <c r="AM89" s="9">
        <v>2</v>
      </c>
      <c r="AN89" s="12">
        <v>43042</v>
      </c>
      <c r="AO89" s="12">
        <v>43186</v>
      </c>
      <c r="AP89" s="12">
        <v>43360</v>
      </c>
      <c r="AQ89" s="9">
        <v>1</v>
      </c>
      <c r="AR89" s="9">
        <f t="shared" si="30"/>
        <v>1</v>
      </c>
      <c r="AS89" s="9">
        <v>1</v>
      </c>
      <c r="AT89" s="9">
        <v>1</v>
      </c>
      <c r="AU89" s="9">
        <v>2</v>
      </c>
      <c r="AV89" s="9">
        <f t="shared" si="31"/>
        <v>1</v>
      </c>
      <c r="AW89" s="12">
        <v>44434</v>
      </c>
      <c r="AX89" s="9">
        <v>6800</v>
      </c>
      <c r="AY89" s="9">
        <v>5200</v>
      </c>
      <c r="AZ89" s="9">
        <v>900</v>
      </c>
      <c r="BA89" s="9">
        <v>5200</v>
      </c>
      <c r="BB89" s="9">
        <v>900.0001220703125</v>
      </c>
      <c r="BC89" s="9">
        <v>200000</v>
      </c>
      <c r="BD89" s="9">
        <v>400</v>
      </c>
      <c r="BE89" s="9">
        <v>200</v>
      </c>
      <c r="BF89" s="9">
        <v>194</v>
      </c>
      <c r="BG89" s="9">
        <v>7000</v>
      </c>
      <c r="BH89" s="9">
        <v>5000</v>
      </c>
      <c r="BI89" s="9">
        <v>1000</v>
      </c>
      <c r="BJ89" s="9">
        <v>226000</v>
      </c>
      <c r="BK89" s="9">
        <v>600</v>
      </c>
      <c r="BL89" s="9">
        <v>300</v>
      </c>
      <c r="BM89" s="9">
        <v>181</v>
      </c>
      <c r="BN89" s="9">
        <v>7100</v>
      </c>
      <c r="BO89" s="9">
        <v>5500</v>
      </c>
      <c r="BP89" s="9">
        <v>900</v>
      </c>
      <c r="BQ89" s="9">
        <v>207000</v>
      </c>
      <c r="BR89" s="9">
        <v>500</v>
      </c>
      <c r="BS89" s="9">
        <v>300</v>
      </c>
      <c r="BT89" s="9">
        <v>198</v>
      </c>
      <c r="BU89" s="9">
        <v>6640</v>
      </c>
      <c r="BV89" s="9">
        <v>4850</v>
      </c>
      <c r="BW89" s="9">
        <v>1070</v>
      </c>
      <c r="BX89" s="9">
        <v>264000</v>
      </c>
      <c r="BY89" s="9">
        <v>370</v>
      </c>
      <c r="BZ89" s="10" t="s">
        <v>550</v>
      </c>
      <c r="CA89" s="9">
        <v>240</v>
      </c>
      <c r="CB89" s="9">
        <v>190</v>
      </c>
      <c r="CC89" s="10">
        <f t="shared" si="32"/>
        <v>5.7777769941166186</v>
      </c>
      <c r="CD89" s="10">
        <f t="shared" si="33"/>
        <v>222.22219208140842</v>
      </c>
      <c r="CE89" s="10">
        <f t="shared" si="43"/>
        <v>1155555.3988233237</v>
      </c>
      <c r="CF89" s="10">
        <f t="shared" si="26"/>
        <v>1</v>
      </c>
      <c r="CG89" s="10">
        <f t="shared" si="27"/>
        <v>1</v>
      </c>
      <c r="CH89" s="10">
        <f t="shared" si="28"/>
        <v>13</v>
      </c>
      <c r="CI89" s="9">
        <f t="shared" si="34"/>
        <v>1</v>
      </c>
      <c r="CJ89" s="10">
        <f t="shared" si="29"/>
        <v>49</v>
      </c>
      <c r="CK89" s="10" t="b">
        <f t="shared" si="35"/>
        <v>1</v>
      </c>
      <c r="CL89" s="10" t="b">
        <f t="shared" si="36"/>
        <v>1</v>
      </c>
      <c r="CM89" s="10" t="b">
        <f t="shared" si="37"/>
        <v>1</v>
      </c>
      <c r="CN89" s="9">
        <f t="shared" si="38"/>
        <v>1</v>
      </c>
      <c r="CO89" s="10">
        <f t="shared" si="42"/>
        <v>8</v>
      </c>
      <c r="CP89" s="10" t="b">
        <f t="shared" si="39"/>
        <v>1</v>
      </c>
      <c r="CQ89" s="10" t="b">
        <f t="shared" si="40"/>
        <v>0</v>
      </c>
      <c r="CR89" s="10" cm="1">
        <f t="array" ref="CR89">_xlfn.IFS(AND($CI89=0, CK89=FALSE), NA(), AND($CI89=1, CK89=FALSE), 0, CK89=TRUE, 1)</f>
        <v>1</v>
      </c>
      <c r="CS89" s="10" cm="1">
        <f t="array" ref="CS89">_xlfn.IFS(AND($CI89=0, CL89=FALSE), NA(), AND($CI89=1, CL89=FALSE), 0, CL89=TRUE, 1)</f>
        <v>1</v>
      </c>
      <c r="CT89" s="10" cm="1">
        <f t="array" ref="CT89">_xlfn.IFS(AND($CI89=0, CM89=FALSE), NA(), AND($CI89=1, CM89=FALSE), 0, CM89=TRUE, 1)</f>
        <v>1</v>
      </c>
      <c r="CU89" s="10" cm="1">
        <f t="array" ref="CU89">_xlfn.IFS(AND($CN89=0, CP89=FALSE), NA(), AND($CN89=1, CP89=FALSE), 0, CP89=TRUE, 1)</f>
        <v>1</v>
      </c>
      <c r="CV89" s="10" cm="1">
        <f t="array" ref="CV89">_xlfn.IFS(AND($CN89=0, CQ89=FALSE), NA(), AND($CN89=1, CQ89=FALSE), 0, CQ89=TRUE, 1)</f>
        <v>0</v>
      </c>
    </row>
    <row r="90" spans="1:100" ht="15.75" x14ac:dyDescent="0.25">
      <c r="A90" s="8">
        <v>89</v>
      </c>
      <c r="B90" s="9">
        <v>426</v>
      </c>
      <c r="C90" s="10" t="s">
        <v>29</v>
      </c>
      <c r="D90" s="11" t="s">
        <v>337</v>
      </c>
      <c r="E90" s="12">
        <v>18533</v>
      </c>
      <c r="F90" s="13">
        <v>1</v>
      </c>
      <c r="G90" s="9">
        <v>56.843257904052734</v>
      </c>
      <c r="H90" s="12">
        <v>39295</v>
      </c>
      <c r="I90" s="9">
        <v>1</v>
      </c>
      <c r="J90" s="12">
        <v>39295</v>
      </c>
      <c r="K90" s="9">
        <v>0</v>
      </c>
      <c r="L90" s="9">
        <v>1</v>
      </c>
      <c r="M90" s="10" t="s">
        <v>401</v>
      </c>
      <c r="N90" s="9">
        <v>1</v>
      </c>
      <c r="O90" s="10" t="s">
        <v>401</v>
      </c>
      <c r="P90" s="9">
        <v>1</v>
      </c>
      <c r="Q90" s="10" t="s">
        <v>401</v>
      </c>
      <c r="R90" s="12">
        <v>42922</v>
      </c>
      <c r="S90" s="10" t="s">
        <v>145</v>
      </c>
      <c r="T90" s="9">
        <v>6</v>
      </c>
      <c r="U90" s="10" t="s">
        <v>401</v>
      </c>
      <c r="V90" s="10" t="s">
        <v>401</v>
      </c>
      <c r="W90" s="9"/>
      <c r="X90" s="9"/>
      <c r="Y90" s="9">
        <v>3</v>
      </c>
      <c r="Z90" s="14">
        <v>1</v>
      </c>
      <c r="AA90" s="30">
        <v>10.9</v>
      </c>
      <c r="AB90" s="18">
        <v>97</v>
      </c>
      <c r="AC90" s="18"/>
      <c r="AD90" s="9">
        <v>2</v>
      </c>
      <c r="AE90" s="9">
        <v>2</v>
      </c>
      <c r="AF90" s="9">
        <v>1</v>
      </c>
      <c r="AG90" s="9">
        <v>1</v>
      </c>
      <c r="AH90" s="9">
        <v>0</v>
      </c>
      <c r="AI90" s="9">
        <v>1</v>
      </c>
      <c r="AJ90" s="12">
        <v>42934</v>
      </c>
      <c r="AK90" s="9">
        <v>2</v>
      </c>
      <c r="AL90" s="12">
        <v>43159</v>
      </c>
      <c r="AM90" s="9">
        <v>3</v>
      </c>
      <c r="AN90" s="12">
        <v>43047</v>
      </c>
      <c r="AO90" s="12">
        <v>43173</v>
      </c>
      <c r="AP90" s="12">
        <v>43173</v>
      </c>
      <c r="AQ90" s="9">
        <v>1</v>
      </c>
      <c r="AR90" s="9">
        <f t="shared" si="30"/>
        <v>1</v>
      </c>
      <c r="AS90" s="9">
        <v>1</v>
      </c>
      <c r="AT90" s="9">
        <v>2</v>
      </c>
      <c r="AU90" s="9">
        <v>2</v>
      </c>
      <c r="AV90" s="9">
        <f t="shared" si="31"/>
        <v>1</v>
      </c>
      <c r="AW90" s="12">
        <v>43273</v>
      </c>
      <c r="AX90" s="9">
        <v>3520</v>
      </c>
      <c r="AY90" s="9">
        <v>2020</v>
      </c>
      <c r="AZ90" s="9">
        <v>1170</v>
      </c>
      <c r="BA90" s="9">
        <v>2020</v>
      </c>
      <c r="BB90" s="9">
        <v>1170.000244140625</v>
      </c>
      <c r="BC90" s="9">
        <v>134000</v>
      </c>
      <c r="BD90" s="9">
        <v>290</v>
      </c>
      <c r="BE90" s="9">
        <v>40</v>
      </c>
      <c r="BF90" s="9"/>
      <c r="BG90" s="9">
        <v>4100</v>
      </c>
      <c r="BH90" s="9">
        <v>2600</v>
      </c>
      <c r="BI90" s="9">
        <v>1100</v>
      </c>
      <c r="BJ90" s="9">
        <v>122000</v>
      </c>
      <c r="BK90" s="9">
        <v>400</v>
      </c>
      <c r="BL90" s="9">
        <v>100</v>
      </c>
      <c r="BM90" s="9"/>
      <c r="BN90" s="9">
        <v>4390</v>
      </c>
      <c r="BO90" s="9">
        <v>2440</v>
      </c>
      <c r="BP90" s="9">
        <v>1580</v>
      </c>
      <c r="BQ90" s="9">
        <v>119000</v>
      </c>
      <c r="BR90" s="9">
        <v>290</v>
      </c>
      <c r="BS90" s="9">
        <v>60</v>
      </c>
      <c r="BT90" s="9"/>
      <c r="BU90" s="9">
        <v>4700</v>
      </c>
      <c r="BV90" s="9">
        <v>2780</v>
      </c>
      <c r="BW90" s="9">
        <v>1520</v>
      </c>
      <c r="BX90" s="9">
        <v>133000</v>
      </c>
      <c r="BY90" s="9">
        <v>500</v>
      </c>
      <c r="BZ90" s="10" t="s">
        <v>337</v>
      </c>
      <c r="CA90" s="9">
        <v>50</v>
      </c>
      <c r="CB90" s="9"/>
      <c r="CC90" s="10">
        <f t="shared" si="32"/>
        <v>1.7264953662327711</v>
      </c>
      <c r="CD90" s="10">
        <f t="shared" si="33"/>
        <v>114.52989063128284</v>
      </c>
      <c r="CE90" s="10">
        <f t="shared" si="43"/>
        <v>231350.37907519133</v>
      </c>
      <c r="CF90" s="10">
        <f t="shared" si="26"/>
        <v>1</v>
      </c>
      <c r="CG90" s="10">
        <f t="shared" si="27"/>
        <v>0</v>
      </c>
      <c r="CH90" s="10">
        <f t="shared" si="28"/>
        <v>7</v>
      </c>
      <c r="CI90" s="9">
        <f t="shared" si="34"/>
        <v>1</v>
      </c>
      <c r="CJ90" s="10">
        <f t="shared" si="29"/>
        <v>11</v>
      </c>
      <c r="CK90" s="10" t="b">
        <f t="shared" si="35"/>
        <v>1</v>
      </c>
      <c r="CL90" s="10" t="b">
        <f t="shared" si="36"/>
        <v>0</v>
      </c>
      <c r="CM90" s="10" t="b">
        <f t="shared" si="37"/>
        <v>0</v>
      </c>
      <c r="CN90" s="9">
        <f t="shared" si="38"/>
        <v>1</v>
      </c>
      <c r="CO90" s="10">
        <f t="shared" si="42"/>
        <v>8</v>
      </c>
      <c r="CP90" s="10" t="b">
        <f t="shared" si="39"/>
        <v>1</v>
      </c>
      <c r="CQ90" s="10" t="b">
        <f t="shared" si="40"/>
        <v>0</v>
      </c>
      <c r="CR90" s="10" cm="1">
        <f t="array" ref="CR90">_xlfn.IFS(AND($CI90=0, CK90=FALSE), NA(), AND($CI90=1, CK90=FALSE), 0, CK90=TRUE, 1)</f>
        <v>1</v>
      </c>
      <c r="CS90" s="10" cm="1">
        <f t="array" ref="CS90">_xlfn.IFS(AND($CI90=0, CL90=FALSE), NA(), AND($CI90=1, CL90=FALSE), 0, CL90=TRUE, 1)</f>
        <v>0</v>
      </c>
      <c r="CT90" s="10" cm="1">
        <f t="array" ref="CT90">_xlfn.IFS(AND($CI90=0, CM90=FALSE), NA(), AND($CI90=1, CM90=FALSE), 0, CM90=TRUE, 1)</f>
        <v>0</v>
      </c>
      <c r="CU90" s="10" cm="1">
        <f t="array" ref="CU90">_xlfn.IFS(AND($CN90=0, CP90=FALSE), NA(), AND($CN90=1, CP90=FALSE), 0, CP90=TRUE, 1)</f>
        <v>1</v>
      </c>
      <c r="CV90" s="10" cm="1">
        <f t="array" ref="CV90">_xlfn.IFS(AND($CN90=0, CQ90=FALSE), NA(), AND($CN90=1, CQ90=FALSE), 0, CQ90=TRUE, 1)</f>
        <v>0</v>
      </c>
    </row>
    <row r="91" spans="1:100" ht="15.75" x14ac:dyDescent="0.25">
      <c r="A91" s="8">
        <v>90</v>
      </c>
      <c r="B91" s="9">
        <v>339</v>
      </c>
      <c r="C91" s="10" t="s">
        <v>26</v>
      </c>
      <c r="D91" s="11" t="s">
        <v>249</v>
      </c>
      <c r="E91" s="12">
        <v>18192</v>
      </c>
      <c r="F91" s="13">
        <v>1</v>
      </c>
      <c r="G91" s="9">
        <v>57.861740112304688</v>
      </c>
      <c r="H91" s="12">
        <v>39326</v>
      </c>
      <c r="I91" s="9">
        <v>1</v>
      </c>
      <c r="J91" s="12">
        <v>39338</v>
      </c>
      <c r="K91" s="9">
        <v>0</v>
      </c>
      <c r="L91" s="9">
        <v>2</v>
      </c>
      <c r="M91" s="10" t="s">
        <v>401</v>
      </c>
      <c r="N91" s="9">
        <v>2</v>
      </c>
      <c r="O91" s="10" t="s">
        <v>147</v>
      </c>
      <c r="P91" s="9">
        <v>2</v>
      </c>
      <c r="Q91" s="10" t="s">
        <v>147</v>
      </c>
      <c r="R91" s="12">
        <v>40452</v>
      </c>
      <c r="S91" s="10" t="s">
        <v>145</v>
      </c>
      <c r="T91" s="9"/>
      <c r="U91" s="10" t="s">
        <v>401</v>
      </c>
      <c r="V91" s="10" t="s">
        <v>401</v>
      </c>
      <c r="W91" s="9"/>
      <c r="X91" s="9"/>
      <c r="Y91" s="9">
        <v>2</v>
      </c>
      <c r="Z91" s="14">
        <v>1</v>
      </c>
      <c r="AA91" s="15">
        <v>13</v>
      </c>
      <c r="AB91" s="16" t="s">
        <v>495</v>
      </c>
      <c r="AC91" s="16" t="s">
        <v>479</v>
      </c>
      <c r="AD91" s="9">
        <v>2</v>
      </c>
      <c r="AE91" s="9">
        <v>2</v>
      </c>
      <c r="AF91" s="9">
        <v>1</v>
      </c>
      <c r="AG91" s="9">
        <v>0</v>
      </c>
      <c r="AH91" s="9">
        <v>1</v>
      </c>
      <c r="AI91" s="9">
        <v>0</v>
      </c>
      <c r="AJ91" s="12">
        <v>42900</v>
      </c>
      <c r="AK91" s="9">
        <v>2</v>
      </c>
      <c r="AL91" s="12">
        <v>43035</v>
      </c>
      <c r="AM91" s="9">
        <v>3</v>
      </c>
      <c r="AN91" s="12">
        <v>42979</v>
      </c>
      <c r="AO91" s="12">
        <v>43040</v>
      </c>
      <c r="AP91" s="12">
        <v>43040</v>
      </c>
      <c r="AQ91" s="9">
        <v>1</v>
      </c>
      <c r="AR91" s="9">
        <f t="shared" si="30"/>
        <v>1</v>
      </c>
      <c r="AS91" s="9">
        <v>1</v>
      </c>
      <c r="AT91" s="9">
        <v>2</v>
      </c>
      <c r="AU91" s="9">
        <v>1</v>
      </c>
      <c r="AV91" s="9">
        <f t="shared" si="31"/>
        <v>0</v>
      </c>
      <c r="AW91" s="12">
        <v>43852</v>
      </c>
      <c r="AX91" s="9">
        <v>6220</v>
      </c>
      <c r="AY91" s="9">
        <v>3690</v>
      </c>
      <c r="AZ91" s="9">
        <v>1640</v>
      </c>
      <c r="BA91" s="9">
        <v>3690</v>
      </c>
      <c r="BB91" s="9">
        <v>1640</v>
      </c>
      <c r="BC91" s="9">
        <v>190000</v>
      </c>
      <c r="BD91" s="9">
        <v>690</v>
      </c>
      <c r="BE91" s="9">
        <v>180</v>
      </c>
      <c r="BF91" s="9"/>
      <c r="BG91" s="9">
        <v>7170</v>
      </c>
      <c r="BH91" s="9">
        <v>4740</v>
      </c>
      <c r="BI91" s="9">
        <v>1330</v>
      </c>
      <c r="BJ91" s="9">
        <v>184000</v>
      </c>
      <c r="BK91" s="9">
        <v>650</v>
      </c>
      <c r="BL91" s="9">
        <v>410</v>
      </c>
      <c r="BM91" s="9"/>
      <c r="BN91" s="9">
        <v>7250</v>
      </c>
      <c r="BO91" s="9">
        <v>4690</v>
      </c>
      <c r="BP91" s="9">
        <v>1450</v>
      </c>
      <c r="BQ91" s="9">
        <v>166000</v>
      </c>
      <c r="BR91" s="9">
        <v>530</v>
      </c>
      <c r="BS91" s="9">
        <v>540</v>
      </c>
      <c r="BT91" s="9"/>
      <c r="BU91" s="9">
        <v>7940</v>
      </c>
      <c r="BV91" s="9">
        <v>5240</v>
      </c>
      <c r="BW91" s="9">
        <v>1490</v>
      </c>
      <c r="BX91" s="9">
        <v>186000</v>
      </c>
      <c r="BY91" s="9">
        <v>690</v>
      </c>
      <c r="BZ91" s="10" t="s">
        <v>528</v>
      </c>
      <c r="CA91" s="9">
        <v>480</v>
      </c>
      <c r="CB91" s="9"/>
      <c r="CC91" s="10">
        <f t="shared" si="32"/>
        <v>2.25</v>
      </c>
      <c r="CD91" s="10">
        <f t="shared" si="33"/>
        <v>115.85365853658537</v>
      </c>
      <c r="CE91" s="10">
        <f t="shared" si="43"/>
        <v>427500</v>
      </c>
      <c r="CF91" s="10">
        <f t="shared" si="26"/>
        <v>1</v>
      </c>
      <c r="CG91" s="10">
        <f t="shared" si="27"/>
        <v>0</v>
      </c>
      <c r="CH91" s="10">
        <f t="shared" si="28"/>
        <v>4</v>
      </c>
      <c r="CI91" s="9">
        <f t="shared" si="34"/>
        <v>0</v>
      </c>
      <c r="CJ91" s="10">
        <f t="shared" si="29"/>
        <v>31</v>
      </c>
      <c r="CK91" s="10" t="b">
        <f t="shared" si="35"/>
        <v>1</v>
      </c>
      <c r="CL91" s="10" t="b">
        <f t="shared" si="36"/>
        <v>1</v>
      </c>
      <c r="CM91" s="10" t="b">
        <f t="shared" si="37"/>
        <v>1</v>
      </c>
      <c r="CN91" s="9">
        <f t="shared" si="38"/>
        <v>1</v>
      </c>
      <c r="CO91" s="10">
        <f t="shared" si="42"/>
        <v>5</v>
      </c>
      <c r="CP91" s="10" t="b">
        <f t="shared" si="39"/>
        <v>1</v>
      </c>
      <c r="CQ91" s="10" t="b">
        <f t="shared" si="40"/>
        <v>0</v>
      </c>
      <c r="CR91" s="10" cm="1">
        <f t="array" ref="CR91">_xlfn.IFS(AND($CI91=0, CK91=FALSE), NA(), AND($CI91=1, CK91=FALSE), 0, CK91=TRUE, 1)</f>
        <v>1</v>
      </c>
      <c r="CS91" s="10" cm="1">
        <f t="array" ref="CS91">_xlfn.IFS(AND($CI91=0, CL91=FALSE), NA(), AND($CI91=1, CL91=FALSE), 0, CL91=TRUE, 1)</f>
        <v>1</v>
      </c>
      <c r="CT91" s="10" cm="1">
        <f t="array" ref="CT91">_xlfn.IFS(AND($CI91=0, CM91=FALSE), NA(), AND($CI91=1, CM91=FALSE), 0, CM91=TRUE, 1)</f>
        <v>1</v>
      </c>
      <c r="CU91" s="10" cm="1">
        <f t="array" ref="CU91">_xlfn.IFS(AND($CN91=0, CP91=FALSE), NA(), AND($CN91=1, CP91=FALSE), 0, CP91=TRUE, 1)</f>
        <v>1</v>
      </c>
      <c r="CV91" s="10" cm="1">
        <f t="array" ref="CV91">_xlfn.IFS(AND($CN91=0, CQ91=FALSE), NA(), AND($CN91=1, CQ91=FALSE), 0, CQ91=TRUE, 1)</f>
        <v>0</v>
      </c>
    </row>
    <row r="92" spans="1:100" ht="15.75" x14ac:dyDescent="0.25">
      <c r="A92" s="8">
        <v>91</v>
      </c>
      <c r="B92" s="9">
        <v>511</v>
      </c>
      <c r="C92" s="10" t="s">
        <v>33</v>
      </c>
      <c r="D92" s="11" t="s">
        <v>196</v>
      </c>
      <c r="E92" s="12">
        <v>15029</v>
      </c>
      <c r="F92" s="13">
        <v>2</v>
      </c>
      <c r="G92" s="9">
        <v>66.611907958984375</v>
      </c>
      <c r="H92" s="12">
        <v>39359</v>
      </c>
      <c r="I92" s="9">
        <v>1</v>
      </c>
      <c r="J92" s="12">
        <v>39489</v>
      </c>
      <c r="K92" s="9">
        <v>0</v>
      </c>
      <c r="L92" s="9">
        <v>1</v>
      </c>
      <c r="M92" s="10" t="s">
        <v>401</v>
      </c>
      <c r="N92" s="9">
        <v>1</v>
      </c>
      <c r="O92" s="10" t="s">
        <v>401</v>
      </c>
      <c r="P92" s="9">
        <v>1</v>
      </c>
      <c r="Q92" s="10" t="s">
        <v>401</v>
      </c>
      <c r="R92" s="12">
        <v>40532</v>
      </c>
      <c r="S92" s="10" t="s">
        <v>145</v>
      </c>
      <c r="T92" s="9">
        <v>6</v>
      </c>
      <c r="U92" s="10" t="s">
        <v>147</v>
      </c>
      <c r="V92" s="10" t="s">
        <v>516</v>
      </c>
      <c r="W92" s="9"/>
      <c r="X92" s="9"/>
      <c r="Y92" s="9">
        <v>5</v>
      </c>
      <c r="Z92" s="14">
        <v>1</v>
      </c>
      <c r="AA92" s="15"/>
      <c r="AB92" s="16"/>
      <c r="AC92" s="16"/>
      <c r="AD92" s="9">
        <v>1</v>
      </c>
      <c r="AE92" s="9">
        <v>1</v>
      </c>
      <c r="AF92" s="9">
        <v>1</v>
      </c>
      <c r="AG92" s="9">
        <v>0</v>
      </c>
      <c r="AH92" s="9">
        <v>1</v>
      </c>
      <c r="AI92" s="9">
        <v>0</v>
      </c>
      <c r="AJ92" s="12">
        <v>42426</v>
      </c>
      <c r="AK92" s="9">
        <v>2</v>
      </c>
      <c r="AL92" s="12">
        <v>42664</v>
      </c>
      <c r="AM92" s="9">
        <v>2</v>
      </c>
      <c r="AN92" s="12">
        <v>42520</v>
      </c>
      <c r="AO92" s="12">
        <v>42634</v>
      </c>
      <c r="AP92" s="12">
        <v>42634</v>
      </c>
      <c r="AQ92" s="9">
        <v>1</v>
      </c>
      <c r="AR92" s="9">
        <f t="shared" si="30"/>
        <v>1</v>
      </c>
      <c r="AS92" s="9">
        <v>1</v>
      </c>
      <c r="AT92" s="9">
        <v>2</v>
      </c>
      <c r="AU92" s="9">
        <v>1</v>
      </c>
      <c r="AV92" s="9">
        <f t="shared" si="31"/>
        <v>0</v>
      </c>
      <c r="AW92" s="12">
        <v>43291</v>
      </c>
      <c r="AX92" s="9"/>
      <c r="AY92" s="9"/>
      <c r="AZ92" s="9"/>
      <c r="BA92" s="9">
        <v>4358.31787109375</v>
      </c>
      <c r="BB92" s="9">
        <v>1584.4783935546875</v>
      </c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10" t="s">
        <v>401</v>
      </c>
      <c r="CA92" s="9"/>
      <c r="CB92" s="9"/>
      <c r="CC92" s="10">
        <f t="shared" si="32"/>
        <v>2.7506325670469454</v>
      </c>
      <c r="CF92" s="10">
        <f t="shared" si="26"/>
        <v>1</v>
      </c>
      <c r="CG92" s="10">
        <f t="shared" si="27"/>
        <v>1</v>
      </c>
      <c r="CH92" s="10">
        <f t="shared" si="28"/>
        <v>8</v>
      </c>
      <c r="CI92" s="9">
        <f t="shared" si="34"/>
        <v>0</v>
      </c>
      <c r="CJ92" s="10">
        <f t="shared" si="29"/>
        <v>29</v>
      </c>
      <c r="CK92" s="10" t="b">
        <f t="shared" si="35"/>
        <v>1</v>
      </c>
      <c r="CL92" s="10" t="b">
        <f t="shared" si="36"/>
        <v>1</v>
      </c>
      <c r="CM92" s="10" t="b">
        <f t="shared" si="37"/>
        <v>1</v>
      </c>
      <c r="CN92" s="9">
        <f t="shared" si="38"/>
        <v>1</v>
      </c>
      <c r="CO92" s="10">
        <f t="shared" si="42"/>
        <v>7</v>
      </c>
      <c r="CP92" s="10" t="b">
        <f t="shared" si="39"/>
        <v>1</v>
      </c>
      <c r="CQ92" s="10" t="b">
        <f t="shared" si="40"/>
        <v>0</v>
      </c>
      <c r="CR92" s="10" cm="1">
        <f t="array" ref="CR92">_xlfn.IFS(AND($CI92=0, CK92=FALSE), NA(), AND($CI92=1, CK92=FALSE), 0, CK92=TRUE, 1)</f>
        <v>1</v>
      </c>
      <c r="CS92" s="10" cm="1">
        <f t="array" ref="CS92">_xlfn.IFS(AND($CI92=0, CL92=FALSE), NA(), AND($CI92=1, CL92=FALSE), 0, CL92=TRUE, 1)</f>
        <v>1</v>
      </c>
      <c r="CT92" s="10" cm="1">
        <f t="array" ref="CT92">_xlfn.IFS(AND($CI92=0, CM92=FALSE), NA(), AND($CI92=1, CM92=FALSE), 0, CM92=TRUE, 1)</f>
        <v>1</v>
      </c>
      <c r="CU92" s="10" cm="1">
        <f t="array" ref="CU92">_xlfn.IFS(AND($CN92=0, CP92=FALSE), NA(), AND($CN92=1, CP92=FALSE), 0, CP92=TRUE, 1)</f>
        <v>1</v>
      </c>
      <c r="CV92" s="10" cm="1">
        <f t="array" ref="CV92">_xlfn.IFS(AND($CN92=0, CQ92=FALSE), NA(), AND($CN92=1, CQ92=FALSE), 0, CQ92=TRUE, 1)</f>
        <v>0</v>
      </c>
    </row>
    <row r="93" spans="1:100" ht="15.75" x14ac:dyDescent="0.25">
      <c r="A93" s="8">
        <v>92</v>
      </c>
      <c r="B93" s="9">
        <v>199</v>
      </c>
      <c r="C93" s="10" t="s">
        <v>17</v>
      </c>
      <c r="D93" s="11" t="s">
        <v>205</v>
      </c>
      <c r="E93" s="12">
        <v>18080</v>
      </c>
      <c r="F93" s="13">
        <v>1</v>
      </c>
      <c r="G93" s="9">
        <v>58.332649230957031</v>
      </c>
      <c r="H93" s="12">
        <v>39386</v>
      </c>
      <c r="I93" s="9">
        <v>1</v>
      </c>
      <c r="J93" s="12">
        <v>39386</v>
      </c>
      <c r="K93" s="9">
        <v>0</v>
      </c>
      <c r="L93" s="9">
        <v>1</v>
      </c>
      <c r="M93" s="10" t="s">
        <v>401</v>
      </c>
      <c r="N93" s="9">
        <v>1</v>
      </c>
      <c r="O93" s="10" t="s">
        <v>401</v>
      </c>
      <c r="P93" s="9">
        <v>1</v>
      </c>
      <c r="Q93" s="10" t="s">
        <v>401</v>
      </c>
      <c r="R93" s="12">
        <v>42894</v>
      </c>
      <c r="S93" s="10" t="s">
        <v>145</v>
      </c>
      <c r="T93" s="9"/>
      <c r="U93" s="10" t="s">
        <v>401</v>
      </c>
      <c r="V93" s="10" t="s">
        <v>401</v>
      </c>
      <c r="W93" s="9"/>
      <c r="X93" s="9"/>
      <c r="Y93" s="9">
        <v>2</v>
      </c>
      <c r="Z93" s="14">
        <v>1</v>
      </c>
      <c r="AA93" s="15">
        <v>15.3</v>
      </c>
      <c r="AB93" s="16">
        <v>94</v>
      </c>
      <c r="AC93" s="16">
        <v>13</v>
      </c>
      <c r="AD93" s="9">
        <v>1</v>
      </c>
      <c r="AE93" s="9">
        <v>1</v>
      </c>
      <c r="AF93" s="9">
        <v>1</v>
      </c>
      <c r="AG93" s="9">
        <v>1</v>
      </c>
      <c r="AH93" s="9">
        <v>1</v>
      </c>
      <c r="AI93" s="9">
        <v>0</v>
      </c>
      <c r="AJ93" s="12">
        <v>43483</v>
      </c>
      <c r="AK93" s="9">
        <v>1</v>
      </c>
      <c r="AL93" s="12">
        <v>44939</v>
      </c>
      <c r="AM93" s="9">
        <v>3</v>
      </c>
      <c r="AN93" s="12">
        <v>43587</v>
      </c>
      <c r="AO93" s="12"/>
      <c r="AP93" s="12"/>
      <c r="AQ93" s="9">
        <v>2</v>
      </c>
      <c r="AR93" s="9">
        <f t="shared" si="30"/>
        <v>0</v>
      </c>
      <c r="AS93" s="9">
        <v>2</v>
      </c>
      <c r="AT93" s="9"/>
      <c r="AU93" s="9">
        <v>1</v>
      </c>
      <c r="AV93" s="9">
        <f t="shared" si="31"/>
        <v>0</v>
      </c>
      <c r="AW93" s="12">
        <v>44939</v>
      </c>
      <c r="AX93" s="9">
        <v>5320</v>
      </c>
      <c r="AY93" s="9">
        <v>2500</v>
      </c>
      <c r="AZ93" s="9">
        <v>2100</v>
      </c>
      <c r="BA93" s="9">
        <v>2500</v>
      </c>
      <c r="BB93" s="9">
        <v>2099.999755859375</v>
      </c>
      <c r="BC93" s="9">
        <v>185000</v>
      </c>
      <c r="BD93" s="9">
        <v>600</v>
      </c>
      <c r="BE93" s="9">
        <v>100</v>
      </c>
      <c r="BF93" s="9"/>
      <c r="BG93" s="9">
        <v>4880</v>
      </c>
      <c r="BH93" s="9">
        <v>2300</v>
      </c>
      <c r="BI93" s="9">
        <v>1800</v>
      </c>
      <c r="BJ93" s="9">
        <v>173000</v>
      </c>
      <c r="BK93" s="9">
        <v>500</v>
      </c>
      <c r="BL93" s="9">
        <v>200</v>
      </c>
      <c r="BM93" s="9"/>
      <c r="BN93" s="9">
        <v>5300</v>
      </c>
      <c r="BO93" s="9">
        <v>2800</v>
      </c>
      <c r="BP93" s="9">
        <v>1600</v>
      </c>
      <c r="BQ93" s="9">
        <v>178000</v>
      </c>
      <c r="BR93" s="9">
        <v>600</v>
      </c>
      <c r="BS93" s="9">
        <v>300</v>
      </c>
      <c r="BT93" s="9"/>
      <c r="BU93" s="9">
        <v>6630</v>
      </c>
      <c r="BV93" s="9">
        <v>3200</v>
      </c>
      <c r="BW93" s="9">
        <v>2500</v>
      </c>
      <c r="BX93" s="9">
        <v>188000</v>
      </c>
      <c r="BY93" s="9">
        <v>700</v>
      </c>
      <c r="BZ93" s="10" t="s">
        <v>542</v>
      </c>
      <c r="CA93" s="9">
        <v>300</v>
      </c>
      <c r="CB93" s="9"/>
      <c r="CC93" s="10">
        <f t="shared" si="32"/>
        <v>1.1904763288779214</v>
      </c>
      <c r="CD93" s="10">
        <f t="shared" si="33"/>
        <v>88.095248336966179</v>
      </c>
      <c r="CE93" s="10">
        <f t="shared" ref="CE93:CE108" si="44">BC93*CC93</f>
        <v>220238.12084241546</v>
      </c>
      <c r="CF93" s="10">
        <f t="shared" si="26"/>
        <v>1</v>
      </c>
      <c r="CG93" s="10">
        <f t="shared" si="27"/>
        <v>0</v>
      </c>
      <c r="CH93" s="10">
        <f t="shared" si="28"/>
        <v>48</v>
      </c>
      <c r="CI93" s="9">
        <f t="shared" si="34"/>
        <v>0</v>
      </c>
      <c r="CJ93" s="10">
        <f t="shared" si="29"/>
        <v>48</v>
      </c>
      <c r="CK93" s="10" t="b">
        <f t="shared" si="35"/>
        <v>1</v>
      </c>
      <c r="CL93" s="10" t="b">
        <f t="shared" si="36"/>
        <v>1</v>
      </c>
      <c r="CM93" s="10" t="b">
        <f t="shared" si="37"/>
        <v>1</v>
      </c>
      <c r="CN93" s="9">
        <f t="shared" si="38"/>
        <v>0</v>
      </c>
      <c r="CO93" s="10">
        <f>CJ93</f>
        <v>48</v>
      </c>
      <c r="CP93" s="10" t="b">
        <f t="shared" si="39"/>
        <v>1</v>
      </c>
      <c r="CQ93" s="10" t="b">
        <f t="shared" si="40"/>
        <v>1</v>
      </c>
      <c r="CR93" s="10" cm="1">
        <f t="array" ref="CR93">_xlfn.IFS(AND($CI93=0, CK93=FALSE), NA(), AND($CI93=1, CK93=FALSE), 0, CK93=TRUE, 1)</f>
        <v>1</v>
      </c>
      <c r="CS93" s="10" cm="1">
        <f t="array" ref="CS93">_xlfn.IFS(AND($CI93=0, CL93=FALSE), NA(), AND($CI93=1, CL93=FALSE), 0, CL93=TRUE, 1)</f>
        <v>1</v>
      </c>
      <c r="CT93" s="10" cm="1">
        <f t="array" ref="CT93">_xlfn.IFS(AND($CI93=0, CM93=FALSE), NA(), AND($CI93=1, CM93=FALSE), 0, CM93=TRUE, 1)</f>
        <v>1</v>
      </c>
      <c r="CU93" s="10" cm="1">
        <f t="array" ref="CU93">_xlfn.IFS(AND($CN93=0, CP93=FALSE), NA(), AND($CN93=1, CP93=FALSE), 0, CP93=TRUE, 1)</f>
        <v>1</v>
      </c>
      <c r="CV93" s="10" cm="1">
        <f t="array" ref="CV93">_xlfn.IFS(AND($CN93=0, CQ93=FALSE), NA(), AND($CN93=1, CQ93=FALSE), 0, CQ93=TRUE, 1)</f>
        <v>1</v>
      </c>
    </row>
    <row r="94" spans="1:100" x14ac:dyDescent="0.25">
      <c r="A94" s="8">
        <v>93</v>
      </c>
      <c r="B94" s="9">
        <v>474</v>
      </c>
      <c r="C94" s="10" t="s">
        <v>31</v>
      </c>
      <c r="D94" s="11" t="s">
        <v>364</v>
      </c>
      <c r="E94" s="12"/>
      <c r="F94" s="13">
        <v>1</v>
      </c>
      <c r="G94" s="9">
        <v>74</v>
      </c>
      <c r="H94" s="12">
        <v>39447</v>
      </c>
      <c r="I94" s="9">
        <v>1</v>
      </c>
      <c r="J94" s="12">
        <v>39447</v>
      </c>
      <c r="K94" s="9">
        <v>0</v>
      </c>
      <c r="L94" s="9">
        <v>1</v>
      </c>
      <c r="M94" s="10" t="s">
        <v>401</v>
      </c>
      <c r="N94" s="9">
        <v>1</v>
      </c>
      <c r="O94" s="10" t="s">
        <v>401</v>
      </c>
      <c r="P94" s="9">
        <v>1</v>
      </c>
      <c r="Q94" s="10" t="s">
        <v>401</v>
      </c>
      <c r="R94" s="12">
        <v>40283</v>
      </c>
      <c r="S94" s="10" t="s">
        <v>145</v>
      </c>
      <c r="T94" s="9"/>
      <c r="U94" s="10" t="s">
        <v>401</v>
      </c>
      <c r="V94" s="10" t="s">
        <v>401</v>
      </c>
      <c r="W94" s="9"/>
      <c r="X94" s="9"/>
      <c r="Y94" s="9">
        <v>2</v>
      </c>
      <c r="Z94" s="19">
        <v>1</v>
      </c>
      <c r="AB94" s="9"/>
      <c r="AC94" s="9"/>
      <c r="AD94" s="9">
        <v>2</v>
      </c>
      <c r="AE94" s="9">
        <v>2</v>
      </c>
      <c r="AF94" s="9">
        <v>1</v>
      </c>
      <c r="AG94" s="9">
        <v>0</v>
      </c>
      <c r="AH94" s="9">
        <v>1</v>
      </c>
      <c r="AI94" s="9">
        <v>0</v>
      </c>
      <c r="AJ94" s="12">
        <v>43061</v>
      </c>
      <c r="AK94" s="9">
        <v>2</v>
      </c>
      <c r="AL94" s="12">
        <v>43454</v>
      </c>
      <c r="AM94" s="9">
        <v>3</v>
      </c>
      <c r="AN94" s="12">
        <v>43145</v>
      </c>
      <c r="AO94" s="12">
        <v>43481</v>
      </c>
      <c r="AP94" s="12">
        <v>43481</v>
      </c>
      <c r="AQ94" s="9">
        <v>1</v>
      </c>
      <c r="AR94" s="9">
        <f t="shared" si="30"/>
        <v>1</v>
      </c>
      <c r="AS94" s="9">
        <v>1</v>
      </c>
      <c r="AT94" s="9">
        <v>2</v>
      </c>
      <c r="AU94" s="9">
        <v>2</v>
      </c>
      <c r="AV94" s="9">
        <f t="shared" si="31"/>
        <v>1</v>
      </c>
      <c r="AW94" s="12">
        <v>44476</v>
      </c>
      <c r="AX94" s="9">
        <v>7530</v>
      </c>
      <c r="AY94" s="9">
        <v>5460</v>
      </c>
      <c r="AZ94" s="9">
        <v>1380</v>
      </c>
      <c r="BA94" s="9">
        <v>5460</v>
      </c>
      <c r="BB94" s="9">
        <v>1380.0001220703125</v>
      </c>
      <c r="BC94" s="9">
        <v>343000</v>
      </c>
      <c r="BD94" s="9">
        <v>480</v>
      </c>
      <c r="BE94" s="9">
        <v>160</v>
      </c>
      <c r="BF94" s="9">
        <v>351</v>
      </c>
      <c r="BG94" s="9">
        <v>7830</v>
      </c>
      <c r="BH94" s="9">
        <v>6080</v>
      </c>
      <c r="BI94" s="9">
        <v>1040</v>
      </c>
      <c r="BJ94" s="9">
        <v>353000</v>
      </c>
      <c r="BK94" s="9">
        <v>500</v>
      </c>
      <c r="BL94" s="9">
        <v>170</v>
      </c>
      <c r="BM94" s="9">
        <v>347</v>
      </c>
      <c r="BN94" s="9">
        <v>9380</v>
      </c>
      <c r="BO94" s="9">
        <v>7240</v>
      </c>
      <c r="BP94" s="9">
        <v>1300</v>
      </c>
      <c r="BQ94" s="9">
        <v>442000</v>
      </c>
      <c r="BR94" s="9">
        <v>600</v>
      </c>
      <c r="BS94" s="9">
        <v>210</v>
      </c>
      <c r="BT94" s="9">
        <v>359</v>
      </c>
      <c r="BU94" s="9">
        <v>10130</v>
      </c>
      <c r="BV94" s="9">
        <v>7570</v>
      </c>
      <c r="BW94" s="9">
        <v>1400</v>
      </c>
      <c r="BX94" s="9">
        <v>396000</v>
      </c>
      <c r="BY94" s="9">
        <v>720</v>
      </c>
      <c r="BZ94" s="10" t="s">
        <v>551</v>
      </c>
      <c r="CA94" s="9">
        <v>360</v>
      </c>
      <c r="CB94" s="9">
        <v>278</v>
      </c>
      <c r="CC94" s="10">
        <f t="shared" si="32"/>
        <v>3.9565213891494184</v>
      </c>
      <c r="CD94" s="10">
        <f t="shared" si="33"/>
        <v>248.55070265169425</v>
      </c>
      <c r="CE94" s="10">
        <f t="shared" si="44"/>
        <v>1357086.8364782506</v>
      </c>
      <c r="CF94" s="10">
        <f t="shared" si="26"/>
        <v>1</v>
      </c>
      <c r="CG94" s="10">
        <f t="shared" si="27"/>
        <v>0</v>
      </c>
      <c r="CH94" s="10">
        <f t="shared" si="28"/>
        <v>13</v>
      </c>
      <c r="CI94" s="9">
        <f t="shared" si="34"/>
        <v>1</v>
      </c>
      <c r="CJ94" s="10">
        <f t="shared" si="29"/>
        <v>47</v>
      </c>
      <c r="CK94" s="10" t="b">
        <f t="shared" si="35"/>
        <v>1</v>
      </c>
      <c r="CL94" s="10" t="b">
        <f t="shared" si="36"/>
        <v>1</v>
      </c>
      <c r="CM94" s="10" t="b">
        <f t="shared" si="37"/>
        <v>1</v>
      </c>
      <c r="CN94" s="9">
        <f t="shared" si="38"/>
        <v>1</v>
      </c>
      <c r="CO94" s="10">
        <f t="shared" ref="CO94:CO109" si="45">(YEAR(AO94)-YEAR(AJ94))*12+MONTH(AO94)-MONTH(AJ94)</f>
        <v>14</v>
      </c>
      <c r="CP94" s="10" t="b">
        <f t="shared" si="39"/>
        <v>1</v>
      </c>
      <c r="CQ94" s="10" t="b">
        <f t="shared" si="40"/>
        <v>1</v>
      </c>
      <c r="CR94" s="10" cm="1">
        <f t="array" ref="CR94">_xlfn.IFS(AND($CI94=0, CK94=FALSE), NA(), AND($CI94=1, CK94=FALSE), 0, CK94=TRUE, 1)</f>
        <v>1</v>
      </c>
      <c r="CS94" s="10" cm="1">
        <f t="array" ref="CS94">_xlfn.IFS(AND($CI94=0, CL94=FALSE), NA(), AND($CI94=1, CL94=FALSE), 0, CL94=TRUE, 1)</f>
        <v>1</v>
      </c>
      <c r="CT94" s="10" cm="1">
        <f t="array" ref="CT94">_xlfn.IFS(AND($CI94=0, CM94=FALSE), NA(), AND($CI94=1, CM94=FALSE), 0, CM94=TRUE, 1)</f>
        <v>1</v>
      </c>
      <c r="CU94" s="10" cm="1">
        <f t="array" ref="CU94">_xlfn.IFS(AND($CN94=0, CP94=FALSE), NA(), AND($CN94=1, CP94=FALSE), 0, CP94=TRUE, 1)</f>
        <v>1</v>
      </c>
      <c r="CV94" s="10" cm="1">
        <f t="array" ref="CV94">_xlfn.IFS(AND($CN94=0, CQ94=FALSE), NA(), AND($CN94=1, CQ94=FALSE), 0, CQ94=TRUE, 1)</f>
        <v>1</v>
      </c>
    </row>
    <row r="95" spans="1:100" ht="15.75" x14ac:dyDescent="0.25">
      <c r="A95" s="8">
        <v>94</v>
      </c>
      <c r="B95" s="9">
        <v>493</v>
      </c>
      <c r="C95" s="10" t="s">
        <v>32</v>
      </c>
      <c r="D95" s="11" t="s">
        <v>42</v>
      </c>
      <c r="E95" s="12">
        <v>15569</v>
      </c>
      <c r="F95" s="13">
        <v>1</v>
      </c>
      <c r="G95" s="9">
        <v>65.423683166503906</v>
      </c>
      <c r="H95" s="12">
        <v>39465</v>
      </c>
      <c r="I95" s="9">
        <v>1</v>
      </c>
      <c r="J95" s="12">
        <v>39476</v>
      </c>
      <c r="K95" s="9">
        <v>0</v>
      </c>
      <c r="L95" s="9">
        <v>1</v>
      </c>
      <c r="M95" s="10" t="s">
        <v>401</v>
      </c>
      <c r="N95" s="9">
        <v>1</v>
      </c>
      <c r="O95" s="10" t="s">
        <v>401</v>
      </c>
      <c r="P95" s="9">
        <v>1</v>
      </c>
      <c r="Q95" s="10" t="s">
        <v>401</v>
      </c>
      <c r="R95" s="12">
        <v>42013</v>
      </c>
      <c r="S95" s="10" t="s">
        <v>145</v>
      </c>
      <c r="T95" s="9"/>
      <c r="U95" s="10" t="s">
        <v>401</v>
      </c>
      <c r="V95" s="10" t="s">
        <v>401</v>
      </c>
      <c r="W95" s="9"/>
      <c r="X95" s="9"/>
      <c r="Y95" s="9">
        <v>2</v>
      </c>
      <c r="Z95" s="14">
        <v>1</v>
      </c>
      <c r="AA95" s="17">
        <v>13.4</v>
      </c>
      <c r="AB95" s="18">
        <v>99</v>
      </c>
      <c r="AC95" s="18">
        <v>13</v>
      </c>
      <c r="AD95" s="9">
        <v>2</v>
      </c>
      <c r="AE95" s="9">
        <v>2</v>
      </c>
      <c r="AF95" s="9">
        <v>1</v>
      </c>
      <c r="AG95" s="9">
        <v>1</v>
      </c>
      <c r="AH95" s="9">
        <v>0</v>
      </c>
      <c r="AI95" s="9">
        <v>0</v>
      </c>
      <c r="AJ95" s="12">
        <v>42918</v>
      </c>
      <c r="AK95" s="9">
        <v>2</v>
      </c>
      <c r="AL95" s="12">
        <v>43706</v>
      </c>
      <c r="AM95" s="9">
        <v>1</v>
      </c>
      <c r="AN95" s="12">
        <v>43475</v>
      </c>
      <c r="AO95" s="12">
        <v>43706</v>
      </c>
      <c r="AP95" s="12">
        <v>43706</v>
      </c>
      <c r="AQ95" s="9">
        <v>1</v>
      </c>
      <c r="AR95" s="9">
        <f t="shared" si="30"/>
        <v>1</v>
      </c>
      <c r="AS95" s="9">
        <v>1</v>
      </c>
      <c r="AT95" s="9">
        <v>2</v>
      </c>
      <c r="AU95" s="9">
        <v>1</v>
      </c>
      <c r="AV95" s="9">
        <f t="shared" si="31"/>
        <v>0</v>
      </c>
      <c r="AW95" s="12">
        <v>44987</v>
      </c>
      <c r="AX95" s="9">
        <v>8070</v>
      </c>
      <c r="AY95" s="9">
        <v>5440</v>
      </c>
      <c r="AZ95" s="9">
        <v>1790</v>
      </c>
      <c r="BA95" s="9">
        <v>5440</v>
      </c>
      <c r="BB95" s="9">
        <v>1789.9996337890625</v>
      </c>
      <c r="BC95" s="9">
        <v>200000</v>
      </c>
      <c r="BD95" s="9">
        <v>500</v>
      </c>
      <c r="BE95" s="9">
        <v>130</v>
      </c>
      <c r="BF95" s="9">
        <v>133</v>
      </c>
      <c r="BG95" s="9">
        <v>9000</v>
      </c>
      <c r="BH95" s="9">
        <v>6870</v>
      </c>
      <c r="BI95" s="9">
        <v>1260</v>
      </c>
      <c r="BJ95" s="9">
        <v>164000</v>
      </c>
      <c r="BK95" s="9">
        <v>400</v>
      </c>
      <c r="BL95" s="9">
        <v>260</v>
      </c>
      <c r="BM95" s="9">
        <v>207</v>
      </c>
      <c r="BN95" s="9">
        <v>7450</v>
      </c>
      <c r="BO95" s="9">
        <v>4910</v>
      </c>
      <c r="BP95" s="9">
        <v>1780</v>
      </c>
      <c r="BQ95" s="9">
        <v>207000</v>
      </c>
      <c r="BR95" s="9">
        <v>430</v>
      </c>
      <c r="BS95" s="9">
        <v>160</v>
      </c>
      <c r="BT95" s="9">
        <v>215</v>
      </c>
      <c r="BU95" s="9">
        <v>7810</v>
      </c>
      <c r="BV95" s="9">
        <v>5460</v>
      </c>
      <c r="BW95" s="9">
        <v>1483</v>
      </c>
      <c r="BX95" s="9">
        <v>198000</v>
      </c>
      <c r="BY95" s="9">
        <v>390</v>
      </c>
      <c r="BZ95" s="10" t="s">
        <v>552</v>
      </c>
      <c r="CA95" s="9">
        <v>234</v>
      </c>
      <c r="CB95" s="9">
        <v>280</v>
      </c>
      <c r="CC95" s="10">
        <f t="shared" si="32"/>
        <v>3.039106767013485</v>
      </c>
      <c r="CD95" s="10">
        <f t="shared" si="33"/>
        <v>111.7318664343193</v>
      </c>
      <c r="CE95" s="10">
        <f t="shared" si="44"/>
        <v>607821.35340269702</v>
      </c>
      <c r="CF95" s="10">
        <f t="shared" si="26"/>
        <v>1</v>
      </c>
      <c r="CG95" s="10">
        <f t="shared" si="27"/>
        <v>1</v>
      </c>
      <c r="CH95" s="10">
        <f t="shared" si="28"/>
        <v>25</v>
      </c>
      <c r="CI95" s="9">
        <f t="shared" si="34"/>
        <v>0</v>
      </c>
      <c r="CJ95" s="10">
        <f t="shared" si="29"/>
        <v>68</v>
      </c>
      <c r="CK95" s="10" t="b">
        <f t="shared" si="35"/>
        <v>1</v>
      </c>
      <c r="CL95" s="10" t="b">
        <f t="shared" si="36"/>
        <v>1</v>
      </c>
      <c r="CM95" s="10" t="b">
        <f t="shared" si="37"/>
        <v>1</v>
      </c>
      <c r="CN95" s="9">
        <f t="shared" si="38"/>
        <v>1</v>
      </c>
      <c r="CO95" s="10">
        <f t="shared" si="45"/>
        <v>25</v>
      </c>
      <c r="CP95" s="10" t="b">
        <f t="shared" si="39"/>
        <v>1</v>
      </c>
      <c r="CQ95" s="10" t="b">
        <f t="shared" si="40"/>
        <v>1</v>
      </c>
      <c r="CR95" s="10" cm="1">
        <f t="array" ref="CR95">_xlfn.IFS(AND($CI95=0, CK95=FALSE), NA(), AND($CI95=1, CK95=FALSE), 0, CK95=TRUE, 1)</f>
        <v>1</v>
      </c>
      <c r="CS95" s="10" cm="1">
        <f t="array" ref="CS95">_xlfn.IFS(AND($CI95=0, CL95=FALSE), NA(), AND($CI95=1, CL95=FALSE), 0, CL95=TRUE, 1)</f>
        <v>1</v>
      </c>
      <c r="CT95" s="10" cm="1">
        <f t="array" ref="CT95">_xlfn.IFS(AND($CI95=0, CM95=FALSE), NA(), AND($CI95=1, CM95=FALSE), 0, CM95=TRUE, 1)</f>
        <v>1</v>
      </c>
      <c r="CU95" s="10" cm="1">
        <f t="array" ref="CU95">_xlfn.IFS(AND($CN95=0, CP95=FALSE), NA(), AND($CN95=1, CP95=FALSE), 0, CP95=TRUE, 1)</f>
        <v>1</v>
      </c>
      <c r="CV95" s="10" cm="1">
        <f t="array" ref="CV95">_xlfn.IFS(AND($CN95=0, CQ95=FALSE), NA(), AND($CN95=1, CQ95=FALSE), 0, CQ95=TRUE, 1)</f>
        <v>1</v>
      </c>
    </row>
    <row r="96" spans="1:100" ht="15.75" x14ac:dyDescent="0.25">
      <c r="A96" s="8">
        <v>95</v>
      </c>
      <c r="B96" s="9">
        <v>172</v>
      </c>
      <c r="C96" s="10" t="s">
        <v>15</v>
      </c>
      <c r="D96" s="11" t="s">
        <v>165</v>
      </c>
      <c r="E96" s="12">
        <v>15713</v>
      </c>
      <c r="F96" s="13">
        <v>1</v>
      </c>
      <c r="G96" s="9">
        <v>65.111564636230469</v>
      </c>
      <c r="H96" s="12">
        <v>39495</v>
      </c>
      <c r="I96" s="9">
        <v>1</v>
      </c>
      <c r="J96" s="12">
        <v>39509</v>
      </c>
      <c r="K96" s="9">
        <v>0</v>
      </c>
      <c r="L96" s="9">
        <v>1</v>
      </c>
      <c r="M96" s="10" t="s">
        <v>401</v>
      </c>
      <c r="N96" s="9"/>
      <c r="O96" s="10" t="s">
        <v>401</v>
      </c>
      <c r="P96" s="9"/>
      <c r="Q96" s="10" t="s">
        <v>401</v>
      </c>
      <c r="R96" s="12">
        <v>42685</v>
      </c>
      <c r="S96" s="10" t="s">
        <v>146</v>
      </c>
      <c r="T96" s="9">
        <v>1</v>
      </c>
      <c r="U96" s="10" t="s">
        <v>401</v>
      </c>
      <c r="V96" s="10" t="s">
        <v>401</v>
      </c>
      <c r="W96" s="9"/>
      <c r="X96" s="9"/>
      <c r="Y96" s="9">
        <v>3</v>
      </c>
      <c r="Z96" s="14"/>
      <c r="AA96" s="17">
        <v>11.6</v>
      </c>
      <c r="AB96" s="18">
        <v>90</v>
      </c>
      <c r="AC96" s="18">
        <v>15</v>
      </c>
      <c r="AD96" s="9">
        <v>2</v>
      </c>
      <c r="AE96" s="9">
        <v>2</v>
      </c>
      <c r="AF96" s="9">
        <v>1</v>
      </c>
      <c r="AG96" s="9">
        <v>0</v>
      </c>
      <c r="AH96" s="9">
        <v>1</v>
      </c>
      <c r="AI96" s="9">
        <v>1</v>
      </c>
      <c r="AJ96" s="12">
        <v>43264</v>
      </c>
      <c r="AK96" s="9">
        <v>2</v>
      </c>
      <c r="AL96" s="12">
        <v>43664</v>
      </c>
      <c r="AM96" s="9">
        <v>3</v>
      </c>
      <c r="AN96" s="12">
        <v>43433</v>
      </c>
      <c r="AO96" s="12">
        <v>43720</v>
      </c>
      <c r="AP96" s="12">
        <v>43816</v>
      </c>
      <c r="AQ96" s="9">
        <v>1</v>
      </c>
      <c r="AR96" s="9">
        <f t="shared" si="30"/>
        <v>1</v>
      </c>
      <c r="AS96" s="9">
        <v>1</v>
      </c>
      <c r="AT96" s="9">
        <v>1</v>
      </c>
      <c r="AU96" s="9">
        <v>2</v>
      </c>
      <c r="AV96" s="9">
        <f t="shared" si="31"/>
        <v>1</v>
      </c>
      <c r="AW96" s="12">
        <v>44978</v>
      </c>
      <c r="AX96" s="9">
        <v>6040</v>
      </c>
      <c r="AY96" s="9">
        <v>3560</v>
      </c>
      <c r="AZ96" s="9">
        <v>1590</v>
      </c>
      <c r="BA96" s="9">
        <v>3560</v>
      </c>
      <c r="BB96" s="9">
        <v>1590.0003662109375</v>
      </c>
      <c r="BC96" s="9">
        <v>157000</v>
      </c>
      <c r="BD96" s="9">
        <v>400</v>
      </c>
      <c r="BE96" s="9">
        <v>340</v>
      </c>
      <c r="BF96" s="9">
        <v>204</v>
      </c>
      <c r="BG96" s="9">
        <v>5380</v>
      </c>
      <c r="BH96" s="9">
        <v>3200</v>
      </c>
      <c r="BI96" s="9"/>
      <c r="BJ96" s="9">
        <v>154000</v>
      </c>
      <c r="BK96" s="9"/>
      <c r="BL96" s="9"/>
      <c r="BM96" s="9">
        <v>191</v>
      </c>
      <c r="BN96" s="9">
        <v>5850</v>
      </c>
      <c r="BO96" s="9">
        <v>3300</v>
      </c>
      <c r="BP96" s="9"/>
      <c r="BQ96" s="9">
        <v>160000</v>
      </c>
      <c r="BR96" s="9"/>
      <c r="BS96" s="9"/>
      <c r="BT96" s="9">
        <v>200</v>
      </c>
      <c r="BU96" s="9">
        <v>5600</v>
      </c>
      <c r="BV96" s="9">
        <v>3100</v>
      </c>
      <c r="BW96" s="9"/>
      <c r="BX96" s="9">
        <v>156000</v>
      </c>
      <c r="BY96" s="9"/>
      <c r="BZ96" s="10" t="s">
        <v>401</v>
      </c>
      <c r="CA96" s="9"/>
      <c r="CB96" s="9"/>
      <c r="CC96" s="10">
        <f t="shared" si="32"/>
        <v>2.2389931950039013</v>
      </c>
      <c r="CD96" s="10">
        <f t="shared" si="33"/>
        <v>98.742115622363059</v>
      </c>
      <c r="CE96" s="10">
        <f t="shared" si="44"/>
        <v>351521.93161561247</v>
      </c>
      <c r="CF96" s="10">
        <f t="shared" si="26"/>
        <v>1</v>
      </c>
      <c r="CG96" s="10">
        <f t="shared" si="27"/>
        <v>0</v>
      </c>
      <c r="CH96" s="10">
        <f t="shared" si="28"/>
        <v>13</v>
      </c>
      <c r="CI96" s="9">
        <f t="shared" si="34"/>
        <v>1</v>
      </c>
      <c r="CJ96" s="10">
        <f t="shared" si="29"/>
        <v>56</v>
      </c>
      <c r="CK96" s="10" t="b">
        <f t="shared" si="35"/>
        <v>1</v>
      </c>
      <c r="CL96" s="10" t="b">
        <f t="shared" si="36"/>
        <v>1</v>
      </c>
      <c r="CM96" s="10" t="b">
        <f t="shared" si="37"/>
        <v>1</v>
      </c>
      <c r="CN96" s="9">
        <f t="shared" si="38"/>
        <v>1</v>
      </c>
      <c r="CO96" s="10">
        <f t="shared" si="45"/>
        <v>15</v>
      </c>
      <c r="CP96" s="10" t="b">
        <f t="shared" si="39"/>
        <v>1</v>
      </c>
      <c r="CQ96" s="10" t="b">
        <f t="shared" si="40"/>
        <v>1</v>
      </c>
      <c r="CR96" s="10" cm="1">
        <f t="array" ref="CR96">_xlfn.IFS(AND($CI96=0, CK96=FALSE), NA(), AND($CI96=1, CK96=FALSE), 0, CK96=TRUE, 1)</f>
        <v>1</v>
      </c>
      <c r="CS96" s="10" cm="1">
        <f t="array" ref="CS96">_xlfn.IFS(AND($CI96=0, CL96=FALSE), NA(), AND($CI96=1, CL96=FALSE), 0, CL96=TRUE, 1)</f>
        <v>1</v>
      </c>
      <c r="CT96" s="10" cm="1">
        <f t="array" ref="CT96">_xlfn.IFS(AND($CI96=0, CM96=FALSE), NA(), AND($CI96=1, CM96=FALSE), 0, CM96=TRUE, 1)</f>
        <v>1</v>
      </c>
      <c r="CU96" s="10" cm="1">
        <f t="array" ref="CU96">_xlfn.IFS(AND($CN96=0, CP96=FALSE), NA(), AND($CN96=1, CP96=FALSE), 0, CP96=TRUE, 1)</f>
        <v>1</v>
      </c>
      <c r="CV96" s="10" cm="1">
        <f t="array" ref="CV96">_xlfn.IFS(AND($CN96=0, CQ96=FALSE), NA(), AND($CN96=1, CQ96=FALSE), 0, CQ96=TRUE, 1)</f>
        <v>1</v>
      </c>
    </row>
    <row r="97" spans="1:100" ht="15.75" x14ac:dyDescent="0.25">
      <c r="A97" s="8">
        <v>96</v>
      </c>
      <c r="B97" s="9">
        <v>188</v>
      </c>
      <c r="C97" s="10" t="s">
        <v>17</v>
      </c>
      <c r="D97" s="11" t="s">
        <v>195</v>
      </c>
      <c r="E97" s="12">
        <v>21999</v>
      </c>
      <c r="F97" s="13">
        <v>1</v>
      </c>
      <c r="G97" s="9">
        <v>47.983573913574219</v>
      </c>
      <c r="H97" s="12">
        <v>39525</v>
      </c>
      <c r="I97" s="9">
        <v>1</v>
      </c>
      <c r="J97" s="12">
        <v>39525</v>
      </c>
      <c r="K97" s="9">
        <v>0</v>
      </c>
      <c r="L97" s="9">
        <v>1</v>
      </c>
      <c r="M97" s="10" t="s">
        <v>401</v>
      </c>
      <c r="N97" s="9">
        <v>1</v>
      </c>
      <c r="O97" s="10" t="s">
        <v>401</v>
      </c>
      <c r="P97" s="9">
        <v>1</v>
      </c>
      <c r="Q97" s="10" t="s">
        <v>401</v>
      </c>
      <c r="R97" s="12">
        <v>40140</v>
      </c>
      <c r="S97" s="10" t="s">
        <v>145</v>
      </c>
      <c r="T97" s="9"/>
      <c r="U97" s="10" t="s">
        <v>401</v>
      </c>
      <c r="V97" s="10" t="s">
        <v>401</v>
      </c>
      <c r="W97" s="9"/>
      <c r="X97" s="9"/>
      <c r="Y97" s="9">
        <v>2</v>
      </c>
      <c r="Z97" s="14">
        <v>1</v>
      </c>
      <c r="AA97" s="15">
        <v>14.1</v>
      </c>
      <c r="AB97" s="16">
        <v>104</v>
      </c>
      <c r="AC97" s="16">
        <v>14</v>
      </c>
      <c r="AD97" s="9">
        <v>1</v>
      </c>
      <c r="AE97" s="9">
        <v>1</v>
      </c>
      <c r="AF97" s="9">
        <v>1</v>
      </c>
      <c r="AG97" s="9">
        <v>1</v>
      </c>
      <c r="AH97" s="9">
        <v>1</v>
      </c>
      <c r="AI97" s="9">
        <v>0</v>
      </c>
      <c r="AJ97" s="12">
        <v>43238</v>
      </c>
      <c r="AK97" s="9">
        <v>2</v>
      </c>
      <c r="AL97" s="12">
        <v>43354</v>
      </c>
      <c r="AM97" s="9">
        <v>4</v>
      </c>
      <c r="AN97" s="12">
        <v>43367</v>
      </c>
      <c r="AO97" s="12">
        <v>43367</v>
      </c>
      <c r="AP97" s="12">
        <v>43367</v>
      </c>
      <c r="AQ97" s="9">
        <v>1</v>
      </c>
      <c r="AR97" s="9">
        <f t="shared" si="30"/>
        <v>1</v>
      </c>
      <c r="AS97" s="9">
        <v>1</v>
      </c>
      <c r="AT97" s="9">
        <v>2</v>
      </c>
      <c r="AU97" s="9">
        <v>1</v>
      </c>
      <c r="AV97" s="9">
        <f t="shared" si="31"/>
        <v>0</v>
      </c>
      <c r="AW97" s="12">
        <v>44958</v>
      </c>
      <c r="AX97" s="9">
        <v>5430</v>
      </c>
      <c r="AY97" s="9">
        <v>3200</v>
      </c>
      <c r="AZ97" s="9">
        <v>1500</v>
      </c>
      <c r="BA97" s="9">
        <v>3200</v>
      </c>
      <c r="BB97" s="9">
        <v>1500.0001220703125</v>
      </c>
      <c r="BC97" s="9">
        <v>229000</v>
      </c>
      <c r="BD97" s="9">
        <v>600</v>
      </c>
      <c r="BE97" s="9">
        <v>100</v>
      </c>
      <c r="BF97" s="9"/>
      <c r="BG97" s="9">
        <v>6490</v>
      </c>
      <c r="BH97" s="9">
        <v>3900</v>
      </c>
      <c r="BI97" s="9">
        <v>1600</v>
      </c>
      <c r="BJ97" s="9">
        <v>229000</v>
      </c>
      <c r="BK97" s="9">
        <v>700</v>
      </c>
      <c r="BL97" s="9">
        <v>200</v>
      </c>
      <c r="BM97" s="9"/>
      <c r="BN97" s="9">
        <v>7680</v>
      </c>
      <c r="BO97" s="9">
        <v>5100</v>
      </c>
      <c r="BP97" s="9">
        <v>1600</v>
      </c>
      <c r="BQ97" s="9">
        <v>272000</v>
      </c>
      <c r="BR97" s="9">
        <v>700</v>
      </c>
      <c r="BS97" s="9">
        <v>200</v>
      </c>
      <c r="BT97" s="9"/>
      <c r="BU97" s="9">
        <v>8820</v>
      </c>
      <c r="BV97" s="9">
        <v>600</v>
      </c>
      <c r="BW97" s="9">
        <v>1800</v>
      </c>
      <c r="BX97" s="9">
        <v>389000</v>
      </c>
      <c r="BY97" s="9">
        <v>800</v>
      </c>
      <c r="BZ97" s="10" t="s">
        <v>524</v>
      </c>
      <c r="CA97" s="9">
        <v>200</v>
      </c>
      <c r="CB97" s="9"/>
      <c r="CC97" s="10">
        <f t="shared" si="32"/>
        <v>2.1333331597222362</v>
      </c>
      <c r="CD97" s="10">
        <f t="shared" si="33"/>
        <v>152.66665424262254</v>
      </c>
      <c r="CE97" s="10">
        <f t="shared" si="44"/>
        <v>488533.29357639211</v>
      </c>
      <c r="CF97" s="10">
        <f t="shared" si="26"/>
        <v>0</v>
      </c>
      <c r="CG97" s="10">
        <f t="shared" si="27"/>
        <v>0</v>
      </c>
      <c r="CH97" s="10">
        <f t="shared" si="28"/>
        <v>4</v>
      </c>
      <c r="CI97" s="9">
        <f t="shared" si="34"/>
        <v>0</v>
      </c>
      <c r="CJ97" s="10">
        <f t="shared" si="29"/>
        <v>57</v>
      </c>
      <c r="CK97" s="10" t="b">
        <f t="shared" si="35"/>
        <v>1</v>
      </c>
      <c r="CL97" s="10" t="b">
        <f t="shared" si="36"/>
        <v>1</v>
      </c>
      <c r="CM97" s="10" t="b">
        <f t="shared" si="37"/>
        <v>1</v>
      </c>
      <c r="CN97" s="9">
        <f t="shared" si="38"/>
        <v>1</v>
      </c>
      <c r="CO97" s="10">
        <f t="shared" si="45"/>
        <v>4</v>
      </c>
      <c r="CP97" s="10" t="b">
        <f t="shared" si="39"/>
        <v>1</v>
      </c>
      <c r="CQ97" s="10" t="b">
        <f t="shared" si="40"/>
        <v>0</v>
      </c>
      <c r="CR97" s="10" cm="1">
        <f t="array" ref="CR97">_xlfn.IFS(AND($CI97=0, CK97=FALSE), NA(), AND($CI97=1, CK97=FALSE), 0, CK97=TRUE, 1)</f>
        <v>1</v>
      </c>
      <c r="CS97" s="10" cm="1">
        <f t="array" ref="CS97">_xlfn.IFS(AND($CI97=0, CL97=FALSE), NA(), AND($CI97=1, CL97=FALSE), 0, CL97=TRUE, 1)</f>
        <v>1</v>
      </c>
      <c r="CT97" s="10" cm="1">
        <f t="array" ref="CT97">_xlfn.IFS(AND($CI97=0, CM97=FALSE), NA(), AND($CI97=1, CM97=FALSE), 0, CM97=TRUE, 1)</f>
        <v>1</v>
      </c>
      <c r="CU97" s="10" cm="1">
        <f t="array" ref="CU97">_xlfn.IFS(AND($CN97=0, CP97=FALSE), NA(), AND($CN97=1, CP97=FALSE), 0, CP97=TRUE, 1)</f>
        <v>1</v>
      </c>
      <c r="CV97" s="10" cm="1">
        <f t="array" ref="CV97">_xlfn.IFS(AND($CN97=0, CQ97=FALSE), NA(), AND($CN97=1, CQ97=FALSE), 0, CQ97=TRUE, 1)</f>
        <v>0</v>
      </c>
    </row>
    <row r="98" spans="1:100" ht="15.75" x14ac:dyDescent="0.25">
      <c r="A98" s="8">
        <v>97</v>
      </c>
      <c r="B98" s="9">
        <v>239</v>
      </c>
      <c r="C98" s="10" t="s">
        <v>20</v>
      </c>
      <c r="D98" s="11" t="s">
        <v>231</v>
      </c>
      <c r="E98" s="12">
        <v>13833</v>
      </c>
      <c r="F98" s="13">
        <v>2</v>
      </c>
      <c r="G98" s="9">
        <v>70.365501403808594</v>
      </c>
      <c r="H98" s="12">
        <v>39534</v>
      </c>
      <c r="I98" s="9">
        <v>1</v>
      </c>
      <c r="J98" s="12">
        <v>39534</v>
      </c>
      <c r="K98" s="9">
        <v>0</v>
      </c>
      <c r="L98" s="9">
        <v>1</v>
      </c>
      <c r="M98" s="10" t="s">
        <v>401</v>
      </c>
      <c r="N98" s="9">
        <v>2</v>
      </c>
      <c r="O98" s="10" t="s">
        <v>150</v>
      </c>
      <c r="P98" s="9">
        <v>2</v>
      </c>
      <c r="Q98" s="10" t="s">
        <v>442</v>
      </c>
      <c r="R98" s="12">
        <v>41183</v>
      </c>
      <c r="S98" s="10">
        <v>2</v>
      </c>
      <c r="T98" s="9">
        <v>4</v>
      </c>
      <c r="U98" s="10" t="s">
        <v>401</v>
      </c>
      <c r="V98" s="10" t="s">
        <v>401</v>
      </c>
      <c r="W98" s="9"/>
      <c r="X98" s="9"/>
      <c r="Y98" s="9">
        <v>3</v>
      </c>
      <c r="Z98" s="14">
        <v>2</v>
      </c>
      <c r="AA98" s="31">
        <v>12</v>
      </c>
      <c r="AB98" s="9"/>
      <c r="AC98" s="9"/>
      <c r="AD98" s="9">
        <v>2</v>
      </c>
      <c r="AE98" s="9">
        <v>2</v>
      </c>
      <c r="AF98" s="9">
        <v>2</v>
      </c>
      <c r="AG98" s="9">
        <v>0</v>
      </c>
      <c r="AH98" s="9">
        <v>1</v>
      </c>
      <c r="AI98" s="9">
        <v>1</v>
      </c>
      <c r="AJ98" s="12">
        <v>43486</v>
      </c>
      <c r="AK98" s="9">
        <v>2</v>
      </c>
      <c r="AL98" s="12">
        <v>44060</v>
      </c>
      <c r="AM98" s="9">
        <v>2</v>
      </c>
      <c r="AN98" s="12">
        <v>43860</v>
      </c>
      <c r="AO98" s="12">
        <v>44048</v>
      </c>
      <c r="AP98" s="12">
        <v>44048</v>
      </c>
      <c r="AQ98" s="9">
        <v>1</v>
      </c>
      <c r="AR98" s="9">
        <f t="shared" si="30"/>
        <v>1</v>
      </c>
      <c r="AS98" s="9">
        <v>1</v>
      </c>
      <c r="AT98" s="9">
        <v>2</v>
      </c>
      <c r="AU98" s="9">
        <v>2</v>
      </c>
      <c r="AV98" s="9">
        <f t="shared" si="31"/>
        <v>1</v>
      </c>
      <c r="AW98" s="12">
        <v>44666</v>
      </c>
      <c r="AX98" s="9">
        <v>7400</v>
      </c>
      <c r="AY98" s="9">
        <v>4514</v>
      </c>
      <c r="AZ98" s="9"/>
      <c r="BA98" s="9">
        <v>4514</v>
      </c>
      <c r="BB98" s="9">
        <v>1628.3280029296875</v>
      </c>
      <c r="BC98" s="9">
        <v>500000</v>
      </c>
      <c r="BD98" s="9"/>
      <c r="BE98" s="9"/>
      <c r="BF98" s="9"/>
      <c r="BG98" s="9">
        <v>8380</v>
      </c>
      <c r="BH98" s="9">
        <v>5196</v>
      </c>
      <c r="BI98" s="9"/>
      <c r="BJ98" s="9">
        <v>407000</v>
      </c>
      <c r="BK98" s="9"/>
      <c r="BL98" s="9"/>
      <c r="BM98" s="9"/>
      <c r="BN98" s="9">
        <v>8800</v>
      </c>
      <c r="BO98" s="9">
        <v>5632</v>
      </c>
      <c r="BP98" s="9"/>
      <c r="BQ98" s="9">
        <v>481000</v>
      </c>
      <c r="BR98" s="9"/>
      <c r="BS98" s="9"/>
      <c r="BT98" s="9"/>
      <c r="BU98" s="9">
        <v>9600</v>
      </c>
      <c r="BV98" s="9">
        <v>5568</v>
      </c>
      <c r="BW98" s="9"/>
      <c r="BX98" s="9">
        <v>449000</v>
      </c>
      <c r="BY98" s="9"/>
      <c r="BZ98" s="10" t="s">
        <v>401</v>
      </c>
      <c r="CA98" s="9"/>
      <c r="CB98" s="9"/>
      <c r="CC98" s="10">
        <f t="shared" si="32"/>
        <v>2.7721687472538776</v>
      </c>
      <c r="CD98" s="10">
        <f t="shared" si="33"/>
        <v>307.06344121110737</v>
      </c>
      <c r="CE98" s="10">
        <f t="shared" si="44"/>
        <v>1386084.3736269388</v>
      </c>
      <c r="CF98" s="10">
        <f t="shared" si="26"/>
        <v>1</v>
      </c>
      <c r="CG98" s="10">
        <f t="shared" si="27"/>
        <v>1</v>
      </c>
      <c r="CH98" s="10">
        <f t="shared" si="28"/>
        <v>19</v>
      </c>
      <c r="CI98" s="9">
        <f t="shared" si="34"/>
        <v>1</v>
      </c>
      <c r="CJ98" s="10">
        <f t="shared" si="29"/>
        <v>39</v>
      </c>
      <c r="CK98" s="10" t="b">
        <f t="shared" si="35"/>
        <v>1</v>
      </c>
      <c r="CL98" s="10" t="b">
        <f t="shared" si="36"/>
        <v>1</v>
      </c>
      <c r="CM98" s="10" t="b">
        <f t="shared" si="37"/>
        <v>1</v>
      </c>
      <c r="CN98" s="9">
        <f t="shared" si="38"/>
        <v>1</v>
      </c>
      <c r="CO98" s="10">
        <f t="shared" si="45"/>
        <v>19</v>
      </c>
      <c r="CP98" s="10" t="b">
        <f t="shared" si="39"/>
        <v>1</v>
      </c>
      <c r="CQ98" s="10" t="b">
        <f t="shared" si="40"/>
        <v>1</v>
      </c>
      <c r="CR98" s="10" cm="1">
        <f t="array" ref="CR98">_xlfn.IFS(AND($CI98=0, CK98=FALSE), NA(), AND($CI98=1, CK98=FALSE), 0, CK98=TRUE, 1)</f>
        <v>1</v>
      </c>
      <c r="CS98" s="10" cm="1">
        <f t="array" ref="CS98">_xlfn.IFS(AND($CI98=0, CL98=FALSE), NA(), AND($CI98=1, CL98=FALSE), 0, CL98=TRUE, 1)</f>
        <v>1</v>
      </c>
      <c r="CT98" s="10" cm="1">
        <f t="array" ref="CT98">_xlfn.IFS(AND($CI98=0, CM98=FALSE), NA(), AND($CI98=1, CM98=FALSE), 0, CM98=TRUE, 1)</f>
        <v>1</v>
      </c>
      <c r="CU98" s="10" cm="1">
        <f t="array" ref="CU98">_xlfn.IFS(AND($CN98=0, CP98=FALSE), NA(), AND($CN98=1, CP98=FALSE), 0, CP98=TRUE, 1)</f>
        <v>1</v>
      </c>
      <c r="CV98" s="10" cm="1">
        <f t="array" ref="CV98">_xlfn.IFS(AND($CN98=0, CQ98=FALSE), NA(), AND($CN98=1, CQ98=FALSE), 0, CQ98=TRUE, 1)</f>
        <v>1</v>
      </c>
    </row>
    <row r="99" spans="1:100" ht="15.75" x14ac:dyDescent="0.25">
      <c r="A99" s="8">
        <v>98</v>
      </c>
      <c r="B99" s="9">
        <v>193</v>
      </c>
      <c r="C99" s="10" t="s">
        <v>17</v>
      </c>
      <c r="D99" s="11" t="s">
        <v>200</v>
      </c>
      <c r="E99" s="12">
        <v>15341</v>
      </c>
      <c r="F99" s="13">
        <v>1</v>
      </c>
      <c r="G99" s="9">
        <v>66.291580200195313</v>
      </c>
      <c r="H99" s="12">
        <v>39554</v>
      </c>
      <c r="I99" s="9">
        <v>1</v>
      </c>
      <c r="J99" s="12">
        <v>39554</v>
      </c>
      <c r="K99" s="9">
        <v>0</v>
      </c>
      <c r="L99" s="9">
        <v>1</v>
      </c>
      <c r="M99" s="10" t="s">
        <v>401</v>
      </c>
      <c r="N99" s="9"/>
      <c r="O99" s="10" t="s">
        <v>401</v>
      </c>
      <c r="P99" s="9"/>
      <c r="Q99" s="10" t="s">
        <v>401</v>
      </c>
      <c r="R99" s="12">
        <v>41549</v>
      </c>
      <c r="S99" s="10" t="s">
        <v>145</v>
      </c>
      <c r="T99" s="9"/>
      <c r="U99" s="10" t="s">
        <v>401</v>
      </c>
      <c r="V99" s="10" t="s">
        <v>401</v>
      </c>
      <c r="W99" s="9"/>
      <c r="X99" s="9"/>
      <c r="Y99" s="9">
        <v>2</v>
      </c>
      <c r="Z99" s="14">
        <v>1</v>
      </c>
      <c r="AA99" s="15">
        <v>13.7</v>
      </c>
      <c r="AB99" s="16">
        <v>94</v>
      </c>
      <c r="AC99" s="16">
        <v>15</v>
      </c>
      <c r="AD99" s="9"/>
      <c r="AE99" s="9"/>
      <c r="AF99" s="9">
        <v>1</v>
      </c>
      <c r="AG99" s="9">
        <v>0</v>
      </c>
      <c r="AH99" s="9">
        <v>1</v>
      </c>
      <c r="AI99" s="9">
        <v>0</v>
      </c>
      <c r="AJ99" s="12">
        <v>43742</v>
      </c>
      <c r="AK99" s="9">
        <v>2</v>
      </c>
      <c r="AL99" s="12">
        <v>44344</v>
      </c>
      <c r="AM99" s="9">
        <v>3</v>
      </c>
      <c r="AN99" s="12">
        <v>43795</v>
      </c>
      <c r="AO99" s="12">
        <v>44174</v>
      </c>
      <c r="AP99" s="12">
        <v>44406</v>
      </c>
      <c r="AQ99" s="9">
        <v>1</v>
      </c>
      <c r="AR99" s="9">
        <f t="shared" si="30"/>
        <v>1</v>
      </c>
      <c r="AS99" s="9">
        <v>1</v>
      </c>
      <c r="AT99" s="9">
        <v>1</v>
      </c>
      <c r="AU99" s="9">
        <v>2</v>
      </c>
      <c r="AV99" s="9">
        <f t="shared" si="31"/>
        <v>1</v>
      </c>
      <c r="AW99" s="12">
        <v>44445</v>
      </c>
      <c r="AX99" s="9">
        <v>4850</v>
      </c>
      <c r="AY99" s="9">
        <v>3100</v>
      </c>
      <c r="AZ99" s="9">
        <v>1100</v>
      </c>
      <c r="BA99" s="9">
        <v>3100</v>
      </c>
      <c r="BB99" s="9">
        <v>1100.0001220703125</v>
      </c>
      <c r="BC99" s="9">
        <v>177000</v>
      </c>
      <c r="BD99" s="9">
        <v>400</v>
      </c>
      <c r="BE99" s="9">
        <v>200</v>
      </c>
      <c r="BF99" s="9"/>
      <c r="BG99" s="9">
        <v>4740</v>
      </c>
      <c r="BH99" s="9">
        <v>3300</v>
      </c>
      <c r="BI99" s="9">
        <v>800</v>
      </c>
      <c r="BJ99" s="9">
        <v>182000</v>
      </c>
      <c r="BK99" s="9">
        <v>400</v>
      </c>
      <c r="BL99" s="9">
        <v>200</v>
      </c>
      <c r="BM99" s="9"/>
      <c r="BN99" s="9">
        <v>5300</v>
      </c>
      <c r="BO99" s="9">
        <v>3700</v>
      </c>
      <c r="BP99" s="9">
        <v>800</v>
      </c>
      <c r="BQ99" s="9">
        <v>180000</v>
      </c>
      <c r="BR99" s="9">
        <v>500</v>
      </c>
      <c r="BS99" s="9">
        <v>200</v>
      </c>
      <c r="BT99" s="9"/>
      <c r="BU99" s="9">
        <v>5770</v>
      </c>
      <c r="BV99" s="9">
        <v>3700</v>
      </c>
      <c r="BW99" s="9">
        <v>1100</v>
      </c>
      <c r="BX99" s="9">
        <v>277000</v>
      </c>
      <c r="BY99" s="9">
        <v>700</v>
      </c>
      <c r="BZ99" s="10" t="s">
        <v>524</v>
      </c>
      <c r="CA99" s="9">
        <v>200</v>
      </c>
      <c r="CB99" s="9"/>
      <c r="CC99" s="10">
        <f t="shared" si="32"/>
        <v>2.8181815054397301</v>
      </c>
      <c r="CD99" s="10">
        <f t="shared" si="33"/>
        <v>160.90907305252651</v>
      </c>
      <c r="CE99" s="10">
        <f t="shared" si="44"/>
        <v>498818.12646283221</v>
      </c>
      <c r="CF99" s="10">
        <f t="shared" si="26"/>
        <v>1</v>
      </c>
      <c r="CG99" s="10">
        <f t="shared" si="27"/>
        <v>0</v>
      </c>
      <c r="CH99" s="10">
        <f t="shared" si="28"/>
        <v>19</v>
      </c>
      <c r="CI99" s="9">
        <f t="shared" si="34"/>
        <v>1</v>
      </c>
      <c r="CJ99" s="10">
        <f t="shared" si="29"/>
        <v>23</v>
      </c>
      <c r="CK99" s="10" t="b">
        <f t="shared" si="35"/>
        <v>1</v>
      </c>
      <c r="CL99" s="10" t="b">
        <f t="shared" si="36"/>
        <v>1</v>
      </c>
      <c r="CM99" s="10" t="b">
        <f t="shared" si="37"/>
        <v>0</v>
      </c>
      <c r="CN99" s="9">
        <f t="shared" si="38"/>
        <v>1</v>
      </c>
      <c r="CO99" s="10">
        <f t="shared" si="45"/>
        <v>14</v>
      </c>
      <c r="CP99" s="10" t="b">
        <f t="shared" si="39"/>
        <v>1</v>
      </c>
      <c r="CQ99" s="10" t="b">
        <f t="shared" si="40"/>
        <v>1</v>
      </c>
      <c r="CR99" s="10" cm="1">
        <f t="array" ref="CR99">_xlfn.IFS(AND($CI99=0, CK99=FALSE), NA(), AND($CI99=1, CK99=FALSE), 0, CK99=TRUE, 1)</f>
        <v>1</v>
      </c>
      <c r="CS99" s="10" cm="1">
        <f t="array" ref="CS99">_xlfn.IFS(AND($CI99=0, CL99=FALSE), NA(), AND($CI99=1, CL99=FALSE), 0, CL99=TRUE, 1)</f>
        <v>1</v>
      </c>
      <c r="CT99" s="10" cm="1">
        <f t="array" ref="CT99">_xlfn.IFS(AND($CI99=0, CM99=FALSE), NA(), AND($CI99=1, CM99=FALSE), 0, CM99=TRUE, 1)</f>
        <v>0</v>
      </c>
      <c r="CU99" s="10" cm="1">
        <f t="array" ref="CU99">_xlfn.IFS(AND($CN99=0, CP99=FALSE), NA(), AND($CN99=1, CP99=FALSE), 0, CP99=TRUE, 1)</f>
        <v>1</v>
      </c>
      <c r="CV99" s="10" cm="1">
        <f t="array" ref="CV99">_xlfn.IFS(AND($CN99=0, CQ99=FALSE), NA(), AND($CN99=1, CQ99=FALSE), 0, CQ99=TRUE, 1)</f>
        <v>1</v>
      </c>
    </row>
    <row r="100" spans="1:100" ht="15.75" x14ac:dyDescent="0.25">
      <c r="A100" s="8">
        <v>99</v>
      </c>
      <c r="B100" s="9">
        <v>68</v>
      </c>
      <c r="C100" s="10" t="s">
        <v>9</v>
      </c>
      <c r="D100" s="11" t="s">
        <v>96</v>
      </c>
      <c r="E100" s="12">
        <v>16905</v>
      </c>
      <c r="F100" s="13">
        <v>1</v>
      </c>
      <c r="G100" s="9">
        <v>62.173854827880859</v>
      </c>
      <c r="H100" s="12">
        <v>39614</v>
      </c>
      <c r="I100" s="9">
        <v>1</v>
      </c>
      <c r="J100" s="12">
        <v>39614</v>
      </c>
      <c r="K100" s="9">
        <v>0</v>
      </c>
      <c r="L100" s="9">
        <v>1</v>
      </c>
      <c r="M100" s="10" t="s">
        <v>401</v>
      </c>
      <c r="N100" s="9">
        <v>2</v>
      </c>
      <c r="O100" s="10" t="s">
        <v>146</v>
      </c>
      <c r="P100" s="9">
        <v>2</v>
      </c>
      <c r="Q100" s="10" t="s">
        <v>146</v>
      </c>
      <c r="R100" s="12">
        <v>40709</v>
      </c>
      <c r="S100" s="10" t="s">
        <v>146</v>
      </c>
      <c r="T100" s="9">
        <v>1</v>
      </c>
      <c r="U100" s="10" t="s">
        <v>147</v>
      </c>
      <c r="V100" s="10" t="s">
        <v>401</v>
      </c>
      <c r="W100" s="9"/>
      <c r="X100" s="9"/>
      <c r="Y100" s="9">
        <v>4</v>
      </c>
      <c r="AA100" s="15">
        <v>11</v>
      </c>
      <c r="AB100" s="16" t="s">
        <v>478</v>
      </c>
      <c r="AC100" s="9"/>
      <c r="AD100" s="9">
        <v>2</v>
      </c>
      <c r="AE100" s="9">
        <v>2</v>
      </c>
      <c r="AF100" s="9">
        <v>1</v>
      </c>
      <c r="AG100" s="9">
        <v>1</v>
      </c>
      <c r="AH100" s="9">
        <v>1</v>
      </c>
      <c r="AI100" s="9">
        <v>0</v>
      </c>
      <c r="AJ100" s="12">
        <v>42725</v>
      </c>
      <c r="AK100" s="9">
        <v>2</v>
      </c>
      <c r="AL100" s="12">
        <v>43284</v>
      </c>
      <c r="AM100" s="9">
        <v>2</v>
      </c>
      <c r="AN100" s="12">
        <v>43028</v>
      </c>
      <c r="AO100" s="12">
        <v>43332</v>
      </c>
      <c r="AP100" s="12">
        <v>43332</v>
      </c>
      <c r="AQ100" s="9">
        <v>1</v>
      </c>
      <c r="AR100" s="9">
        <f t="shared" si="30"/>
        <v>1</v>
      </c>
      <c r="AS100" s="9">
        <v>1</v>
      </c>
      <c r="AT100" s="9">
        <v>2</v>
      </c>
      <c r="AU100" s="9">
        <v>2</v>
      </c>
      <c r="AV100" s="9">
        <f t="shared" si="31"/>
        <v>1</v>
      </c>
      <c r="AW100" s="12">
        <v>43365</v>
      </c>
      <c r="AX100" s="9">
        <v>4530</v>
      </c>
      <c r="AY100" s="9">
        <v>3300</v>
      </c>
      <c r="AZ100" s="9"/>
      <c r="BA100" s="9">
        <v>3300</v>
      </c>
      <c r="BB100" s="9">
        <v>879.13232421875</v>
      </c>
      <c r="BC100" s="9">
        <v>308000</v>
      </c>
      <c r="BD100" s="9">
        <v>260</v>
      </c>
      <c r="BE100" s="9">
        <v>170</v>
      </c>
      <c r="BF100" s="9">
        <v>683</v>
      </c>
      <c r="BG100" s="9">
        <v>3000</v>
      </c>
      <c r="BH100" s="9">
        <v>2040</v>
      </c>
      <c r="BI100" s="9">
        <v>540</v>
      </c>
      <c r="BJ100" s="9">
        <v>395000</v>
      </c>
      <c r="BK100" s="9">
        <v>420</v>
      </c>
      <c r="BL100" s="9">
        <v>180</v>
      </c>
      <c r="BM100" s="9">
        <v>467</v>
      </c>
      <c r="BN100" s="9">
        <v>4320</v>
      </c>
      <c r="BO100" s="9">
        <v>3180</v>
      </c>
      <c r="BP100" s="9">
        <v>540</v>
      </c>
      <c r="BQ100" s="9">
        <v>315000</v>
      </c>
      <c r="BR100" s="9">
        <v>420</v>
      </c>
      <c r="BS100" s="9">
        <v>180</v>
      </c>
      <c r="BT100" s="9">
        <v>467</v>
      </c>
      <c r="BU100" s="9">
        <v>3880</v>
      </c>
      <c r="BV100" s="9">
        <v>2790</v>
      </c>
      <c r="BW100" s="9">
        <v>610</v>
      </c>
      <c r="BX100" s="9">
        <v>276000</v>
      </c>
      <c r="BY100" s="9">
        <v>380</v>
      </c>
      <c r="BZ100" s="10" t="s">
        <v>553</v>
      </c>
      <c r="CA100" s="9"/>
      <c r="CB100" s="9">
        <v>328</v>
      </c>
      <c r="CC100" s="10">
        <f t="shared" si="32"/>
        <v>3.7537011313201103</v>
      </c>
      <c r="CD100" s="10">
        <f t="shared" si="33"/>
        <v>350.34543892321028</v>
      </c>
      <c r="CE100" s="10">
        <f t="shared" si="44"/>
        <v>1156139.9484465939</v>
      </c>
      <c r="CF100" s="10">
        <f t="shared" si="26"/>
        <v>1</v>
      </c>
      <c r="CG100" s="10">
        <f t="shared" si="27"/>
        <v>1</v>
      </c>
      <c r="CH100" s="10">
        <f t="shared" si="28"/>
        <v>19</v>
      </c>
      <c r="CI100" s="9">
        <f t="shared" si="34"/>
        <v>1</v>
      </c>
      <c r="CJ100" s="10">
        <f t="shared" si="29"/>
        <v>21</v>
      </c>
      <c r="CK100" s="10" t="b">
        <f t="shared" si="35"/>
        <v>1</v>
      </c>
      <c r="CL100" s="10" t="b">
        <f t="shared" si="36"/>
        <v>1</v>
      </c>
      <c r="CM100" s="10" t="b">
        <f t="shared" si="37"/>
        <v>0</v>
      </c>
      <c r="CN100" s="9">
        <f t="shared" si="38"/>
        <v>1</v>
      </c>
      <c r="CO100" s="10">
        <f t="shared" si="45"/>
        <v>20</v>
      </c>
      <c r="CP100" s="10" t="b">
        <f t="shared" si="39"/>
        <v>1</v>
      </c>
      <c r="CQ100" s="10" t="b">
        <f t="shared" si="40"/>
        <v>1</v>
      </c>
      <c r="CR100" s="10" cm="1">
        <f t="array" ref="CR100">_xlfn.IFS(AND($CI100=0, CK100=FALSE), NA(), AND($CI100=1, CK100=FALSE), 0, CK100=TRUE, 1)</f>
        <v>1</v>
      </c>
      <c r="CS100" s="10" cm="1">
        <f t="array" ref="CS100">_xlfn.IFS(AND($CI100=0, CL100=FALSE), NA(), AND($CI100=1, CL100=FALSE), 0, CL100=TRUE, 1)</f>
        <v>1</v>
      </c>
      <c r="CT100" s="10" cm="1">
        <f t="array" ref="CT100">_xlfn.IFS(AND($CI100=0, CM100=FALSE), NA(), AND($CI100=1, CM100=FALSE), 0, CM100=TRUE, 1)</f>
        <v>0</v>
      </c>
      <c r="CU100" s="10" cm="1">
        <f t="array" ref="CU100">_xlfn.IFS(AND($CN100=0, CP100=FALSE), NA(), AND($CN100=1, CP100=FALSE), 0, CP100=TRUE, 1)</f>
        <v>1</v>
      </c>
      <c r="CV100" s="10" cm="1">
        <f t="array" ref="CV100">_xlfn.IFS(AND($CN100=0, CQ100=FALSE), NA(), AND($CN100=1, CQ100=FALSE), 0, CQ100=TRUE, 1)</f>
        <v>1</v>
      </c>
    </row>
    <row r="101" spans="1:100" ht="15.75" x14ac:dyDescent="0.25">
      <c r="A101" s="8">
        <v>100</v>
      </c>
      <c r="B101" s="9">
        <v>59</v>
      </c>
      <c r="C101" s="10" t="s">
        <v>8</v>
      </c>
      <c r="D101" s="11" t="s">
        <v>54</v>
      </c>
      <c r="E101" s="12">
        <v>13700</v>
      </c>
      <c r="F101" s="13">
        <v>1</v>
      </c>
      <c r="G101" s="9">
        <v>70.948661804199219</v>
      </c>
      <c r="H101" s="12">
        <v>39614</v>
      </c>
      <c r="I101" s="9">
        <v>1</v>
      </c>
      <c r="J101" s="12">
        <v>39580</v>
      </c>
      <c r="K101" s="9">
        <v>0</v>
      </c>
      <c r="L101" s="9">
        <v>1</v>
      </c>
      <c r="M101" s="10" t="s">
        <v>401</v>
      </c>
      <c r="N101" s="9">
        <v>1</v>
      </c>
      <c r="O101" s="10" t="s">
        <v>401</v>
      </c>
      <c r="P101" s="9">
        <v>1</v>
      </c>
      <c r="Q101" s="10" t="s">
        <v>401</v>
      </c>
      <c r="R101" s="12">
        <v>42668</v>
      </c>
      <c r="S101" s="10" t="s">
        <v>146</v>
      </c>
      <c r="T101" s="9"/>
      <c r="U101" s="10" t="s">
        <v>401</v>
      </c>
      <c r="V101" s="10" t="s">
        <v>401</v>
      </c>
      <c r="W101" s="9"/>
      <c r="X101" s="9"/>
      <c r="Y101" s="9">
        <v>2</v>
      </c>
      <c r="Z101" s="14">
        <v>2</v>
      </c>
      <c r="AA101" s="17">
        <v>13.6</v>
      </c>
      <c r="AB101" s="18">
        <v>88</v>
      </c>
      <c r="AC101" s="18">
        <v>15</v>
      </c>
      <c r="AD101" s="9">
        <v>1</v>
      </c>
      <c r="AE101" s="9">
        <v>1</v>
      </c>
      <c r="AF101" s="9">
        <v>1</v>
      </c>
      <c r="AG101" s="9">
        <v>0</v>
      </c>
      <c r="AH101" s="9">
        <v>1</v>
      </c>
      <c r="AI101" s="9">
        <v>0</v>
      </c>
      <c r="AJ101" s="12">
        <v>42845</v>
      </c>
      <c r="AK101" s="9">
        <v>2</v>
      </c>
      <c r="AL101" s="12">
        <v>43342</v>
      </c>
      <c r="AM101" s="9">
        <v>2</v>
      </c>
      <c r="AN101" s="12">
        <v>43021</v>
      </c>
      <c r="AO101" s="12">
        <v>43357</v>
      </c>
      <c r="AP101" s="12">
        <v>43357</v>
      </c>
      <c r="AQ101" s="9">
        <v>1</v>
      </c>
      <c r="AR101" s="9">
        <f t="shared" si="30"/>
        <v>1</v>
      </c>
      <c r="AS101" s="9">
        <v>1</v>
      </c>
      <c r="AT101" s="9">
        <v>2</v>
      </c>
      <c r="AU101" s="9">
        <v>2</v>
      </c>
      <c r="AV101" s="9">
        <f t="shared" si="31"/>
        <v>1</v>
      </c>
      <c r="AW101" s="12">
        <v>44841</v>
      </c>
      <c r="AX101" s="9"/>
      <c r="AY101" s="9">
        <v>5890</v>
      </c>
      <c r="AZ101" s="9">
        <v>1560</v>
      </c>
      <c r="BA101" s="9">
        <v>5890</v>
      </c>
      <c r="BB101" s="9">
        <v>1560.0003662109375</v>
      </c>
      <c r="BC101" s="9">
        <v>212000</v>
      </c>
      <c r="BD101" s="9">
        <v>520</v>
      </c>
      <c r="BE101" s="9">
        <v>150</v>
      </c>
      <c r="BF101" s="9"/>
      <c r="BG101" s="9"/>
      <c r="BH101" s="9">
        <v>4400</v>
      </c>
      <c r="BI101" s="9">
        <v>1950</v>
      </c>
      <c r="BJ101" s="9">
        <v>192000</v>
      </c>
      <c r="BK101" s="9">
        <v>470</v>
      </c>
      <c r="BL101" s="9">
        <v>250</v>
      </c>
      <c r="BM101" s="9"/>
      <c r="BN101" s="9">
        <v>5900</v>
      </c>
      <c r="BO101" s="9">
        <v>5590</v>
      </c>
      <c r="BP101" s="9">
        <v>1790</v>
      </c>
      <c r="BQ101" s="9">
        <v>233000</v>
      </c>
      <c r="BR101" s="9">
        <v>540</v>
      </c>
      <c r="BS101" s="9">
        <v>200</v>
      </c>
      <c r="BT101" s="9"/>
      <c r="BU101" s="9">
        <v>5700</v>
      </c>
      <c r="BV101" s="9">
        <v>4470</v>
      </c>
      <c r="BW101" s="9">
        <v>1370</v>
      </c>
      <c r="BX101" s="9">
        <v>237000</v>
      </c>
      <c r="BY101" s="9">
        <v>430</v>
      </c>
      <c r="BZ101" s="10" t="s">
        <v>550</v>
      </c>
      <c r="CA101" s="9">
        <v>240</v>
      </c>
      <c r="CB101" s="9"/>
      <c r="CC101" s="10">
        <f t="shared" si="32"/>
        <v>3.7756401393072339</v>
      </c>
      <c r="CD101" s="10">
        <f t="shared" si="33"/>
        <v>135.89740399543865</v>
      </c>
      <c r="CE101" s="10">
        <f t="shared" si="44"/>
        <v>800435.70953313354</v>
      </c>
      <c r="CF101" s="10">
        <f t="shared" si="26"/>
        <v>1</v>
      </c>
      <c r="CG101" s="10">
        <f t="shared" si="27"/>
        <v>1</v>
      </c>
      <c r="CH101" s="10">
        <f t="shared" si="28"/>
        <v>16</v>
      </c>
      <c r="CI101" s="9">
        <f t="shared" si="34"/>
        <v>1</v>
      </c>
      <c r="CJ101" s="10">
        <f t="shared" si="29"/>
        <v>66</v>
      </c>
      <c r="CK101" s="10" t="b">
        <f t="shared" si="35"/>
        <v>1</v>
      </c>
      <c r="CL101" s="10" t="b">
        <f t="shared" si="36"/>
        <v>1</v>
      </c>
      <c r="CM101" s="10" t="b">
        <f t="shared" si="37"/>
        <v>1</v>
      </c>
      <c r="CN101" s="9">
        <f t="shared" si="38"/>
        <v>1</v>
      </c>
      <c r="CO101" s="10">
        <f t="shared" si="45"/>
        <v>17</v>
      </c>
      <c r="CP101" s="10" t="b">
        <f t="shared" si="39"/>
        <v>1</v>
      </c>
      <c r="CQ101" s="10" t="b">
        <f t="shared" si="40"/>
        <v>1</v>
      </c>
      <c r="CR101" s="10" cm="1">
        <f t="array" ref="CR101">_xlfn.IFS(AND($CI101=0, CK101=FALSE), NA(), AND($CI101=1, CK101=FALSE), 0, CK101=TRUE, 1)</f>
        <v>1</v>
      </c>
      <c r="CS101" s="10" cm="1">
        <f t="array" ref="CS101">_xlfn.IFS(AND($CI101=0, CL101=FALSE), NA(), AND($CI101=1, CL101=FALSE), 0, CL101=TRUE, 1)</f>
        <v>1</v>
      </c>
      <c r="CT101" s="10" cm="1">
        <f t="array" ref="CT101">_xlfn.IFS(AND($CI101=0, CM101=FALSE), NA(), AND($CI101=1, CM101=FALSE), 0, CM101=TRUE, 1)</f>
        <v>1</v>
      </c>
      <c r="CU101" s="10" cm="1">
        <f t="array" ref="CU101">_xlfn.IFS(AND($CN101=0, CP101=FALSE), NA(), AND($CN101=1, CP101=FALSE), 0, CP101=TRUE, 1)</f>
        <v>1</v>
      </c>
      <c r="CV101" s="10" cm="1">
        <f t="array" ref="CV101">_xlfn.IFS(AND($CN101=0, CQ101=FALSE), NA(), AND($CN101=1, CQ101=FALSE), 0, CQ101=TRUE, 1)</f>
        <v>1</v>
      </c>
    </row>
    <row r="102" spans="1:100" ht="15.75" x14ac:dyDescent="0.25">
      <c r="A102" s="8">
        <v>101</v>
      </c>
      <c r="B102" s="9">
        <v>497</v>
      </c>
      <c r="C102" s="10" t="s">
        <v>32</v>
      </c>
      <c r="D102" s="11" t="s">
        <v>76</v>
      </c>
      <c r="E102" s="12">
        <v>17851</v>
      </c>
      <c r="F102" s="13">
        <v>1</v>
      </c>
      <c r="G102" s="9">
        <v>59.583847045898438</v>
      </c>
      <c r="H102" s="12">
        <v>39614</v>
      </c>
      <c r="I102" s="9">
        <v>1</v>
      </c>
      <c r="J102" s="12">
        <v>39614</v>
      </c>
      <c r="K102" s="9">
        <v>0</v>
      </c>
      <c r="L102" s="9">
        <v>1</v>
      </c>
      <c r="M102" s="10" t="s">
        <v>401</v>
      </c>
      <c r="N102" s="9">
        <v>1</v>
      </c>
      <c r="O102" s="10" t="s">
        <v>401</v>
      </c>
      <c r="P102" s="9">
        <v>1</v>
      </c>
      <c r="Q102" s="10" t="s">
        <v>401</v>
      </c>
      <c r="R102" s="12">
        <v>41731</v>
      </c>
      <c r="S102" s="10" t="s">
        <v>145</v>
      </c>
      <c r="T102" s="9"/>
      <c r="U102" s="10" t="s">
        <v>401</v>
      </c>
      <c r="V102" s="10" t="s">
        <v>401</v>
      </c>
      <c r="W102" s="9"/>
      <c r="X102" s="9"/>
      <c r="Y102" s="9">
        <v>2</v>
      </c>
      <c r="Z102" s="14">
        <v>1</v>
      </c>
      <c r="AA102" s="17">
        <v>14.5</v>
      </c>
      <c r="AB102" s="18">
        <v>99</v>
      </c>
      <c r="AC102" s="18">
        <v>16</v>
      </c>
      <c r="AD102" s="9">
        <v>2</v>
      </c>
      <c r="AE102" s="9">
        <v>2</v>
      </c>
      <c r="AF102" s="9">
        <v>2</v>
      </c>
      <c r="AG102" s="9">
        <v>0</v>
      </c>
      <c r="AH102" s="9">
        <v>1</v>
      </c>
      <c r="AI102" s="9">
        <v>1</v>
      </c>
      <c r="AJ102" s="12">
        <v>43167</v>
      </c>
      <c r="AK102" s="9">
        <v>2</v>
      </c>
      <c r="AL102" s="12">
        <v>43265</v>
      </c>
      <c r="AM102" s="9">
        <v>4</v>
      </c>
      <c r="AN102" s="12">
        <v>43271</v>
      </c>
      <c r="AO102" s="12">
        <v>43271</v>
      </c>
      <c r="AP102" s="12">
        <v>43271</v>
      </c>
      <c r="AQ102" s="9">
        <v>1</v>
      </c>
      <c r="AR102" s="9">
        <f t="shared" si="30"/>
        <v>1</v>
      </c>
      <c r="AS102" s="9">
        <v>1</v>
      </c>
      <c r="AT102" s="9">
        <v>2</v>
      </c>
      <c r="AU102" s="9">
        <v>2</v>
      </c>
      <c r="AV102" s="9">
        <f t="shared" si="31"/>
        <v>1</v>
      </c>
      <c r="AW102" s="12">
        <v>44985</v>
      </c>
      <c r="AX102" s="9">
        <v>5280</v>
      </c>
      <c r="AY102" s="9">
        <v>3280</v>
      </c>
      <c r="AZ102" s="9">
        <v>1330</v>
      </c>
      <c r="BA102" s="9">
        <v>3280</v>
      </c>
      <c r="BB102" s="9">
        <v>1329.999755859375</v>
      </c>
      <c r="BC102" s="9">
        <v>98000</v>
      </c>
      <c r="BD102" s="9">
        <v>370</v>
      </c>
      <c r="BE102" s="9">
        <v>140</v>
      </c>
      <c r="BF102" s="9">
        <v>280</v>
      </c>
      <c r="BG102" s="9">
        <v>5520</v>
      </c>
      <c r="BH102" s="9">
        <v>3220</v>
      </c>
      <c r="BI102" s="9">
        <v>1260</v>
      </c>
      <c r="BJ102" s="9">
        <v>139000</v>
      </c>
      <c r="BK102" s="9">
        <v>430</v>
      </c>
      <c r="BL102" s="9">
        <v>470</v>
      </c>
      <c r="BM102" s="9">
        <v>276</v>
      </c>
      <c r="BN102" s="9">
        <v>6600</v>
      </c>
      <c r="BO102" s="9">
        <v>3120</v>
      </c>
      <c r="BP102" s="9">
        <v>3050</v>
      </c>
      <c r="BQ102" s="9">
        <v>178000</v>
      </c>
      <c r="BR102" s="9">
        <v>190</v>
      </c>
      <c r="BS102" s="9">
        <v>140</v>
      </c>
      <c r="BT102" s="9">
        <v>276</v>
      </c>
      <c r="BU102" s="9">
        <v>4330</v>
      </c>
      <c r="BV102" s="9">
        <v>2370</v>
      </c>
      <c r="BW102" s="9">
        <v>1630</v>
      </c>
      <c r="BX102" s="9">
        <v>103000</v>
      </c>
      <c r="BY102" s="9">
        <v>180</v>
      </c>
      <c r="BZ102" s="10" t="s">
        <v>554</v>
      </c>
      <c r="CA102" s="9">
        <v>70</v>
      </c>
      <c r="CB102" s="9">
        <v>326</v>
      </c>
      <c r="CC102" s="10">
        <f t="shared" si="32"/>
        <v>2.466165866234042</v>
      </c>
      <c r="CD102" s="10">
        <f t="shared" si="33"/>
        <v>73.684224052114672</v>
      </c>
      <c r="CE102" s="10">
        <f t="shared" si="44"/>
        <v>241684.25489093611</v>
      </c>
      <c r="CF102" s="10">
        <f t="shared" si="26"/>
        <v>0</v>
      </c>
      <c r="CG102" s="10">
        <f t="shared" si="27"/>
        <v>0</v>
      </c>
      <c r="CH102" s="10">
        <f t="shared" si="28"/>
        <v>3</v>
      </c>
      <c r="CI102" s="9">
        <f t="shared" si="34"/>
        <v>1</v>
      </c>
      <c r="CJ102" s="10">
        <f t="shared" si="29"/>
        <v>59</v>
      </c>
      <c r="CK102" s="10" t="b">
        <f t="shared" si="35"/>
        <v>1</v>
      </c>
      <c r="CL102" s="10" t="b">
        <f t="shared" si="36"/>
        <v>1</v>
      </c>
      <c r="CM102" s="10" t="b">
        <f t="shared" si="37"/>
        <v>1</v>
      </c>
      <c r="CN102" s="9">
        <f t="shared" si="38"/>
        <v>1</v>
      </c>
      <c r="CO102" s="10">
        <f t="shared" si="45"/>
        <v>3</v>
      </c>
      <c r="CP102" s="10" t="b">
        <f t="shared" si="39"/>
        <v>1</v>
      </c>
      <c r="CQ102" s="10" t="b">
        <f t="shared" si="40"/>
        <v>0</v>
      </c>
      <c r="CR102" s="10" cm="1">
        <f t="array" ref="CR102">_xlfn.IFS(AND($CI102=0, CK102=FALSE), NA(), AND($CI102=1, CK102=FALSE), 0, CK102=TRUE, 1)</f>
        <v>1</v>
      </c>
      <c r="CS102" s="10" cm="1">
        <f t="array" ref="CS102">_xlfn.IFS(AND($CI102=0, CL102=FALSE), NA(), AND($CI102=1, CL102=FALSE), 0, CL102=TRUE, 1)</f>
        <v>1</v>
      </c>
      <c r="CT102" s="10" cm="1">
        <f t="array" ref="CT102">_xlfn.IFS(AND($CI102=0, CM102=FALSE), NA(), AND($CI102=1, CM102=FALSE), 0, CM102=TRUE, 1)</f>
        <v>1</v>
      </c>
      <c r="CU102" s="10" cm="1">
        <f t="array" ref="CU102">_xlfn.IFS(AND($CN102=0, CP102=FALSE), NA(), AND($CN102=1, CP102=FALSE), 0, CP102=TRUE, 1)</f>
        <v>1</v>
      </c>
      <c r="CV102" s="10" cm="1">
        <f t="array" ref="CV102">_xlfn.IFS(AND($CN102=0, CQ102=FALSE), NA(), AND($CN102=1, CQ102=FALSE), 0, CQ102=TRUE, 1)</f>
        <v>0</v>
      </c>
    </row>
    <row r="103" spans="1:100" ht="15.75" x14ac:dyDescent="0.25">
      <c r="A103" s="8">
        <v>102</v>
      </c>
      <c r="B103" s="9">
        <v>496</v>
      </c>
      <c r="C103" s="10" t="s">
        <v>32</v>
      </c>
      <c r="D103" s="11" t="s">
        <v>138</v>
      </c>
      <c r="E103" s="12">
        <v>18541</v>
      </c>
      <c r="F103" s="13">
        <v>1</v>
      </c>
      <c r="G103" s="9">
        <v>58.094455718994141</v>
      </c>
      <c r="H103" s="12">
        <v>39760</v>
      </c>
      <c r="I103" s="9">
        <v>1</v>
      </c>
      <c r="J103" s="12">
        <v>39760</v>
      </c>
      <c r="K103" s="9">
        <v>0</v>
      </c>
      <c r="L103" s="9">
        <v>1</v>
      </c>
      <c r="M103" s="10" t="s">
        <v>401</v>
      </c>
      <c r="N103" s="9">
        <v>1</v>
      </c>
      <c r="O103" s="10" t="s">
        <v>401</v>
      </c>
      <c r="P103" s="9">
        <v>1</v>
      </c>
      <c r="Q103" s="10" t="s">
        <v>401</v>
      </c>
      <c r="R103" s="12">
        <v>39849</v>
      </c>
      <c r="S103" s="10" t="s">
        <v>145</v>
      </c>
      <c r="T103" s="9"/>
      <c r="U103" s="10" t="s">
        <v>401</v>
      </c>
      <c r="V103" s="10" t="s">
        <v>401</v>
      </c>
      <c r="W103" s="9"/>
      <c r="X103" s="9"/>
      <c r="Y103" s="9">
        <v>2</v>
      </c>
      <c r="Z103" s="14">
        <v>1</v>
      </c>
      <c r="AA103" s="17">
        <v>15.4</v>
      </c>
      <c r="AB103" s="18">
        <v>103</v>
      </c>
      <c r="AC103" s="18">
        <v>15</v>
      </c>
      <c r="AD103" s="9">
        <v>2</v>
      </c>
      <c r="AE103" s="9">
        <v>2</v>
      </c>
      <c r="AF103" s="9">
        <v>1</v>
      </c>
      <c r="AG103" s="9">
        <v>0</v>
      </c>
      <c r="AH103" s="9">
        <v>1</v>
      </c>
      <c r="AI103" s="9">
        <v>0</v>
      </c>
      <c r="AJ103" s="12">
        <v>42807</v>
      </c>
      <c r="AK103" s="9">
        <v>2</v>
      </c>
      <c r="AL103" s="12">
        <v>43109</v>
      </c>
      <c r="AM103" s="9">
        <v>2</v>
      </c>
      <c r="AN103" s="12">
        <v>42936</v>
      </c>
      <c r="AO103" s="12">
        <v>43422</v>
      </c>
      <c r="AP103" s="12">
        <v>43422</v>
      </c>
      <c r="AQ103" s="9">
        <v>1</v>
      </c>
      <c r="AR103" s="9">
        <f t="shared" si="30"/>
        <v>1</v>
      </c>
      <c r="AS103" s="9">
        <v>1</v>
      </c>
      <c r="AT103" s="9">
        <v>2</v>
      </c>
      <c r="AU103" s="9">
        <v>2</v>
      </c>
      <c r="AV103" s="9">
        <f t="shared" si="31"/>
        <v>1</v>
      </c>
      <c r="AW103" s="12">
        <v>44458</v>
      </c>
      <c r="AX103" s="9">
        <v>5600</v>
      </c>
      <c r="AY103" s="9">
        <v>3780</v>
      </c>
      <c r="AZ103" s="9">
        <v>1150</v>
      </c>
      <c r="BA103" s="9">
        <v>3780</v>
      </c>
      <c r="BB103" s="9">
        <v>1150.0001220703125</v>
      </c>
      <c r="BC103" s="9">
        <v>198000</v>
      </c>
      <c r="BD103" s="9">
        <v>530</v>
      </c>
      <c r="BE103" s="9">
        <v>60</v>
      </c>
      <c r="BF103" s="9">
        <v>450</v>
      </c>
      <c r="BG103" s="9">
        <v>7450</v>
      </c>
      <c r="BH103" s="9">
        <v>5500</v>
      </c>
      <c r="BI103" s="9">
        <v>1070</v>
      </c>
      <c r="BJ103" s="9">
        <v>268000</v>
      </c>
      <c r="BK103" s="9">
        <v>560</v>
      </c>
      <c r="BL103" s="9">
        <v>2100</v>
      </c>
      <c r="BM103" s="9">
        <v>455</v>
      </c>
      <c r="BN103" s="9">
        <v>6640</v>
      </c>
      <c r="BO103" s="9">
        <v>4120</v>
      </c>
      <c r="BP103" s="9">
        <v>1740</v>
      </c>
      <c r="BQ103" s="9">
        <v>266000</v>
      </c>
      <c r="BR103" s="9">
        <v>580</v>
      </c>
      <c r="BS103" s="9">
        <v>10</v>
      </c>
      <c r="BT103" s="9">
        <v>440</v>
      </c>
      <c r="BU103" s="9">
        <v>6700</v>
      </c>
      <c r="BV103" s="9">
        <v>4200</v>
      </c>
      <c r="BW103" s="9">
        <v>1780</v>
      </c>
      <c r="BX103" s="9">
        <v>280000</v>
      </c>
      <c r="BY103" s="9">
        <v>620</v>
      </c>
      <c r="BZ103" s="10" t="s">
        <v>307</v>
      </c>
      <c r="CA103" s="9">
        <v>20</v>
      </c>
      <c r="CB103" s="9">
        <v>435</v>
      </c>
      <c r="CC103" s="10">
        <f t="shared" si="32"/>
        <v>3.286956172834985</v>
      </c>
      <c r="CD103" s="10">
        <f t="shared" si="33"/>
        <v>172.17389476754684</v>
      </c>
      <c r="CE103" s="10">
        <f t="shared" si="44"/>
        <v>650817.32222132699</v>
      </c>
      <c r="CF103" s="10">
        <f t="shared" si="26"/>
        <v>1</v>
      </c>
      <c r="CG103" s="10">
        <f t="shared" si="27"/>
        <v>1</v>
      </c>
      <c r="CH103" s="10">
        <f t="shared" si="28"/>
        <v>10</v>
      </c>
      <c r="CI103" s="9">
        <f t="shared" si="34"/>
        <v>1</v>
      </c>
      <c r="CJ103" s="10">
        <f t="shared" si="29"/>
        <v>54</v>
      </c>
      <c r="CK103" s="10" t="b">
        <f t="shared" si="35"/>
        <v>1</v>
      </c>
      <c r="CL103" s="10" t="b">
        <f t="shared" si="36"/>
        <v>1</v>
      </c>
      <c r="CM103" s="10" t="b">
        <f t="shared" si="37"/>
        <v>1</v>
      </c>
      <c r="CN103" s="9">
        <f t="shared" si="38"/>
        <v>1</v>
      </c>
      <c r="CO103" s="10">
        <f t="shared" si="45"/>
        <v>20</v>
      </c>
      <c r="CP103" s="10" t="b">
        <f t="shared" si="39"/>
        <v>1</v>
      </c>
      <c r="CQ103" s="10" t="b">
        <f t="shared" si="40"/>
        <v>1</v>
      </c>
      <c r="CR103" s="10" cm="1">
        <f t="array" ref="CR103">_xlfn.IFS(AND($CI103=0, CK103=FALSE), NA(), AND($CI103=1, CK103=FALSE), 0, CK103=TRUE, 1)</f>
        <v>1</v>
      </c>
      <c r="CS103" s="10" cm="1">
        <f t="array" ref="CS103">_xlfn.IFS(AND($CI103=0, CL103=FALSE), NA(), AND($CI103=1, CL103=FALSE), 0, CL103=TRUE, 1)</f>
        <v>1</v>
      </c>
      <c r="CT103" s="10" cm="1">
        <f t="array" ref="CT103">_xlfn.IFS(AND($CI103=0, CM103=FALSE), NA(), AND($CI103=1, CM103=FALSE), 0, CM103=TRUE, 1)</f>
        <v>1</v>
      </c>
      <c r="CU103" s="10" cm="1">
        <f t="array" ref="CU103">_xlfn.IFS(AND($CN103=0, CP103=FALSE), NA(), AND($CN103=1, CP103=FALSE), 0, CP103=TRUE, 1)</f>
        <v>1</v>
      </c>
      <c r="CV103" s="10" cm="1">
        <f t="array" ref="CV103">_xlfn.IFS(AND($CN103=0, CQ103=FALSE), NA(), AND($CN103=1, CQ103=FALSE), 0, CQ103=TRUE, 1)</f>
        <v>1</v>
      </c>
    </row>
    <row r="104" spans="1:100" ht="15.75" x14ac:dyDescent="0.25">
      <c r="A104" s="8">
        <v>103</v>
      </c>
      <c r="B104" s="9">
        <v>342</v>
      </c>
      <c r="C104" s="10" t="s">
        <v>26</v>
      </c>
      <c r="D104" s="11" t="s">
        <v>279</v>
      </c>
      <c r="E104" s="12">
        <v>22531</v>
      </c>
      <c r="F104" s="13">
        <v>1</v>
      </c>
      <c r="G104" s="9">
        <v>47.233402252197266</v>
      </c>
      <c r="H104" s="12">
        <v>39783</v>
      </c>
      <c r="I104" s="9">
        <v>1</v>
      </c>
      <c r="J104" s="12">
        <v>39794</v>
      </c>
      <c r="K104" s="9">
        <v>0</v>
      </c>
      <c r="L104" s="9">
        <v>1</v>
      </c>
      <c r="M104" s="10" t="s">
        <v>401</v>
      </c>
      <c r="N104" s="9">
        <v>1</v>
      </c>
      <c r="O104" s="10" t="s">
        <v>401</v>
      </c>
      <c r="P104" s="9">
        <v>1</v>
      </c>
      <c r="Q104" s="10" t="s">
        <v>401</v>
      </c>
      <c r="R104" s="12">
        <v>40603</v>
      </c>
      <c r="S104" s="10" t="s">
        <v>146</v>
      </c>
      <c r="T104" s="9"/>
      <c r="U104" s="10" t="s">
        <v>401</v>
      </c>
      <c r="V104" s="10" t="s">
        <v>401</v>
      </c>
      <c r="W104" s="9"/>
      <c r="X104" s="9"/>
      <c r="Y104" s="9">
        <v>2</v>
      </c>
      <c r="Z104" s="14">
        <v>2</v>
      </c>
      <c r="AA104" s="32"/>
      <c r="AB104" s="33"/>
      <c r="AC104" s="33"/>
      <c r="AD104" s="9">
        <v>2</v>
      </c>
      <c r="AE104" s="9">
        <v>1</v>
      </c>
      <c r="AF104" s="9">
        <v>1</v>
      </c>
      <c r="AG104" s="9">
        <v>1</v>
      </c>
      <c r="AH104" s="9">
        <v>1</v>
      </c>
      <c r="AI104" s="9">
        <v>0</v>
      </c>
      <c r="AJ104" s="12">
        <v>42816</v>
      </c>
      <c r="AK104" s="9">
        <v>2</v>
      </c>
      <c r="AL104" s="12">
        <v>44270</v>
      </c>
      <c r="AM104" s="9">
        <v>1</v>
      </c>
      <c r="AN104" s="12">
        <v>42902</v>
      </c>
      <c r="AO104" s="12">
        <v>44399</v>
      </c>
      <c r="AP104" s="12">
        <v>44399</v>
      </c>
      <c r="AQ104" s="9">
        <v>1</v>
      </c>
      <c r="AR104" s="9">
        <f t="shared" si="30"/>
        <v>1</v>
      </c>
      <c r="AS104" s="9">
        <v>1</v>
      </c>
      <c r="AT104" s="9">
        <v>2</v>
      </c>
      <c r="AU104" s="9">
        <v>1</v>
      </c>
      <c r="AV104" s="9">
        <f t="shared" si="31"/>
        <v>0</v>
      </c>
      <c r="AW104" s="12">
        <v>44992</v>
      </c>
      <c r="AX104" s="9">
        <v>7840</v>
      </c>
      <c r="AY104" s="9">
        <v>3040</v>
      </c>
      <c r="AZ104" s="9">
        <v>4130</v>
      </c>
      <c r="BA104" s="9">
        <v>3040</v>
      </c>
      <c r="BB104" s="9">
        <v>4130</v>
      </c>
      <c r="BC104" s="9">
        <v>536000</v>
      </c>
      <c r="BD104" s="9">
        <v>630</v>
      </c>
      <c r="BE104" s="9">
        <v>20</v>
      </c>
      <c r="BF104" s="9"/>
      <c r="BG104" s="9">
        <v>8800</v>
      </c>
      <c r="BH104" s="9">
        <v>5330</v>
      </c>
      <c r="BI104" s="9">
        <v>2220</v>
      </c>
      <c r="BJ104" s="9">
        <v>543000</v>
      </c>
      <c r="BK104" s="9">
        <v>1100</v>
      </c>
      <c r="BL104" s="9">
        <v>90</v>
      </c>
      <c r="BM104" s="9"/>
      <c r="BN104" s="9">
        <v>7330</v>
      </c>
      <c r="BO104" s="9">
        <v>3240</v>
      </c>
      <c r="BP104" s="9">
        <v>2980</v>
      </c>
      <c r="BQ104" s="9">
        <v>491000</v>
      </c>
      <c r="BR104" s="9">
        <v>1000</v>
      </c>
      <c r="BS104" s="9">
        <v>70</v>
      </c>
      <c r="BT104" s="9"/>
      <c r="BU104" s="9">
        <v>9460</v>
      </c>
      <c r="BV104" s="9">
        <v>5140</v>
      </c>
      <c r="BW104" s="9">
        <v>3120</v>
      </c>
      <c r="BX104" s="9">
        <v>485000</v>
      </c>
      <c r="BY104" s="9">
        <v>1050</v>
      </c>
      <c r="BZ104" s="10" t="s">
        <v>525</v>
      </c>
      <c r="CA104" s="9">
        <v>100</v>
      </c>
      <c r="CB104" s="9"/>
      <c r="CC104" s="10">
        <f t="shared" si="32"/>
        <v>0.73607748184019373</v>
      </c>
      <c r="CD104" s="10">
        <f t="shared" si="33"/>
        <v>129.78208232445522</v>
      </c>
      <c r="CE104" s="10">
        <f t="shared" si="44"/>
        <v>394537.53026634385</v>
      </c>
      <c r="CF104" s="10">
        <f t="shared" si="26"/>
        <v>1</v>
      </c>
      <c r="CG104" s="10">
        <f t="shared" si="27"/>
        <v>1</v>
      </c>
      <c r="CH104" s="10">
        <f t="shared" si="28"/>
        <v>48</v>
      </c>
      <c r="CI104" s="9">
        <f t="shared" si="34"/>
        <v>0</v>
      </c>
      <c r="CJ104" s="10">
        <f t="shared" si="29"/>
        <v>72</v>
      </c>
      <c r="CK104" s="10" t="b">
        <f t="shared" si="35"/>
        <v>1</v>
      </c>
      <c r="CL104" s="10" t="b">
        <f t="shared" si="36"/>
        <v>1</v>
      </c>
      <c r="CM104" s="10" t="b">
        <f t="shared" si="37"/>
        <v>1</v>
      </c>
      <c r="CN104" s="9">
        <f t="shared" si="38"/>
        <v>1</v>
      </c>
      <c r="CO104" s="10">
        <f t="shared" si="45"/>
        <v>52</v>
      </c>
      <c r="CP104" s="10" t="b">
        <f t="shared" si="39"/>
        <v>1</v>
      </c>
      <c r="CQ104" s="10" t="b">
        <f t="shared" si="40"/>
        <v>1</v>
      </c>
      <c r="CR104" s="10" cm="1">
        <f t="array" ref="CR104">_xlfn.IFS(AND($CI104=0, CK104=FALSE), NA(), AND($CI104=1, CK104=FALSE), 0, CK104=TRUE, 1)</f>
        <v>1</v>
      </c>
      <c r="CS104" s="10" cm="1">
        <f t="array" ref="CS104">_xlfn.IFS(AND($CI104=0, CL104=FALSE), NA(), AND($CI104=1, CL104=FALSE), 0, CL104=TRUE, 1)</f>
        <v>1</v>
      </c>
      <c r="CT104" s="10" cm="1">
        <f t="array" ref="CT104">_xlfn.IFS(AND($CI104=0, CM104=FALSE), NA(), AND($CI104=1, CM104=FALSE), 0, CM104=TRUE, 1)</f>
        <v>1</v>
      </c>
      <c r="CU104" s="10" cm="1">
        <f t="array" ref="CU104">_xlfn.IFS(AND($CN104=0, CP104=FALSE), NA(), AND($CN104=1, CP104=FALSE), 0, CP104=TRUE, 1)</f>
        <v>1</v>
      </c>
      <c r="CV104" s="10" cm="1">
        <f t="array" ref="CV104">_xlfn.IFS(AND($CN104=0, CQ104=FALSE), NA(), AND($CN104=1, CQ104=FALSE), 0, CQ104=TRUE, 1)</f>
        <v>1</v>
      </c>
    </row>
    <row r="105" spans="1:100" ht="15.75" x14ac:dyDescent="0.25">
      <c r="A105" s="8">
        <v>104</v>
      </c>
      <c r="B105" s="9">
        <v>142</v>
      </c>
      <c r="C105" s="10" t="s">
        <v>16</v>
      </c>
      <c r="D105" s="11" t="s">
        <v>44</v>
      </c>
      <c r="E105" s="12">
        <v>16467</v>
      </c>
      <c r="F105" s="13">
        <v>1</v>
      </c>
      <c r="G105" s="9">
        <v>63.920600891113281</v>
      </c>
      <c r="H105" s="12">
        <v>39814</v>
      </c>
      <c r="I105" s="9">
        <v>1</v>
      </c>
      <c r="J105" s="12">
        <v>39814</v>
      </c>
      <c r="K105" s="9">
        <v>0</v>
      </c>
      <c r="L105" s="9">
        <v>1</v>
      </c>
      <c r="M105" s="10" t="s">
        <v>401</v>
      </c>
      <c r="N105" s="9">
        <v>2</v>
      </c>
      <c r="O105" s="10" t="s">
        <v>145</v>
      </c>
      <c r="P105" s="9">
        <v>2</v>
      </c>
      <c r="Q105" s="10" t="s">
        <v>145</v>
      </c>
      <c r="R105" s="12">
        <v>41759</v>
      </c>
      <c r="S105" s="10" t="s">
        <v>146</v>
      </c>
      <c r="T105" s="9">
        <v>6</v>
      </c>
      <c r="U105" s="10" t="s">
        <v>401</v>
      </c>
      <c r="V105" s="10" t="s">
        <v>401</v>
      </c>
      <c r="W105" s="9"/>
      <c r="X105" s="9"/>
      <c r="Y105" s="9">
        <v>3</v>
      </c>
      <c r="Z105" s="14">
        <v>2</v>
      </c>
      <c r="AA105" s="15">
        <v>14.8</v>
      </c>
      <c r="AB105" s="16">
        <v>90</v>
      </c>
      <c r="AC105" s="16">
        <v>16</v>
      </c>
      <c r="AD105" s="9">
        <v>2</v>
      </c>
      <c r="AE105" s="9">
        <v>2</v>
      </c>
      <c r="AF105" s="9">
        <v>1</v>
      </c>
      <c r="AG105" s="9">
        <v>0</v>
      </c>
      <c r="AH105" s="9">
        <v>1</v>
      </c>
      <c r="AI105" s="9">
        <v>1</v>
      </c>
      <c r="AJ105" s="12">
        <v>42859</v>
      </c>
      <c r="AK105" s="9">
        <v>2</v>
      </c>
      <c r="AL105" s="12">
        <v>42873</v>
      </c>
      <c r="AM105" s="9">
        <v>4</v>
      </c>
      <c r="AN105" s="12">
        <v>42886</v>
      </c>
      <c r="AO105" s="12">
        <v>42886</v>
      </c>
      <c r="AP105" s="12">
        <v>42886</v>
      </c>
      <c r="AQ105" s="9">
        <v>1</v>
      </c>
      <c r="AR105" s="9">
        <f t="shared" si="30"/>
        <v>1</v>
      </c>
      <c r="AS105" s="9">
        <v>1</v>
      </c>
      <c r="AT105" s="9">
        <v>2</v>
      </c>
      <c r="AU105" s="9">
        <v>2</v>
      </c>
      <c r="AV105" s="9">
        <f t="shared" si="31"/>
        <v>1</v>
      </c>
      <c r="AW105" s="12">
        <v>42886</v>
      </c>
      <c r="AX105" s="9">
        <v>6660</v>
      </c>
      <c r="AY105" s="9">
        <v>3400</v>
      </c>
      <c r="AZ105" s="9"/>
      <c r="BA105" s="9">
        <v>3400</v>
      </c>
      <c r="BB105" s="9">
        <v>1780.400146484375</v>
      </c>
      <c r="BC105" s="9">
        <v>141000</v>
      </c>
      <c r="BD105" s="9"/>
      <c r="BE105" s="9"/>
      <c r="BF105" s="9">
        <v>142</v>
      </c>
      <c r="BG105" s="9">
        <v>7960</v>
      </c>
      <c r="BH105" s="9">
        <v>4300</v>
      </c>
      <c r="BI105" s="9"/>
      <c r="BJ105" s="9">
        <v>166000</v>
      </c>
      <c r="BK105" s="9"/>
      <c r="BL105" s="9"/>
      <c r="BM105" s="9">
        <v>207</v>
      </c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10" t="s">
        <v>401</v>
      </c>
      <c r="CA105" s="9"/>
      <c r="CB105" s="9"/>
      <c r="CC105" s="10">
        <f t="shared" si="32"/>
        <v>1.9096830601332682</v>
      </c>
      <c r="CD105" s="10">
        <f t="shared" si="33"/>
        <v>79.195679846703172</v>
      </c>
      <c r="CE105" s="10">
        <f t="shared" si="44"/>
        <v>269265.31147879083</v>
      </c>
      <c r="CF105" s="10">
        <f t="shared" si="26"/>
        <v>0</v>
      </c>
      <c r="CG105" s="10">
        <f t="shared" si="27"/>
        <v>0</v>
      </c>
      <c r="CH105" s="10">
        <f t="shared" si="28"/>
        <v>0</v>
      </c>
      <c r="CI105" s="9">
        <f t="shared" si="34"/>
        <v>1</v>
      </c>
      <c r="CJ105" s="10">
        <f t="shared" si="29"/>
        <v>0</v>
      </c>
      <c r="CK105" s="10" t="b">
        <f t="shared" si="35"/>
        <v>0</v>
      </c>
      <c r="CL105" s="10" t="b">
        <f t="shared" si="36"/>
        <v>0</v>
      </c>
      <c r="CM105" s="10" t="b">
        <f t="shared" si="37"/>
        <v>0</v>
      </c>
      <c r="CN105" s="9">
        <f t="shared" si="38"/>
        <v>1</v>
      </c>
      <c r="CO105" s="10">
        <f t="shared" si="45"/>
        <v>0</v>
      </c>
      <c r="CP105" s="10" t="b">
        <f t="shared" si="39"/>
        <v>0</v>
      </c>
      <c r="CQ105" s="10" t="b">
        <f t="shared" si="40"/>
        <v>0</v>
      </c>
      <c r="CR105" s="10" cm="1">
        <f t="array" ref="CR105">_xlfn.IFS(AND($CI105=0, CK105=FALSE), NA(), AND($CI105=1, CK105=FALSE), 0, CK105=TRUE, 1)</f>
        <v>0</v>
      </c>
      <c r="CS105" s="10" cm="1">
        <f t="array" ref="CS105">_xlfn.IFS(AND($CI105=0, CL105=FALSE), NA(), AND($CI105=1, CL105=FALSE), 0, CL105=TRUE, 1)</f>
        <v>0</v>
      </c>
      <c r="CT105" s="10" cm="1">
        <f t="array" ref="CT105">_xlfn.IFS(AND($CI105=0, CM105=FALSE), NA(), AND($CI105=1, CM105=FALSE), 0, CM105=TRUE, 1)</f>
        <v>0</v>
      </c>
      <c r="CU105" s="10" cm="1">
        <f t="array" ref="CU105">_xlfn.IFS(AND($CN105=0, CP105=FALSE), NA(), AND($CN105=1, CP105=FALSE), 0, CP105=TRUE, 1)</f>
        <v>0</v>
      </c>
      <c r="CV105" s="10" cm="1">
        <f t="array" ref="CV105">_xlfn.IFS(AND($CN105=0, CQ105=FALSE), NA(), AND($CN105=1, CQ105=FALSE), 0, CQ105=TRUE, 1)</f>
        <v>0</v>
      </c>
    </row>
    <row r="106" spans="1:100" ht="15.75" x14ac:dyDescent="0.25">
      <c r="A106" s="8">
        <v>105</v>
      </c>
      <c r="B106" s="9">
        <v>228</v>
      </c>
      <c r="C106" s="10" t="s">
        <v>19</v>
      </c>
      <c r="D106" s="11" t="s">
        <v>224</v>
      </c>
      <c r="E106" s="12">
        <v>20007</v>
      </c>
      <c r="F106" s="13">
        <v>2</v>
      </c>
      <c r="G106" s="9">
        <v>54.228610992431641</v>
      </c>
      <c r="H106" s="12">
        <v>39814</v>
      </c>
      <c r="I106" s="9">
        <v>1</v>
      </c>
      <c r="J106" s="12">
        <v>39814</v>
      </c>
      <c r="K106" s="9">
        <v>0</v>
      </c>
      <c r="L106" s="9">
        <v>1</v>
      </c>
      <c r="M106" s="10" t="s">
        <v>401</v>
      </c>
      <c r="N106" s="9">
        <v>1</v>
      </c>
      <c r="O106" s="10" t="s">
        <v>401</v>
      </c>
      <c r="P106" s="9">
        <v>1</v>
      </c>
      <c r="Q106" s="10" t="s">
        <v>401</v>
      </c>
      <c r="R106" s="12">
        <v>40360</v>
      </c>
      <c r="S106" s="10" t="s">
        <v>146</v>
      </c>
      <c r="T106" s="9"/>
      <c r="U106" s="10" t="s">
        <v>401</v>
      </c>
      <c r="V106" s="10" t="s">
        <v>401</v>
      </c>
      <c r="W106" s="9"/>
      <c r="X106" s="9"/>
      <c r="Y106" s="9">
        <v>2</v>
      </c>
      <c r="Z106" s="14">
        <v>2</v>
      </c>
      <c r="AA106" s="34">
        <v>12.1</v>
      </c>
      <c r="AB106" s="14">
        <v>85</v>
      </c>
      <c r="AC106" s="14">
        <v>13</v>
      </c>
      <c r="AD106" s="9">
        <v>1</v>
      </c>
      <c r="AE106" s="9">
        <v>1</v>
      </c>
      <c r="AF106" s="9">
        <v>1</v>
      </c>
      <c r="AG106" s="9">
        <v>1</v>
      </c>
      <c r="AH106" s="9">
        <v>1</v>
      </c>
      <c r="AI106" s="9">
        <v>1</v>
      </c>
      <c r="AJ106" s="12">
        <v>42914</v>
      </c>
      <c r="AK106" s="9">
        <v>2</v>
      </c>
      <c r="AL106" s="12">
        <v>43556</v>
      </c>
      <c r="AM106" s="9">
        <v>3</v>
      </c>
      <c r="AN106" s="12">
        <v>42921</v>
      </c>
      <c r="AO106" s="12">
        <v>43556</v>
      </c>
      <c r="AP106" s="12">
        <v>43556</v>
      </c>
      <c r="AQ106" s="9">
        <v>1</v>
      </c>
      <c r="AR106" s="9">
        <f t="shared" si="30"/>
        <v>1</v>
      </c>
      <c r="AS106" s="9">
        <v>1</v>
      </c>
      <c r="AT106" s="9">
        <v>2</v>
      </c>
      <c r="AU106" s="9">
        <v>1</v>
      </c>
      <c r="AV106" s="9">
        <f t="shared" si="31"/>
        <v>0</v>
      </c>
      <c r="AW106" s="12">
        <v>44945</v>
      </c>
      <c r="AX106" s="9">
        <v>2280</v>
      </c>
      <c r="AY106" s="9">
        <v>1500</v>
      </c>
      <c r="AZ106" s="9">
        <v>600</v>
      </c>
      <c r="BA106" s="9">
        <v>1500</v>
      </c>
      <c r="BB106" s="9">
        <v>600.00006103515625</v>
      </c>
      <c r="BC106" s="9">
        <v>94000</v>
      </c>
      <c r="BD106" s="9">
        <v>100</v>
      </c>
      <c r="BE106" s="9">
        <v>0</v>
      </c>
      <c r="BF106" s="9"/>
      <c r="BG106" s="9">
        <v>1950</v>
      </c>
      <c r="BH106" s="9">
        <v>1100</v>
      </c>
      <c r="BI106" s="9"/>
      <c r="BJ106" s="9">
        <v>117000</v>
      </c>
      <c r="BK106" s="9"/>
      <c r="BL106" s="9"/>
      <c r="BM106" s="9"/>
      <c r="BN106" s="9"/>
      <c r="BO106" s="9"/>
      <c r="BP106" s="9"/>
      <c r="BQ106" s="9">
        <v>115000</v>
      </c>
      <c r="BR106" s="9"/>
      <c r="BS106" s="9"/>
      <c r="BT106" s="9"/>
      <c r="BU106" s="9"/>
      <c r="BV106" s="9"/>
      <c r="BW106" s="9"/>
      <c r="BX106" s="9"/>
      <c r="BY106" s="9"/>
      <c r="BZ106" s="10" t="s">
        <v>401</v>
      </c>
      <c r="CA106" s="9"/>
      <c r="CB106" s="9"/>
      <c r="CC106" s="10">
        <f t="shared" si="32"/>
        <v>2.4999997456868748</v>
      </c>
      <c r="CD106" s="10">
        <f t="shared" si="33"/>
        <v>156.66665072971082</v>
      </c>
      <c r="CE106" s="10">
        <f t="shared" si="44"/>
        <v>234999.97609456623</v>
      </c>
      <c r="CF106" s="10">
        <f t="shared" si="26"/>
        <v>1</v>
      </c>
      <c r="CG106" s="10">
        <f t="shared" si="27"/>
        <v>0</v>
      </c>
      <c r="CH106" s="10">
        <f t="shared" si="28"/>
        <v>22</v>
      </c>
      <c r="CI106" s="9">
        <f t="shared" si="34"/>
        <v>0</v>
      </c>
      <c r="CJ106" s="10">
        <f t="shared" si="29"/>
        <v>67</v>
      </c>
      <c r="CK106" s="10" t="b">
        <f t="shared" si="35"/>
        <v>1</v>
      </c>
      <c r="CL106" s="10" t="b">
        <f t="shared" si="36"/>
        <v>1</v>
      </c>
      <c r="CM106" s="10" t="b">
        <f t="shared" si="37"/>
        <v>1</v>
      </c>
      <c r="CN106" s="9">
        <f t="shared" si="38"/>
        <v>1</v>
      </c>
      <c r="CO106" s="10">
        <f t="shared" si="45"/>
        <v>22</v>
      </c>
      <c r="CP106" s="10" t="b">
        <f t="shared" si="39"/>
        <v>1</v>
      </c>
      <c r="CQ106" s="10" t="b">
        <f t="shared" si="40"/>
        <v>1</v>
      </c>
      <c r="CR106" s="10" cm="1">
        <f t="array" ref="CR106">_xlfn.IFS(AND($CI106=0, CK106=FALSE), NA(), AND($CI106=1, CK106=FALSE), 0, CK106=TRUE, 1)</f>
        <v>1</v>
      </c>
      <c r="CS106" s="10" cm="1">
        <f t="array" ref="CS106">_xlfn.IFS(AND($CI106=0, CL106=FALSE), NA(), AND($CI106=1, CL106=FALSE), 0, CL106=TRUE, 1)</f>
        <v>1</v>
      </c>
      <c r="CT106" s="10" cm="1">
        <f t="array" ref="CT106">_xlfn.IFS(AND($CI106=0, CM106=FALSE), NA(), AND($CI106=1, CM106=FALSE), 0, CM106=TRUE, 1)</f>
        <v>1</v>
      </c>
      <c r="CU106" s="10" cm="1">
        <f t="array" ref="CU106">_xlfn.IFS(AND($CN106=0, CP106=FALSE), NA(), AND($CN106=1, CP106=FALSE), 0, CP106=TRUE, 1)</f>
        <v>1</v>
      </c>
      <c r="CV106" s="10" cm="1">
        <f t="array" ref="CV106">_xlfn.IFS(AND($CN106=0, CQ106=FALSE), NA(), AND($CN106=1, CQ106=FALSE), 0, CQ106=TRUE, 1)</f>
        <v>1</v>
      </c>
    </row>
    <row r="107" spans="1:100" ht="15.75" x14ac:dyDescent="0.25">
      <c r="A107" s="8">
        <v>106</v>
      </c>
      <c r="B107" s="9">
        <v>363</v>
      </c>
      <c r="C107" s="10" t="s">
        <v>28</v>
      </c>
      <c r="D107" s="11" t="s">
        <v>85</v>
      </c>
      <c r="E107" s="12">
        <v>13881</v>
      </c>
      <c r="F107" s="13">
        <v>1</v>
      </c>
      <c r="G107" s="9">
        <v>71.000686645507813</v>
      </c>
      <c r="H107" s="12">
        <v>39814</v>
      </c>
      <c r="I107" s="9">
        <v>1</v>
      </c>
      <c r="J107" s="12">
        <v>39967</v>
      </c>
      <c r="K107" s="9">
        <v>1</v>
      </c>
      <c r="L107" s="9">
        <v>1</v>
      </c>
      <c r="M107" s="10" t="s">
        <v>401</v>
      </c>
      <c r="N107" s="9">
        <v>2</v>
      </c>
      <c r="O107" s="10" t="s">
        <v>145</v>
      </c>
      <c r="P107" s="9">
        <v>2</v>
      </c>
      <c r="Q107" s="10" t="s">
        <v>145</v>
      </c>
      <c r="R107" s="12">
        <v>39814</v>
      </c>
      <c r="S107" s="10" t="s">
        <v>145</v>
      </c>
      <c r="T107" s="9"/>
      <c r="U107" s="10" t="s">
        <v>401</v>
      </c>
      <c r="V107" s="10" t="s">
        <v>401</v>
      </c>
      <c r="W107" s="9"/>
      <c r="X107" s="9"/>
      <c r="Y107" s="9">
        <v>2</v>
      </c>
      <c r="Z107" s="14">
        <v>1</v>
      </c>
      <c r="AA107" s="15">
        <v>14.3</v>
      </c>
      <c r="AB107" s="16">
        <v>95</v>
      </c>
      <c r="AC107" s="16">
        <v>13</v>
      </c>
      <c r="AD107" s="9">
        <v>2</v>
      </c>
      <c r="AE107" s="9">
        <v>2</v>
      </c>
      <c r="AF107" s="9">
        <v>1</v>
      </c>
      <c r="AG107" s="9">
        <v>0</v>
      </c>
      <c r="AH107" s="9">
        <v>1</v>
      </c>
      <c r="AI107" s="9">
        <v>0</v>
      </c>
      <c r="AJ107" s="12">
        <v>43096</v>
      </c>
      <c r="AK107" s="9">
        <v>2</v>
      </c>
      <c r="AL107" s="12">
        <v>44217</v>
      </c>
      <c r="AM107" s="9">
        <v>2</v>
      </c>
      <c r="AN107" s="12">
        <v>43356</v>
      </c>
      <c r="AO107" s="12">
        <v>43789</v>
      </c>
      <c r="AP107" s="12">
        <v>44215</v>
      </c>
      <c r="AQ107" s="9">
        <v>1</v>
      </c>
      <c r="AR107" s="9">
        <f t="shared" si="30"/>
        <v>1</v>
      </c>
      <c r="AS107" s="9">
        <v>1</v>
      </c>
      <c r="AT107" s="9">
        <v>1</v>
      </c>
      <c r="AU107" s="9">
        <v>1</v>
      </c>
      <c r="AV107" s="9">
        <f t="shared" si="31"/>
        <v>0</v>
      </c>
      <c r="AW107" s="12">
        <v>44935</v>
      </c>
      <c r="AX107" s="9">
        <v>5630</v>
      </c>
      <c r="AY107" s="9">
        <v>3590</v>
      </c>
      <c r="AZ107" s="9">
        <v>1530</v>
      </c>
      <c r="BA107" s="9">
        <v>3590</v>
      </c>
      <c r="BB107" s="9">
        <v>1530.0001220703125</v>
      </c>
      <c r="BC107" s="9">
        <v>180000</v>
      </c>
      <c r="BD107" s="9">
        <v>290</v>
      </c>
      <c r="BE107" s="9">
        <v>110</v>
      </c>
      <c r="BF107" s="9">
        <v>383</v>
      </c>
      <c r="BG107" s="9">
        <v>5930</v>
      </c>
      <c r="BH107" s="9">
        <v>3520</v>
      </c>
      <c r="BI107" s="9">
        <v>1670</v>
      </c>
      <c r="BJ107" s="9">
        <v>172000</v>
      </c>
      <c r="BK107" s="9">
        <v>400</v>
      </c>
      <c r="BL107" s="9">
        <v>210</v>
      </c>
      <c r="BM107" s="9">
        <v>377</v>
      </c>
      <c r="BN107" s="9">
        <v>5440</v>
      </c>
      <c r="BO107" s="9">
        <v>3200</v>
      </c>
      <c r="BP107" s="9">
        <v>1640</v>
      </c>
      <c r="BQ107" s="9">
        <v>167000</v>
      </c>
      <c r="BR107" s="9">
        <v>330</v>
      </c>
      <c r="BS107" s="9">
        <v>150</v>
      </c>
      <c r="BT107" s="9">
        <v>370</v>
      </c>
      <c r="BU107" s="9">
        <v>5920</v>
      </c>
      <c r="BV107" s="9">
        <v>3850</v>
      </c>
      <c r="BW107" s="9">
        <v>1530</v>
      </c>
      <c r="BX107" s="9">
        <v>163000</v>
      </c>
      <c r="BY107" s="9">
        <v>320</v>
      </c>
      <c r="BZ107" s="10" t="s">
        <v>527</v>
      </c>
      <c r="CA107" s="9">
        <v>120</v>
      </c>
      <c r="CB107" s="9">
        <v>341</v>
      </c>
      <c r="CC107" s="10">
        <f t="shared" si="32"/>
        <v>2.3464050415513746</v>
      </c>
      <c r="CD107" s="10">
        <f t="shared" si="33"/>
        <v>117.64704943711628</v>
      </c>
      <c r="CE107" s="10">
        <f t="shared" si="44"/>
        <v>422352.90747924743</v>
      </c>
      <c r="CF107" s="10">
        <f t="shared" si="26"/>
        <v>1</v>
      </c>
      <c r="CG107" s="10">
        <f t="shared" si="27"/>
        <v>1</v>
      </c>
      <c r="CH107" s="10">
        <f t="shared" si="28"/>
        <v>37</v>
      </c>
      <c r="CI107" s="9">
        <f t="shared" si="34"/>
        <v>0</v>
      </c>
      <c r="CJ107" s="10">
        <f t="shared" si="29"/>
        <v>61</v>
      </c>
      <c r="CK107" s="10" t="b">
        <f t="shared" si="35"/>
        <v>1</v>
      </c>
      <c r="CL107" s="10" t="b">
        <f t="shared" si="36"/>
        <v>1</v>
      </c>
      <c r="CM107" s="10" t="b">
        <f t="shared" si="37"/>
        <v>1</v>
      </c>
      <c r="CN107" s="9">
        <f t="shared" si="38"/>
        <v>1</v>
      </c>
      <c r="CO107" s="10">
        <f t="shared" si="45"/>
        <v>23</v>
      </c>
      <c r="CP107" s="10" t="b">
        <f t="shared" si="39"/>
        <v>1</v>
      </c>
      <c r="CQ107" s="10" t="b">
        <f t="shared" si="40"/>
        <v>1</v>
      </c>
      <c r="CR107" s="10" cm="1">
        <f t="array" ref="CR107">_xlfn.IFS(AND($CI107=0, CK107=FALSE), NA(), AND($CI107=1, CK107=FALSE), 0, CK107=TRUE, 1)</f>
        <v>1</v>
      </c>
      <c r="CS107" s="10" cm="1">
        <f t="array" ref="CS107">_xlfn.IFS(AND($CI107=0, CL107=FALSE), NA(), AND($CI107=1, CL107=FALSE), 0, CL107=TRUE, 1)</f>
        <v>1</v>
      </c>
      <c r="CT107" s="10" cm="1">
        <f t="array" ref="CT107">_xlfn.IFS(AND($CI107=0, CM107=FALSE), NA(), AND($CI107=1, CM107=FALSE), 0, CM107=TRUE, 1)</f>
        <v>1</v>
      </c>
      <c r="CU107" s="10" cm="1">
        <f t="array" ref="CU107">_xlfn.IFS(AND($CN107=0, CP107=FALSE), NA(), AND($CN107=1, CP107=FALSE), 0, CP107=TRUE, 1)</f>
        <v>1</v>
      </c>
      <c r="CV107" s="10" cm="1">
        <f t="array" ref="CV107">_xlfn.IFS(AND($CN107=0, CQ107=FALSE), NA(), AND($CN107=1, CQ107=FALSE), 0, CQ107=TRUE, 1)</f>
        <v>1</v>
      </c>
    </row>
    <row r="108" spans="1:100" ht="15.75" x14ac:dyDescent="0.25">
      <c r="A108" s="8">
        <v>107</v>
      </c>
      <c r="B108" s="9">
        <v>372</v>
      </c>
      <c r="C108" s="10" t="s">
        <v>28</v>
      </c>
      <c r="D108" s="11" t="s">
        <v>292</v>
      </c>
      <c r="E108" s="12">
        <v>18519</v>
      </c>
      <c r="F108" s="13">
        <v>2</v>
      </c>
      <c r="G108" s="9">
        <v>58.321697235107422</v>
      </c>
      <c r="H108" s="12">
        <v>39821</v>
      </c>
      <c r="I108" s="9">
        <v>1</v>
      </c>
      <c r="J108" s="12">
        <v>39828</v>
      </c>
      <c r="K108" s="9">
        <v>0</v>
      </c>
      <c r="L108" s="9">
        <v>1</v>
      </c>
      <c r="M108" s="10" t="s">
        <v>401</v>
      </c>
      <c r="N108" s="9">
        <v>1</v>
      </c>
      <c r="O108" s="10" t="s">
        <v>401</v>
      </c>
      <c r="P108" s="9">
        <v>1</v>
      </c>
      <c r="Q108" s="10" t="s">
        <v>401</v>
      </c>
      <c r="R108" s="12">
        <v>41822</v>
      </c>
      <c r="S108" s="10" t="s">
        <v>145</v>
      </c>
      <c r="T108" s="9">
        <v>5</v>
      </c>
      <c r="U108" s="10" t="s">
        <v>401</v>
      </c>
      <c r="V108" s="10" t="s">
        <v>401</v>
      </c>
      <c r="W108" s="9"/>
      <c r="X108" s="9"/>
      <c r="Y108" s="9">
        <v>3</v>
      </c>
      <c r="Z108" s="14">
        <v>1</v>
      </c>
      <c r="AA108" s="21">
        <v>13.3</v>
      </c>
      <c r="AB108" s="22">
        <v>97</v>
      </c>
      <c r="AC108" s="22">
        <v>14</v>
      </c>
      <c r="AD108" s="9">
        <v>1</v>
      </c>
      <c r="AE108" s="9">
        <v>1</v>
      </c>
      <c r="AF108" s="9">
        <v>1</v>
      </c>
      <c r="AG108" s="9">
        <v>1</v>
      </c>
      <c r="AH108" s="9">
        <v>1</v>
      </c>
      <c r="AI108" s="9">
        <v>0</v>
      </c>
      <c r="AJ108" s="12">
        <v>42521</v>
      </c>
      <c r="AK108" s="9">
        <v>2</v>
      </c>
      <c r="AL108" s="12">
        <v>44765</v>
      </c>
      <c r="AM108" s="9">
        <v>2</v>
      </c>
      <c r="AN108" s="12">
        <v>42975</v>
      </c>
      <c r="AO108" s="12">
        <v>43916</v>
      </c>
      <c r="AP108" s="12">
        <v>44364</v>
      </c>
      <c r="AQ108" s="9">
        <v>1</v>
      </c>
      <c r="AR108" s="9">
        <f t="shared" si="30"/>
        <v>1</v>
      </c>
      <c r="AS108" s="9">
        <v>1</v>
      </c>
      <c r="AT108" s="9">
        <v>1</v>
      </c>
      <c r="AU108" s="9">
        <v>1</v>
      </c>
      <c r="AV108" s="9">
        <f t="shared" si="31"/>
        <v>0</v>
      </c>
      <c r="AW108" s="12">
        <v>44910</v>
      </c>
      <c r="AX108" s="9">
        <v>6430</v>
      </c>
      <c r="AY108" s="9">
        <v>3990</v>
      </c>
      <c r="AZ108" s="9">
        <v>1440</v>
      </c>
      <c r="BA108" s="9">
        <v>3990</v>
      </c>
      <c r="BB108" s="9">
        <v>1440.0001220703125</v>
      </c>
      <c r="BC108" s="9">
        <v>159000</v>
      </c>
      <c r="BD108" s="9">
        <v>360</v>
      </c>
      <c r="BE108" s="9">
        <v>510</v>
      </c>
      <c r="BF108" s="9">
        <v>456</v>
      </c>
      <c r="BG108" s="9">
        <v>6880</v>
      </c>
      <c r="BH108" s="9">
        <v>4550</v>
      </c>
      <c r="BI108" s="9">
        <v>1530</v>
      </c>
      <c r="BJ108" s="9">
        <v>162000</v>
      </c>
      <c r="BK108" s="9">
        <v>450</v>
      </c>
      <c r="BL108" s="9">
        <v>160</v>
      </c>
      <c r="BM108" s="9">
        <v>430</v>
      </c>
      <c r="BN108" s="9">
        <v>6000</v>
      </c>
      <c r="BO108" s="9">
        <v>3590</v>
      </c>
      <c r="BP108" s="9">
        <v>1550</v>
      </c>
      <c r="BQ108" s="9">
        <v>172000</v>
      </c>
      <c r="BR108" s="9">
        <v>480</v>
      </c>
      <c r="BS108" s="9">
        <v>250</v>
      </c>
      <c r="BT108" s="9">
        <v>412</v>
      </c>
      <c r="BU108" s="9">
        <v>6490</v>
      </c>
      <c r="BV108" s="9">
        <v>3930</v>
      </c>
      <c r="BW108" s="9">
        <v>1640</v>
      </c>
      <c r="BX108" s="9">
        <v>191000</v>
      </c>
      <c r="BY108" s="9">
        <v>490</v>
      </c>
      <c r="BZ108" s="10" t="s">
        <v>555</v>
      </c>
      <c r="CA108" s="9">
        <v>230</v>
      </c>
      <c r="CB108" s="9">
        <v>414</v>
      </c>
      <c r="CC108" s="10">
        <f t="shared" si="32"/>
        <v>2.7708330984469014</v>
      </c>
      <c r="CD108" s="10">
        <f t="shared" si="33"/>
        <v>110.41665730653065</v>
      </c>
      <c r="CE108" s="10">
        <f t="shared" si="44"/>
        <v>440562.4626530573</v>
      </c>
      <c r="CF108" s="10">
        <f t="shared" si="26"/>
        <v>1</v>
      </c>
      <c r="CG108" s="10">
        <f t="shared" si="27"/>
        <v>1</v>
      </c>
      <c r="CH108" s="10">
        <f t="shared" si="28"/>
        <v>74</v>
      </c>
      <c r="CI108" s="9">
        <f t="shared" si="34"/>
        <v>0</v>
      </c>
      <c r="CJ108" s="10">
        <f t="shared" si="29"/>
        <v>79</v>
      </c>
      <c r="CK108" s="10" t="b">
        <f t="shared" si="35"/>
        <v>1</v>
      </c>
      <c r="CL108" s="10" t="b">
        <f t="shared" si="36"/>
        <v>1</v>
      </c>
      <c r="CM108" s="10" t="b">
        <f t="shared" si="37"/>
        <v>1</v>
      </c>
      <c r="CN108" s="9">
        <f t="shared" si="38"/>
        <v>1</v>
      </c>
      <c r="CO108" s="10">
        <f t="shared" si="45"/>
        <v>46</v>
      </c>
      <c r="CP108" s="10" t="b">
        <f t="shared" si="39"/>
        <v>1</v>
      </c>
      <c r="CQ108" s="10" t="b">
        <f t="shared" si="40"/>
        <v>1</v>
      </c>
      <c r="CR108" s="10" cm="1">
        <f t="array" ref="CR108">_xlfn.IFS(AND($CI108=0, CK108=FALSE), NA(), AND($CI108=1, CK108=FALSE), 0, CK108=TRUE, 1)</f>
        <v>1</v>
      </c>
      <c r="CS108" s="10" cm="1">
        <f t="array" ref="CS108">_xlfn.IFS(AND($CI108=0, CL108=FALSE), NA(), AND($CI108=1, CL108=FALSE), 0, CL108=TRUE, 1)</f>
        <v>1</v>
      </c>
      <c r="CT108" s="10" cm="1">
        <f t="array" ref="CT108">_xlfn.IFS(AND($CI108=0, CM108=FALSE), NA(), AND($CI108=1, CM108=FALSE), 0, CM108=TRUE, 1)</f>
        <v>1</v>
      </c>
      <c r="CU108" s="10" cm="1">
        <f t="array" ref="CU108">_xlfn.IFS(AND($CN108=0, CP108=FALSE), NA(), AND($CN108=1, CP108=FALSE), 0, CP108=TRUE, 1)</f>
        <v>1</v>
      </c>
      <c r="CV108" s="10" cm="1">
        <f t="array" ref="CV108">_xlfn.IFS(AND($CN108=0, CQ108=FALSE), NA(), AND($CN108=1, CQ108=FALSE), 0, CQ108=TRUE, 1)</f>
        <v>1</v>
      </c>
    </row>
    <row r="109" spans="1:100" ht="15.75" x14ac:dyDescent="0.25">
      <c r="A109" s="8">
        <v>108</v>
      </c>
      <c r="B109" s="9">
        <v>215</v>
      </c>
      <c r="C109" s="10" t="s">
        <v>19</v>
      </c>
      <c r="D109" s="11" t="s">
        <v>215</v>
      </c>
      <c r="E109" s="12">
        <v>19215</v>
      </c>
      <c r="F109" s="13">
        <v>1</v>
      </c>
      <c r="G109" s="9">
        <v>56.520191192626953</v>
      </c>
      <c r="H109" s="12">
        <v>39859</v>
      </c>
      <c r="I109" s="9">
        <v>1</v>
      </c>
      <c r="J109" s="12">
        <v>39859</v>
      </c>
      <c r="K109" s="9">
        <v>0</v>
      </c>
      <c r="L109" s="9">
        <v>1</v>
      </c>
      <c r="M109" s="10" t="s">
        <v>401</v>
      </c>
      <c r="N109" s="9">
        <v>1</v>
      </c>
      <c r="O109" s="10" t="s">
        <v>401</v>
      </c>
      <c r="P109" s="9">
        <v>1</v>
      </c>
      <c r="Q109" s="10" t="s">
        <v>401</v>
      </c>
      <c r="R109" s="12">
        <v>40848</v>
      </c>
      <c r="S109" s="10" t="s">
        <v>145</v>
      </c>
      <c r="T109" s="9">
        <v>5</v>
      </c>
      <c r="U109" s="10" t="s">
        <v>147</v>
      </c>
      <c r="V109" s="10" t="s">
        <v>401</v>
      </c>
      <c r="W109" s="9"/>
      <c r="X109" s="9"/>
      <c r="Y109" s="9">
        <v>4</v>
      </c>
      <c r="Z109" s="14">
        <v>1</v>
      </c>
      <c r="AA109" s="34"/>
      <c r="AB109" s="14"/>
      <c r="AC109" s="14"/>
      <c r="AD109" s="9">
        <v>1</v>
      </c>
      <c r="AE109" s="9">
        <v>1</v>
      </c>
      <c r="AF109" s="9">
        <v>1</v>
      </c>
      <c r="AG109" s="9">
        <v>1</v>
      </c>
      <c r="AH109" s="9">
        <v>1</v>
      </c>
      <c r="AI109" s="9">
        <v>0</v>
      </c>
      <c r="AJ109" s="12">
        <v>43033</v>
      </c>
      <c r="AK109" s="9">
        <v>2</v>
      </c>
      <c r="AL109" s="12">
        <v>43269</v>
      </c>
      <c r="AM109" s="9">
        <v>3</v>
      </c>
      <c r="AN109" s="12">
        <v>43223</v>
      </c>
      <c r="AO109" s="12">
        <v>43314</v>
      </c>
      <c r="AP109" s="12">
        <v>43314</v>
      </c>
      <c r="AQ109" s="9">
        <v>1</v>
      </c>
      <c r="AR109" s="9">
        <f t="shared" si="30"/>
        <v>1</v>
      </c>
      <c r="AS109" s="9">
        <v>1</v>
      </c>
      <c r="AT109" s="9">
        <v>2</v>
      </c>
      <c r="AU109" s="9">
        <v>2</v>
      </c>
      <c r="AV109" s="9">
        <f t="shared" si="31"/>
        <v>1</v>
      </c>
      <c r="AW109" s="12">
        <v>43319</v>
      </c>
      <c r="AX109" s="9"/>
      <c r="AY109" s="9"/>
      <c r="AZ109" s="9"/>
      <c r="BA109" s="9">
        <v>4585.447265625</v>
      </c>
      <c r="BB109" s="9">
        <v>1616.85693359375</v>
      </c>
      <c r="BC109" s="9"/>
      <c r="BD109" s="9"/>
      <c r="BE109" s="9"/>
      <c r="BF109" s="9"/>
      <c r="BG109" s="9">
        <v>6900</v>
      </c>
      <c r="BH109" s="9">
        <v>4500</v>
      </c>
      <c r="BI109" s="9">
        <v>1100</v>
      </c>
      <c r="BJ109" s="9">
        <v>205000</v>
      </c>
      <c r="BK109" s="9">
        <v>700</v>
      </c>
      <c r="BL109" s="9">
        <v>200</v>
      </c>
      <c r="BM109" s="9">
        <v>306</v>
      </c>
      <c r="BN109" s="9">
        <v>7190</v>
      </c>
      <c r="BO109" s="9">
        <v>4800</v>
      </c>
      <c r="BP109" s="9">
        <v>1300</v>
      </c>
      <c r="BQ109" s="9">
        <v>180000</v>
      </c>
      <c r="BR109" s="9">
        <v>700</v>
      </c>
      <c r="BS109" s="9">
        <v>100</v>
      </c>
      <c r="BT109" s="9">
        <v>301</v>
      </c>
      <c r="BU109" s="9">
        <v>6780</v>
      </c>
      <c r="BV109" s="9">
        <v>4700</v>
      </c>
      <c r="BW109" s="9">
        <v>1100</v>
      </c>
      <c r="BX109" s="9">
        <v>213000</v>
      </c>
      <c r="BY109" s="9">
        <v>700</v>
      </c>
      <c r="BZ109" s="10" t="s">
        <v>442</v>
      </c>
      <c r="CA109" s="9">
        <v>0</v>
      </c>
      <c r="CB109" s="9">
        <v>258</v>
      </c>
      <c r="CC109" s="10">
        <f t="shared" si="32"/>
        <v>2.8360253590483322</v>
      </c>
      <c r="CF109" s="10">
        <f t="shared" si="26"/>
        <v>1</v>
      </c>
      <c r="CG109" s="10">
        <f t="shared" si="27"/>
        <v>0</v>
      </c>
      <c r="CH109" s="10">
        <f t="shared" si="28"/>
        <v>8</v>
      </c>
      <c r="CI109" s="9">
        <f t="shared" si="34"/>
        <v>1</v>
      </c>
      <c r="CJ109" s="10">
        <f t="shared" si="29"/>
        <v>10</v>
      </c>
      <c r="CK109" s="10" t="b">
        <f t="shared" si="35"/>
        <v>1</v>
      </c>
      <c r="CL109" s="10" t="b">
        <f t="shared" si="36"/>
        <v>0</v>
      </c>
      <c r="CM109" s="10" t="b">
        <f t="shared" si="37"/>
        <v>0</v>
      </c>
      <c r="CN109" s="9">
        <f t="shared" si="38"/>
        <v>1</v>
      </c>
      <c r="CO109" s="10">
        <f t="shared" si="45"/>
        <v>10</v>
      </c>
      <c r="CP109" s="10" t="b">
        <f t="shared" si="39"/>
        <v>1</v>
      </c>
      <c r="CQ109" s="10" t="b">
        <f t="shared" si="40"/>
        <v>1</v>
      </c>
      <c r="CR109" s="10" cm="1">
        <f t="array" ref="CR109">_xlfn.IFS(AND($CI109=0, CK109=FALSE), NA(), AND($CI109=1, CK109=FALSE), 0, CK109=TRUE, 1)</f>
        <v>1</v>
      </c>
      <c r="CS109" s="10" cm="1">
        <f t="array" ref="CS109">_xlfn.IFS(AND($CI109=0, CL109=FALSE), NA(), AND($CI109=1, CL109=FALSE), 0, CL109=TRUE, 1)</f>
        <v>0</v>
      </c>
      <c r="CT109" s="10" cm="1">
        <f t="array" ref="CT109">_xlfn.IFS(AND($CI109=0, CM109=FALSE), NA(), AND($CI109=1, CM109=FALSE), 0, CM109=TRUE, 1)</f>
        <v>0</v>
      </c>
      <c r="CU109" s="10" cm="1">
        <f t="array" ref="CU109">_xlfn.IFS(AND($CN109=0, CP109=FALSE), NA(), AND($CN109=1, CP109=FALSE), 0, CP109=TRUE, 1)</f>
        <v>1</v>
      </c>
      <c r="CV109" s="10" cm="1">
        <f t="array" ref="CV109">_xlfn.IFS(AND($CN109=0, CQ109=FALSE), NA(), AND($CN109=1, CQ109=FALSE), 0, CQ109=TRUE, 1)</f>
        <v>1</v>
      </c>
    </row>
    <row r="110" spans="1:100" ht="15.75" x14ac:dyDescent="0.25">
      <c r="A110" s="8">
        <v>109</v>
      </c>
      <c r="B110" s="9">
        <v>4</v>
      </c>
      <c r="C110" s="10" t="s">
        <v>3</v>
      </c>
      <c r="D110" s="11" t="s">
        <v>40</v>
      </c>
      <c r="E110" s="12">
        <v>22410</v>
      </c>
      <c r="F110" s="13">
        <v>1</v>
      </c>
      <c r="G110" s="9">
        <v>47.895961761474609</v>
      </c>
      <c r="H110" s="12">
        <v>39904</v>
      </c>
      <c r="I110" s="9">
        <v>1</v>
      </c>
      <c r="J110" s="12">
        <v>39904</v>
      </c>
      <c r="K110" s="9">
        <v>0</v>
      </c>
      <c r="L110" s="9">
        <v>1</v>
      </c>
      <c r="M110" s="10" t="s">
        <v>401</v>
      </c>
      <c r="N110" s="9">
        <v>1</v>
      </c>
      <c r="O110" s="10" t="s">
        <v>401</v>
      </c>
      <c r="P110" s="9">
        <v>1</v>
      </c>
      <c r="Q110" s="10" t="s">
        <v>401</v>
      </c>
      <c r="R110" s="12">
        <v>42125</v>
      </c>
      <c r="S110" s="10" t="s">
        <v>146</v>
      </c>
      <c r="T110" s="9"/>
      <c r="U110" s="10" t="s">
        <v>401</v>
      </c>
      <c r="V110" s="10" t="s">
        <v>401</v>
      </c>
      <c r="W110" s="9"/>
      <c r="X110" s="9"/>
      <c r="Y110" s="9">
        <v>2</v>
      </c>
      <c r="Z110" s="14">
        <v>2</v>
      </c>
      <c r="AA110" s="15">
        <v>13.7</v>
      </c>
      <c r="AB110" s="16">
        <v>102.1</v>
      </c>
      <c r="AC110" s="9"/>
      <c r="AD110" s="9">
        <v>1</v>
      </c>
      <c r="AE110" s="9">
        <v>1</v>
      </c>
      <c r="AF110" s="9">
        <v>1</v>
      </c>
      <c r="AG110" s="9">
        <v>1</v>
      </c>
      <c r="AH110" s="9">
        <v>1</v>
      </c>
      <c r="AI110" s="9">
        <v>0</v>
      </c>
      <c r="AJ110" s="12">
        <v>42920</v>
      </c>
      <c r="AK110" s="9">
        <v>2</v>
      </c>
      <c r="AL110" s="12">
        <v>44145</v>
      </c>
      <c r="AM110" s="9">
        <v>2</v>
      </c>
      <c r="AN110" s="12">
        <v>43118</v>
      </c>
      <c r="AO110" s="12"/>
      <c r="AP110" s="12"/>
      <c r="AQ110" s="9">
        <v>2</v>
      </c>
      <c r="AR110" s="9">
        <f t="shared" si="30"/>
        <v>0</v>
      </c>
      <c r="AS110" s="9">
        <v>2</v>
      </c>
      <c r="AT110" s="9"/>
      <c r="AU110" s="9">
        <v>1</v>
      </c>
      <c r="AV110" s="9">
        <f t="shared" si="31"/>
        <v>0</v>
      </c>
      <c r="AW110" s="12">
        <v>44935</v>
      </c>
      <c r="AX110" s="9">
        <v>9190</v>
      </c>
      <c r="AY110" s="9">
        <v>6100</v>
      </c>
      <c r="AZ110" s="9">
        <v>2190</v>
      </c>
      <c r="BA110" s="9">
        <v>6100</v>
      </c>
      <c r="BB110" s="9">
        <v>2189.99951171875</v>
      </c>
      <c r="BC110" s="9">
        <v>241000</v>
      </c>
      <c r="BD110" s="9">
        <v>750</v>
      </c>
      <c r="BE110" s="9">
        <v>110</v>
      </c>
      <c r="BF110" s="9"/>
      <c r="BG110" s="9">
        <v>9530</v>
      </c>
      <c r="BH110" s="9">
        <v>5960</v>
      </c>
      <c r="BI110" s="9">
        <v>2350</v>
      </c>
      <c r="BJ110" s="9">
        <v>251000</v>
      </c>
      <c r="BK110" s="9">
        <v>1030</v>
      </c>
      <c r="BL110" s="9">
        <v>140</v>
      </c>
      <c r="BM110" s="9"/>
      <c r="BN110" s="9">
        <v>7070</v>
      </c>
      <c r="BO110" s="9">
        <v>4300</v>
      </c>
      <c r="BP110" s="9">
        <v>1940</v>
      </c>
      <c r="BQ110" s="9">
        <v>203000</v>
      </c>
      <c r="BR110" s="9">
        <v>690</v>
      </c>
      <c r="BS110" s="9">
        <v>110</v>
      </c>
      <c r="BT110" s="9"/>
      <c r="BU110" s="9">
        <v>7400</v>
      </c>
      <c r="BV110" s="9">
        <v>4190</v>
      </c>
      <c r="BW110" s="9">
        <v>2770</v>
      </c>
      <c r="BX110" s="9">
        <v>220000</v>
      </c>
      <c r="BY110" s="9">
        <v>230</v>
      </c>
      <c r="BZ110" s="10" t="s">
        <v>547</v>
      </c>
      <c r="CA110" s="9">
        <v>180</v>
      </c>
      <c r="CB110" s="9"/>
      <c r="CC110" s="10">
        <f t="shared" si="32"/>
        <v>2.7853887488826943</v>
      </c>
      <c r="CD110" s="10">
        <f t="shared" si="33"/>
        <v>110.04568663618512</v>
      </c>
      <c r="CE110" s="10">
        <f>BC110*CC110</f>
        <v>671278.68848072935</v>
      </c>
      <c r="CF110" s="10">
        <f t="shared" si="26"/>
        <v>1</v>
      </c>
      <c r="CG110" s="10">
        <f t="shared" si="27"/>
        <v>1</v>
      </c>
      <c r="CH110" s="10">
        <f t="shared" si="28"/>
        <v>40</v>
      </c>
      <c r="CI110" s="9">
        <f t="shared" si="34"/>
        <v>0</v>
      </c>
      <c r="CJ110" s="10">
        <f t="shared" si="29"/>
        <v>66</v>
      </c>
      <c r="CK110" s="10" t="b">
        <f t="shared" si="35"/>
        <v>1</v>
      </c>
      <c r="CL110" s="10" t="b">
        <f t="shared" si="36"/>
        <v>1</v>
      </c>
      <c r="CM110" s="10" t="b">
        <f t="shared" si="37"/>
        <v>1</v>
      </c>
      <c r="CN110" s="9">
        <f t="shared" si="38"/>
        <v>0</v>
      </c>
      <c r="CO110" s="10">
        <f>CJ110</f>
        <v>66</v>
      </c>
      <c r="CP110" s="10" t="b">
        <f t="shared" si="39"/>
        <v>1</v>
      </c>
      <c r="CQ110" s="10" t="b">
        <f t="shared" si="40"/>
        <v>1</v>
      </c>
      <c r="CR110" s="10" cm="1">
        <f t="array" ref="CR110">_xlfn.IFS(AND($CI110=0, CK110=FALSE), NA(), AND($CI110=1, CK110=FALSE), 0, CK110=TRUE, 1)</f>
        <v>1</v>
      </c>
      <c r="CS110" s="10" cm="1">
        <f t="array" ref="CS110">_xlfn.IFS(AND($CI110=0, CL110=FALSE), NA(), AND($CI110=1, CL110=FALSE), 0, CL110=TRUE, 1)</f>
        <v>1</v>
      </c>
      <c r="CT110" s="10" cm="1">
        <f t="array" ref="CT110">_xlfn.IFS(AND($CI110=0, CM110=FALSE), NA(), AND($CI110=1, CM110=FALSE), 0, CM110=TRUE, 1)</f>
        <v>1</v>
      </c>
      <c r="CU110" s="10" cm="1">
        <f t="array" ref="CU110">_xlfn.IFS(AND($CN110=0, CP110=FALSE), NA(), AND($CN110=1, CP110=FALSE), 0, CP110=TRUE, 1)</f>
        <v>1</v>
      </c>
      <c r="CV110" s="10" cm="1">
        <f t="array" ref="CV110">_xlfn.IFS(AND($CN110=0, CQ110=FALSE), NA(), AND($CN110=1, CQ110=FALSE), 0, CQ110=TRUE, 1)</f>
        <v>1</v>
      </c>
    </row>
    <row r="111" spans="1:100" ht="15.75" x14ac:dyDescent="0.25">
      <c r="A111" s="8">
        <v>110</v>
      </c>
      <c r="B111" s="9">
        <v>498</v>
      </c>
      <c r="C111" s="10" t="s">
        <v>33</v>
      </c>
      <c r="D111" s="11" t="s">
        <v>49</v>
      </c>
      <c r="E111" s="12">
        <v>22139</v>
      </c>
      <c r="F111" s="13">
        <v>2</v>
      </c>
      <c r="G111" s="9">
        <v>48.657085418701172</v>
      </c>
      <c r="H111" s="12">
        <v>39911</v>
      </c>
      <c r="I111" s="9">
        <v>1</v>
      </c>
      <c r="J111" s="12">
        <v>41333</v>
      </c>
      <c r="K111" s="9">
        <v>0</v>
      </c>
      <c r="L111" s="9">
        <v>1</v>
      </c>
      <c r="M111" s="10" t="s">
        <v>401</v>
      </c>
      <c r="N111" s="9"/>
      <c r="O111" s="10" t="s">
        <v>401</v>
      </c>
      <c r="P111" s="9"/>
      <c r="Q111" s="10" t="s">
        <v>401</v>
      </c>
      <c r="R111" s="12">
        <v>41080</v>
      </c>
      <c r="S111" s="10" t="s">
        <v>146</v>
      </c>
      <c r="T111" s="9"/>
      <c r="U111" s="10" t="s">
        <v>401</v>
      </c>
      <c r="V111" s="10" t="s">
        <v>401</v>
      </c>
      <c r="W111" s="9"/>
      <c r="X111" s="9"/>
      <c r="Y111" s="9">
        <v>2</v>
      </c>
      <c r="Z111" s="14">
        <v>2</v>
      </c>
      <c r="AA111" s="15"/>
      <c r="AB111" s="16"/>
      <c r="AC111" s="16"/>
      <c r="AD111" s="9"/>
      <c r="AE111" s="9"/>
      <c r="AF111" s="9"/>
      <c r="AG111" s="9">
        <v>1</v>
      </c>
      <c r="AH111" s="9">
        <v>1</v>
      </c>
      <c r="AI111" s="9">
        <v>1</v>
      </c>
      <c r="AJ111" s="12">
        <v>43206</v>
      </c>
      <c r="AK111" s="9">
        <v>2</v>
      </c>
      <c r="AL111" s="12">
        <v>43279</v>
      </c>
      <c r="AM111" s="9">
        <v>2</v>
      </c>
      <c r="AN111" s="12">
        <v>43250</v>
      </c>
      <c r="AO111" s="12">
        <v>43500</v>
      </c>
      <c r="AP111" s="12">
        <v>43500</v>
      </c>
      <c r="AQ111" s="9">
        <v>1</v>
      </c>
      <c r="AR111" s="9">
        <f t="shared" si="30"/>
        <v>1</v>
      </c>
      <c r="AS111" s="9">
        <v>1</v>
      </c>
      <c r="AT111" s="9">
        <v>2</v>
      </c>
      <c r="AU111" s="9">
        <v>1</v>
      </c>
      <c r="AV111" s="9">
        <f t="shared" si="31"/>
        <v>0</v>
      </c>
      <c r="AW111" s="12">
        <v>44235</v>
      </c>
      <c r="AX111" s="9"/>
      <c r="AY111" s="9"/>
      <c r="AZ111" s="9"/>
      <c r="BA111" s="9">
        <v>5343.31982421875</v>
      </c>
      <c r="BB111" s="9">
        <v>1118.32470703125</v>
      </c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10" t="s">
        <v>401</v>
      </c>
      <c r="CA111" s="9"/>
      <c r="CB111" s="9"/>
      <c r="CC111" s="10">
        <f t="shared" si="32"/>
        <v>4.7779681434414005</v>
      </c>
      <c r="CF111" s="10">
        <f t="shared" si="26"/>
        <v>1</v>
      </c>
      <c r="CG111" s="10">
        <f t="shared" si="27"/>
        <v>1</v>
      </c>
      <c r="CH111" s="10">
        <f t="shared" si="28"/>
        <v>2</v>
      </c>
      <c r="CI111" s="9">
        <f t="shared" si="34"/>
        <v>0</v>
      </c>
      <c r="CJ111" s="10">
        <f t="shared" si="29"/>
        <v>34</v>
      </c>
      <c r="CK111" s="10" t="b">
        <f t="shared" si="35"/>
        <v>1</v>
      </c>
      <c r="CL111" s="10" t="b">
        <f t="shared" si="36"/>
        <v>1</v>
      </c>
      <c r="CM111" s="10" t="b">
        <f t="shared" si="37"/>
        <v>1</v>
      </c>
      <c r="CN111" s="9">
        <f t="shared" si="38"/>
        <v>1</v>
      </c>
      <c r="CO111" s="10">
        <f>(YEAR(AO111)-YEAR(AJ111))*12+MONTH(AO111)-MONTH(AJ111)</f>
        <v>10</v>
      </c>
      <c r="CP111" s="10" t="b">
        <f t="shared" si="39"/>
        <v>1</v>
      </c>
      <c r="CQ111" s="10" t="b">
        <f t="shared" si="40"/>
        <v>1</v>
      </c>
      <c r="CR111" s="10" cm="1">
        <f t="array" ref="CR111">_xlfn.IFS(AND($CI111=0, CK111=FALSE), NA(), AND($CI111=1, CK111=FALSE), 0, CK111=TRUE, 1)</f>
        <v>1</v>
      </c>
      <c r="CS111" s="10" cm="1">
        <f t="array" ref="CS111">_xlfn.IFS(AND($CI111=0, CL111=FALSE), NA(), AND($CI111=1, CL111=FALSE), 0, CL111=TRUE, 1)</f>
        <v>1</v>
      </c>
      <c r="CT111" s="10" cm="1">
        <f t="array" ref="CT111">_xlfn.IFS(AND($CI111=0, CM111=FALSE), NA(), AND($CI111=1, CM111=FALSE), 0, CM111=TRUE, 1)</f>
        <v>1</v>
      </c>
      <c r="CU111" s="10" cm="1">
        <f t="array" ref="CU111">_xlfn.IFS(AND($CN111=0, CP111=FALSE), NA(), AND($CN111=1, CP111=FALSE), 0, CP111=TRUE, 1)</f>
        <v>1</v>
      </c>
      <c r="CV111" s="10" cm="1">
        <f t="array" ref="CV111">_xlfn.IFS(AND($CN111=0, CQ111=FALSE), NA(), AND($CN111=1, CQ111=FALSE), 0, CQ111=TRUE, 1)</f>
        <v>1</v>
      </c>
    </row>
    <row r="112" spans="1:100" ht="15.75" x14ac:dyDescent="0.25">
      <c r="A112" s="8">
        <v>111</v>
      </c>
      <c r="B112" s="9">
        <v>261</v>
      </c>
      <c r="C112" s="10" t="s">
        <v>21</v>
      </c>
      <c r="D112" s="11" t="s">
        <v>51</v>
      </c>
      <c r="E112" s="12">
        <v>24929</v>
      </c>
      <c r="F112" s="13">
        <v>2</v>
      </c>
      <c r="G112" s="9">
        <v>41.056812286376953</v>
      </c>
      <c r="H112" s="12">
        <v>39925</v>
      </c>
      <c r="I112" s="9">
        <v>1</v>
      </c>
      <c r="J112" s="12">
        <v>39953</v>
      </c>
      <c r="K112" s="9">
        <v>0</v>
      </c>
      <c r="L112" s="9">
        <v>1</v>
      </c>
      <c r="M112" s="10" t="s">
        <v>401</v>
      </c>
      <c r="N112" s="9"/>
      <c r="O112" s="10" t="s">
        <v>401</v>
      </c>
      <c r="P112" s="9"/>
      <c r="Q112" s="10" t="s">
        <v>401</v>
      </c>
      <c r="R112" s="12">
        <v>40008</v>
      </c>
      <c r="S112" s="10" t="s">
        <v>145</v>
      </c>
      <c r="T112" s="9"/>
      <c r="U112" s="10" t="s">
        <v>401</v>
      </c>
      <c r="V112" s="10" t="s">
        <v>401</v>
      </c>
      <c r="W112" s="9"/>
      <c r="X112" s="9"/>
      <c r="Y112" s="9">
        <v>2</v>
      </c>
      <c r="Z112" s="14">
        <v>1</v>
      </c>
      <c r="AA112" s="15">
        <v>8.1999999999999993</v>
      </c>
      <c r="AB112" s="16">
        <v>84</v>
      </c>
      <c r="AC112" s="16">
        <v>18</v>
      </c>
      <c r="AD112" s="9">
        <v>2</v>
      </c>
      <c r="AE112" s="9">
        <v>2</v>
      </c>
      <c r="AF112" s="9">
        <v>1</v>
      </c>
      <c r="AG112" s="9">
        <v>1</v>
      </c>
      <c r="AH112" s="9">
        <v>1</v>
      </c>
      <c r="AI112" s="9">
        <v>0</v>
      </c>
      <c r="AJ112" s="12">
        <v>42503</v>
      </c>
      <c r="AK112" s="9">
        <v>2</v>
      </c>
      <c r="AL112" s="12">
        <v>42800</v>
      </c>
      <c r="AM112" s="9">
        <v>3</v>
      </c>
      <c r="AN112" s="12">
        <v>42642</v>
      </c>
      <c r="AO112" s="12">
        <v>42838</v>
      </c>
      <c r="AP112" s="12">
        <v>42838</v>
      </c>
      <c r="AQ112" s="9">
        <v>1</v>
      </c>
      <c r="AR112" s="9">
        <f t="shared" si="30"/>
        <v>1</v>
      </c>
      <c r="AS112" s="9">
        <v>1</v>
      </c>
      <c r="AT112" s="9">
        <v>2</v>
      </c>
      <c r="AU112" s="9">
        <v>2</v>
      </c>
      <c r="AV112" s="9">
        <f t="shared" si="31"/>
        <v>1</v>
      </c>
      <c r="AW112" s="12">
        <v>43418</v>
      </c>
      <c r="AX112" s="9">
        <v>4630</v>
      </c>
      <c r="AY112" s="9">
        <v>2620</v>
      </c>
      <c r="AZ112" s="9">
        <v>1270</v>
      </c>
      <c r="BA112" s="9">
        <v>2620</v>
      </c>
      <c r="BB112" s="9">
        <v>1270.000244140625</v>
      </c>
      <c r="BC112" s="9">
        <v>332000</v>
      </c>
      <c r="BD112" s="9">
        <v>650</v>
      </c>
      <c r="BE112" s="9">
        <v>70</v>
      </c>
      <c r="BF112" s="9">
        <v>162</v>
      </c>
      <c r="BG112" s="9">
        <v>5330</v>
      </c>
      <c r="BH112" s="9">
        <v>2800</v>
      </c>
      <c r="BI112" s="9">
        <v>1590</v>
      </c>
      <c r="BJ112" s="9">
        <v>315000</v>
      </c>
      <c r="BK112" s="9">
        <v>750</v>
      </c>
      <c r="BL112" s="9">
        <v>160</v>
      </c>
      <c r="BM112" s="9">
        <v>155</v>
      </c>
      <c r="BN112" s="9">
        <v>5290</v>
      </c>
      <c r="BO112" s="9">
        <v>2930</v>
      </c>
      <c r="BP112" s="9">
        <v>1430</v>
      </c>
      <c r="BQ112" s="9">
        <v>333000</v>
      </c>
      <c r="BR112" s="9">
        <v>730</v>
      </c>
      <c r="BS112" s="9">
        <v>180</v>
      </c>
      <c r="BT112" s="9">
        <v>150</v>
      </c>
      <c r="BU112" s="9">
        <v>5750</v>
      </c>
      <c r="BV112" s="9">
        <v>3350</v>
      </c>
      <c r="BW112" s="9">
        <v>1440</v>
      </c>
      <c r="BX112" s="9">
        <v>333000</v>
      </c>
      <c r="BY112" s="9">
        <v>720</v>
      </c>
      <c r="BZ112" s="10" t="s">
        <v>524</v>
      </c>
      <c r="CA112" s="9">
        <v>200</v>
      </c>
      <c r="CB112" s="9">
        <v>144</v>
      </c>
      <c r="CC112" s="10">
        <f t="shared" si="32"/>
        <v>2.0629917294015039</v>
      </c>
      <c r="CD112" s="10">
        <f t="shared" si="33"/>
        <v>261.41727258064856</v>
      </c>
      <c r="CE112" s="10">
        <f t="shared" ref="CE112:CE117" si="46">BC112*CC112</f>
        <v>684913.25416129932</v>
      </c>
      <c r="CF112" s="10">
        <f t="shared" si="26"/>
        <v>1</v>
      </c>
      <c r="CG112" s="10">
        <f t="shared" si="27"/>
        <v>0</v>
      </c>
      <c r="CH112" s="10">
        <f t="shared" si="28"/>
        <v>10</v>
      </c>
      <c r="CI112" s="9">
        <f t="shared" si="34"/>
        <v>1</v>
      </c>
      <c r="CJ112" s="10">
        <f t="shared" si="29"/>
        <v>30</v>
      </c>
      <c r="CK112" s="10" t="b">
        <f t="shared" si="35"/>
        <v>1</v>
      </c>
      <c r="CL112" s="10" t="b">
        <f t="shared" si="36"/>
        <v>1</v>
      </c>
      <c r="CM112" s="10" t="b">
        <f t="shared" si="37"/>
        <v>1</v>
      </c>
      <c r="CN112" s="9">
        <f t="shared" si="38"/>
        <v>1</v>
      </c>
      <c r="CO112" s="10">
        <f>(YEAR(AO112)-YEAR(AJ112))*12+MONTH(AO112)-MONTH(AJ112)</f>
        <v>11</v>
      </c>
      <c r="CP112" s="10" t="b">
        <f t="shared" si="39"/>
        <v>1</v>
      </c>
      <c r="CQ112" s="10" t="b">
        <f t="shared" si="40"/>
        <v>1</v>
      </c>
      <c r="CR112" s="10" cm="1">
        <f t="array" ref="CR112">_xlfn.IFS(AND($CI112=0, CK112=FALSE), NA(), AND($CI112=1, CK112=FALSE), 0, CK112=TRUE, 1)</f>
        <v>1</v>
      </c>
      <c r="CS112" s="10" cm="1">
        <f t="array" ref="CS112">_xlfn.IFS(AND($CI112=0, CL112=FALSE), NA(), AND($CI112=1, CL112=FALSE), 0, CL112=TRUE, 1)</f>
        <v>1</v>
      </c>
      <c r="CT112" s="10" cm="1">
        <f t="array" ref="CT112">_xlfn.IFS(AND($CI112=0, CM112=FALSE), NA(), AND($CI112=1, CM112=FALSE), 0, CM112=TRUE, 1)</f>
        <v>1</v>
      </c>
      <c r="CU112" s="10" cm="1">
        <f t="array" ref="CU112">_xlfn.IFS(AND($CN112=0, CP112=FALSE), NA(), AND($CN112=1, CP112=FALSE), 0, CP112=TRUE, 1)</f>
        <v>1</v>
      </c>
      <c r="CV112" s="10" cm="1">
        <f t="array" ref="CV112">_xlfn.IFS(AND($CN112=0, CQ112=FALSE), NA(), AND($CN112=1, CQ112=FALSE), 0, CQ112=TRUE, 1)</f>
        <v>1</v>
      </c>
    </row>
    <row r="113" spans="1:100" ht="15.75" x14ac:dyDescent="0.25">
      <c r="A113" s="8">
        <v>112</v>
      </c>
      <c r="B113" s="9">
        <v>554</v>
      </c>
      <c r="C113" s="10" t="s">
        <v>35</v>
      </c>
      <c r="D113" s="11" t="s">
        <v>393</v>
      </c>
      <c r="E113" s="12">
        <v>24243</v>
      </c>
      <c r="F113" s="13">
        <v>1</v>
      </c>
      <c r="G113" s="9">
        <v>42.951404571533203</v>
      </c>
      <c r="H113" s="12">
        <v>39931</v>
      </c>
      <c r="I113" s="9">
        <v>1</v>
      </c>
      <c r="J113" s="12">
        <v>39931</v>
      </c>
      <c r="K113" s="9">
        <v>0</v>
      </c>
      <c r="L113" s="9">
        <v>1</v>
      </c>
      <c r="M113" s="10" t="s">
        <v>401</v>
      </c>
      <c r="N113" s="9"/>
      <c r="O113" s="10" t="s">
        <v>401</v>
      </c>
      <c r="P113" s="9"/>
      <c r="Q113" s="10" t="s">
        <v>401</v>
      </c>
      <c r="R113" s="12">
        <v>41410</v>
      </c>
      <c r="S113" s="10" t="s">
        <v>145</v>
      </c>
      <c r="T113" s="9">
        <v>5</v>
      </c>
      <c r="U113" s="10" t="s">
        <v>401</v>
      </c>
      <c r="V113" s="10" t="s">
        <v>401</v>
      </c>
      <c r="W113" s="9"/>
      <c r="X113" s="9"/>
      <c r="Y113" s="9">
        <v>3</v>
      </c>
      <c r="Z113" s="14">
        <v>1</v>
      </c>
      <c r="AA113" s="17">
        <v>11.4</v>
      </c>
      <c r="AB113" s="18">
        <v>85</v>
      </c>
      <c r="AC113" s="9"/>
      <c r="AD113" s="9">
        <v>2</v>
      </c>
      <c r="AE113" s="9">
        <v>2</v>
      </c>
      <c r="AF113" s="9">
        <v>1</v>
      </c>
      <c r="AG113" s="9">
        <v>1</v>
      </c>
      <c r="AH113" s="9">
        <v>1</v>
      </c>
      <c r="AI113" s="9">
        <v>1</v>
      </c>
      <c r="AJ113" s="12">
        <v>42969</v>
      </c>
      <c r="AK113" s="9">
        <v>2</v>
      </c>
      <c r="AL113" s="12">
        <v>43046</v>
      </c>
      <c r="AM113" s="9">
        <v>4</v>
      </c>
      <c r="AN113" s="12">
        <v>43059</v>
      </c>
      <c r="AO113" s="12">
        <v>43059</v>
      </c>
      <c r="AP113" s="12">
        <v>43059</v>
      </c>
      <c r="AQ113" s="9">
        <v>1</v>
      </c>
      <c r="AR113" s="9">
        <f t="shared" si="30"/>
        <v>1</v>
      </c>
      <c r="AS113" s="9">
        <v>1</v>
      </c>
      <c r="AT113" s="9">
        <v>2</v>
      </c>
      <c r="AU113" s="9">
        <v>2</v>
      </c>
      <c r="AV113" s="9">
        <f t="shared" si="31"/>
        <v>1</v>
      </c>
      <c r="AW113" s="12">
        <v>43196</v>
      </c>
      <c r="AX113" s="9">
        <v>4400</v>
      </c>
      <c r="AY113" s="9">
        <v>2710</v>
      </c>
      <c r="AZ113" s="9">
        <v>1030</v>
      </c>
      <c r="BA113" s="9">
        <v>2710</v>
      </c>
      <c r="BB113" s="9">
        <v>1030</v>
      </c>
      <c r="BC113" s="9">
        <v>286000</v>
      </c>
      <c r="BD113" s="9">
        <v>510</v>
      </c>
      <c r="BE113" s="9">
        <v>160</v>
      </c>
      <c r="BF113" s="9"/>
      <c r="BG113" s="9">
        <v>13000</v>
      </c>
      <c r="BH113" s="9">
        <v>10410</v>
      </c>
      <c r="BI113" s="9">
        <v>1580</v>
      </c>
      <c r="BJ113" s="9">
        <v>320000</v>
      </c>
      <c r="BK113" s="9">
        <v>860</v>
      </c>
      <c r="BL113" s="9">
        <v>0</v>
      </c>
      <c r="BM113" s="9"/>
      <c r="BN113" s="9">
        <v>5500</v>
      </c>
      <c r="BO113" s="9">
        <v>3780</v>
      </c>
      <c r="BP113" s="9">
        <v>770</v>
      </c>
      <c r="BQ113" s="9">
        <v>430000</v>
      </c>
      <c r="BR113" s="9">
        <v>720</v>
      </c>
      <c r="BS113" s="9">
        <v>210</v>
      </c>
      <c r="BT113" s="9">
        <v>210</v>
      </c>
      <c r="BU113" s="9">
        <v>7200</v>
      </c>
      <c r="BV113" s="9">
        <v>5050</v>
      </c>
      <c r="BW113" s="9">
        <v>1170</v>
      </c>
      <c r="BX113" s="9">
        <v>425</v>
      </c>
      <c r="BY113" s="9">
        <v>770</v>
      </c>
      <c r="BZ113" s="10" t="s">
        <v>536</v>
      </c>
      <c r="CA113" s="9">
        <v>160</v>
      </c>
      <c r="CB113" s="9">
        <v>188</v>
      </c>
      <c r="CC113" s="10">
        <f t="shared" si="32"/>
        <v>2.6310679611650487</v>
      </c>
      <c r="CD113" s="10">
        <f t="shared" si="33"/>
        <v>277.66990291262135</v>
      </c>
      <c r="CE113" s="10">
        <f t="shared" si="46"/>
        <v>752485.43689320388</v>
      </c>
      <c r="CF113" s="10">
        <f t="shared" si="26"/>
        <v>0</v>
      </c>
      <c r="CG113" s="10">
        <f t="shared" si="27"/>
        <v>0</v>
      </c>
      <c r="CH113" s="10">
        <f t="shared" si="28"/>
        <v>3</v>
      </c>
      <c r="CI113" s="9">
        <f t="shared" si="34"/>
        <v>1</v>
      </c>
      <c r="CJ113" s="10">
        <f t="shared" si="29"/>
        <v>8</v>
      </c>
      <c r="CK113" s="10" t="b">
        <f t="shared" si="35"/>
        <v>1</v>
      </c>
      <c r="CL113" s="10" t="b">
        <f t="shared" si="36"/>
        <v>0</v>
      </c>
      <c r="CM113" s="10" t="b">
        <f t="shared" si="37"/>
        <v>0</v>
      </c>
      <c r="CN113" s="9">
        <f t="shared" si="38"/>
        <v>1</v>
      </c>
      <c r="CO113" s="10">
        <f>(YEAR(AO113)-YEAR(AJ113))*12+MONTH(AO113)-MONTH(AJ113)</f>
        <v>3</v>
      </c>
      <c r="CP113" s="10" t="b">
        <f t="shared" si="39"/>
        <v>1</v>
      </c>
      <c r="CQ113" s="10" t="b">
        <f t="shared" si="40"/>
        <v>0</v>
      </c>
      <c r="CR113" s="10" cm="1">
        <f t="array" ref="CR113">_xlfn.IFS(AND($CI113=0, CK113=FALSE), NA(), AND($CI113=1, CK113=FALSE), 0, CK113=TRUE, 1)</f>
        <v>1</v>
      </c>
      <c r="CS113" s="10" cm="1">
        <f t="array" ref="CS113">_xlfn.IFS(AND($CI113=0, CL113=FALSE), NA(), AND($CI113=1, CL113=FALSE), 0, CL113=TRUE, 1)</f>
        <v>0</v>
      </c>
      <c r="CT113" s="10" cm="1">
        <f t="array" ref="CT113">_xlfn.IFS(AND($CI113=0, CM113=FALSE), NA(), AND($CI113=1, CM113=FALSE), 0, CM113=TRUE, 1)</f>
        <v>0</v>
      </c>
      <c r="CU113" s="10" cm="1">
        <f t="array" ref="CU113">_xlfn.IFS(AND($CN113=0, CP113=FALSE), NA(), AND($CN113=1, CP113=FALSE), 0, CP113=TRUE, 1)</f>
        <v>1</v>
      </c>
      <c r="CV113" s="10" cm="1">
        <f t="array" ref="CV113">_xlfn.IFS(AND($CN113=0, CQ113=FALSE), NA(), AND($CN113=1, CQ113=FALSE), 0, CQ113=TRUE, 1)</f>
        <v>0</v>
      </c>
    </row>
    <row r="114" spans="1:100" ht="15.75" x14ac:dyDescent="0.25">
      <c r="A114" s="8">
        <v>113</v>
      </c>
      <c r="B114" s="9">
        <v>189</v>
      </c>
      <c r="C114" s="10" t="s">
        <v>17</v>
      </c>
      <c r="D114" s="11" t="s">
        <v>196</v>
      </c>
      <c r="E114" s="12">
        <v>15277</v>
      </c>
      <c r="F114" s="13">
        <v>2</v>
      </c>
      <c r="G114" s="9">
        <v>67.498970031738281</v>
      </c>
      <c r="H114" s="12">
        <v>39931</v>
      </c>
      <c r="I114" s="9">
        <v>1</v>
      </c>
      <c r="J114" s="12">
        <v>39931</v>
      </c>
      <c r="K114" s="9">
        <v>0</v>
      </c>
      <c r="L114" s="9">
        <v>1</v>
      </c>
      <c r="M114" s="10" t="s">
        <v>401</v>
      </c>
      <c r="N114" s="9">
        <v>2</v>
      </c>
      <c r="O114" s="10" t="s">
        <v>147</v>
      </c>
      <c r="P114" s="9">
        <v>2</v>
      </c>
      <c r="Q114" s="10" t="s">
        <v>147</v>
      </c>
      <c r="R114" s="12">
        <v>41354</v>
      </c>
      <c r="S114" s="10" t="s">
        <v>145</v>
      </c>
      <c r="T114" s="9">
        <v>5</v>
      </c>
      <c r="U114" s="10" t="s">
        <v>401</v>
      </c>
      <c r="V114" s="10" t="s">
        <v>401</v>
      </c>
      <c r="W114" s="9"/>
      <c r="X114" s="9"/>
      <c r="Y114" s="9">
        <v>3</v>
      </c>
      <c r="Z114" s="14">
        <v>1</v>
      </c>
      <c r="AA114" s="17">
        <v>7.2</v>
      </c>
      <c r="AB114" s="18">
        <v>79</v>
      </c>
      <c r="AC114" s="18">
        <v>22</v>
      </c>
      <c r="AD114" s="9">
        <v>2</v>
      </c>
      <c r="AE114" s="9">
        <v>2</v>
      </c>
      <c r="AF114" s="9">
        <v>1</v>
      </c>
      <c r="AG114" s="9">
        <v>0</v>
      </c>
      <c r="AH114" s="9">
        <v>1</v>
      </c>
      <c r="AI114" s="9">
        <v>0</v>
      </c>
      <c r="AJ114" s="12">
        <v>43130</v>
      </c>
      <c r="AK114" s="9">
        <v>2</v>
      </c>
      <c r="AL114" s="12">
        <v>43245</v>
      </c>
      <c r="AM114" s="9">
        <v>4</v>
      </c>
      <c r="AN114" s="12">
        <v>43273</v>
      </c>
      <c r="AO114" s="12">
        <v>43273</v>
      </c>
      <c r="AP114" s="12">
        <v>43273</v>
      </c>
      <c r="AQ114" s="9">
        <v>1</v>
      </c>
      <c r="AR114" s="9">
        <f t="shared" si="30"/>
        <v>1</v>
      </c>
      <c r="AS114" s="9">
        <v>1</v>
      </c>
      <c r="AT114" s="9">
        <v>2</v>
      </c>
      <c r="AU114" s="9">
        <v>2</v>
      </c>
      <c r="AV114" s="9">
        <f t="shared" si="31"/>
        <v>1</v>
      </c>
      <c r="AW114" s="12">
        <v>43414</v>
      </c>
      <c r="AX114" s="9">
        <v>13770</v>
      </c>
      <c r="AY114" s="9">
        <v>10900</v>
      </c>
      <c r="AZ114" s="9">
        <v>700</v>
      </c>
      <c r="BA114" s="9">
        <v>10900</v>
      </c>
      <c r="BB114" s="9">
        <v>699.99993896484375</v>
      </c>
      <c r="BC114" s="9">
        <v>150000</v>
      </c>
      <c r="BD114" s="9">
        <v>1700</v>
      </c>
      <c r="BE114" s="9">
        <v>400</v>
      </c>
      <c r="BF114" s="9"/>
      <c r="BG114" s="9">
        <v>6030</v>
      </c>
      <c r="BH114" s="9">
        <v>4000</v>
      </c>
      <c r="BI114" s="9">
        <v>800</v>
      </c>
      <c r="BJ114" s="9">
        <v>226000</v>
      </c>
      <c r="BK114" s="9">
        <v>1000</v>
      </c>
      <c r="BL114" s="9">
        <v>200</v>
      </c>
      <c r="BM114" s="9"/>
      <c r="BN114" s="9">
        <v>8580</v>
      </c>
      <c r="BO114" s="9">
        <v>6700</v>
      </c>
      <c r="BP114" s="9">
        <v>800</v>
      </c>
      <c r="BQ114" s="9">
        <v>215000</v>
      </c>
      <c r="BR114" s="9">
        <v>1000</v>
      </c>
      <c r="BS114" s="9">
        <v>100</v>
      </c>
      <c r="BT114" s="9"/>
      <c r="BU114" s="9">
        <v>4740</v>
      </c>
      <c r="BV114" s="9">
        <v>3200</v>
      </c>
      <c r="BW114" s="9">
        <v>800</v>
      </c>
      <c r="BX114" s="9">
        <v>181000</v>
      </c>
      <c r="BY114" s="9">
        <v>600</v>
      </c>
      <c r="BZ114" s="10" t="s">
        <v>442</v>
      </c>
      <c r="CA114" s="9">
        <v>0</v>
      </c>
      <c r="CB114" s="9"/>
      <c r="CC114" s="10">
        <f t="shared" si="32"/>
        <v>15.571429929149513</v>
      </c>
      <c r="CD114" s="10">
        <f t="shared" si="33"/>
        <v>214.28573296994742</v>
      </c>
      <c r="CE114" s="10">
        <f t="shared" si="46"/>
        <v>2335714.4893724271</v>
      </c>
      <c r="CF114" s="10">
        <f t="shared" si="26"/>
        <v>0</v>
      </c>
      <c r="CG114" s="10">
        <f t="shared" si="27"/>
        <v>0</v>
      </c>
      <c r="CH114" s="10">
        <f t="shared" si="28"/>
        <v>4</v>
      </c>
      <c r="CI114" s="9">
        <f t="shared" si="34"/>
        <v>1</v>
      </c>
      <c r="CJ114" s="10">
        <f t="shared" si="29"/>
        <v>10</v>
      </c>
      <c r="CK114" s="10" t="b">
        <f t="shared" si="35"/>
        <v>1</v>
      </c>
      <c r="CL114" s="10" t="b">
        <f t="shared" si="36"/>
        <v>0</v>
      </c>
      <c r="CM114" s="10" t="b">
        <f t="shared" si="37"/>
        <v>0</v>
      </c>
      <c r="CN114" s="9">
        <f t="shared" si="38"/>
        <v>1</v>
      </c>
      <c r="CO114" s="10">
        <f>(YEAR(AO114)-YEAR(AJ114))*12+MONTH(AO114)-MONTH(AJ114)</f>
        <v>5</v>
      </c>
      <c r="CP114" s="10" t="b">
        <f t="shared" si="39"/>
        <v>1</v>
      </c>
      <c r="CQ114" s="10" t="b">
        <f t="shared" si="40"/>
        <v>0</v>
      </c>
      <c r="CR114" s="10" cm="1">
        <f t="array" ref="CR114">_xlfn.IFS(AND($CI114=0, CK114=FALSE), NA(), AND($CI114=1, CK114=FALSE), 0, CK114=TRUE, 1)</f>
        <v>1</v>
      </c>
      <c r="CS114" s="10" cm="1">
        <f t="array" ref="CS114">_xlfn.IFS(AND($CI114=0, CL114=FALSE), NA(), AND($CI114=1, CL114=FALSE), 0, CL114=TRUE, 1)</f>
        <v>0</v>
      </c>
      <c r="CT114" s="10" cm="1">
        <f t="array" ref="CT114">_xlfn.IFS(AND($CI114=0, CM114=FALSE), NA(), AND($CI114=1, CM114=FALSE), 0, CM114=TRUE, 1)</f>
        <v>0</v>
      </c>
      <c r="CU114" s="10" cm="1">
        <f t="array" ref="CU114">_xlfn.IFS(AND($CN114=0, CP114=FALSE), NA(), AND($CN114=1, CP114=FALSE), 0, CP114=TRUE, 1)</f>
        <v>1</v>
      </c>
      <c r="CV114" s="10" cm="1">
        <f t="array" ref="CV114">_xlfn.IFS(AND($CN114=0, CQ114=FALSE), NA(), AND($CN114=1, CQ114=FALSE), 0, CQ114=TRUE, 1)</f>
        <v>0</v>
      </c>
    </row>
    <row r="115" spans="1:100" ht="15.75" x14ac:dyDescent="0.25">
      <c r="A115" s="8">
        <v>114</v>
      </c>
      <c r="B115" s="9">
        <v>272</v>
      </c>
      <c r="C115" s="10" t="s">
        <v>21</v>
      </c>
      <c r="D115" s="11" t="s">
        <v>44</v>
      </c>
      <c r="E115" s="12">
        <v>15846</v>
      </c>
      <c r="F115" s="13">
        <v>1</v>
      </c>
      <c r="G115" s="9">
        <v>66.072555541992188</v>
      </c>
      <c r="H115" s="12">
        <v>39979</v>
      </c>
      <c r="I115" s="9">
        <v>0</v>
      </c>
      <c r="J115" s="12"/>
      <c r="K115" s="9">
        <v>1</v>
      </c>
      <c r="L115" s="9">
        <v>1</v>
      </c>
      <c r="M115" s="10" t="s">
        <v>401</v>
      </c>
      <c r="N115" s="9"/>
      <c r="O115" s="10" t="s">
        <v>401</v>
      </c>
      <c r="P115" s="9"/>
      <c r="Q115" s="10" t="s">
        <v>401</v>
      </c>
      <c r="R115" s="12">
        <v>39979</v>
      </c>
      <c r="S115" s="10" t="s">
        <v>145</v>
      </c>
      <c r="T115" s="9">
        <v>6</v>
      </c>
      <c r="U115" s="10" t="s">
        <v>147</v>
      </c>
      <c r="V115" s="10" t="s">
        <v>401</v>
      </c>
      <c r="W115" s="9"/>
      <c r="X115" s="9"/>
      <c r="Y115" s="9">
        <v>4</v>
      </c>
      <c r="Z115" s="14">
        <v>1</v>
      </c>
      <c r="AA115" s="15">
        <v>9.1</v>
      </c>
      <c r="AB115" s="16">
        <v>108</v>
      </c>
      <c r="AC115" s="16">
        <v>14</v>
      </c>
      <c r="AD115" s="9">
        <v>2</v>
      </c>
      <c r="AE115" s="9">
        <v>2</v>
      </c>
      <c r="AF115" s="9">
        <v>1</v>
      </c>
      <c r="AG115" s="9">
        <v>0</v>
      </c>
      <c r="AH115" s="9">
        <v>1</v>
      </c>
      <c r="AI115" s="9">
        <v>0</v>
      </c>
      <c r="AJ115" s="12">
        <v>42948</v>
      </c>
      <c r="AK115" s="9">
        <v>1</v>
      </c>
      <c r="AL115" s="12">
        <v>44936</v>
      </c>
      <c r="AM115" s="9">
        <v>3</v>
      </c>
      <c r="AN115" s="12">
        <v>43123</v>
      </c>
      <c r="AO115" s="12"/>
      <c r="AP115" s="12"/>
      <c r="AQ115" s="9">
        <v>2</v>
      </c>
      <c r="AR115" s="9">
        <f t="shared" si="30"/>
        <v>0</v>
      </c>
      <c r="AS115" s="9">
        <v>2</v>
      </c>
      <c r="AT115" s="9"/>
      <c r="AU115" s="9">
        <v>1</v>
      </c>
      <c r="AV115" s="9">
        <f t="shared" si="31"/>
        <v>0</v>
      </c>
      <c r="AW115" s="12">
        <v>44936</v>
      </c>
      <c r="AX115" s="9">
        <v>8410</v>
      </c>
      <c r="AY115" s="9">
        <v>3860</v>
      </c>
      <c r="AZ115" s="9">
        <v>3050</v>
      </c>
      <c r="BA115" s="9">
        <v>3860</v>
      </c>
      <c r="BB115" s="9">
        <v>3049.999755859375</v>
      </c>
      <c r="BC115" s="9">
        <v>198000</v>
      </c>
      <c r="BD115" s="9">
        <v>990</v>
      </c>
      <c r="BE115" s="9">
        <v>470</v>
      </c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10" t="s">
        <v>401</v>
      </c>
      <c r="CA115" s="9"/>
      <c r="CB115" s="9"/>
      <c r="CC115" s="10">
        <f t="shared" si="32"/>
        <v>1.2655738717960643</v>
      </c>
      <c r="CD115" s="10">
        <f t="shared" si="33"/>
        <v>64.918037983321426</v>
      </c>
      <c r="CE115" s="10">
        <f t="shared" si="46"/>
        <v>250583.62661562074</v>
      </c>
      <c r="CF115" s="10">
        <f t="shared" si="26"/>
        <v>1</v>
      </c>
      <c r="CG115" s="10">
        <f t="shared" si="27"/>
        <v>0</v>
      </c>
      <c r="CH115" s="10">
        <f t="shared" si="28"/>
        <v>65</v>
      </c>
      <c r="CI115" s="9">
        <f t="shared" si="34"/>
        <v>0</v>
      </c>
      <c r="CJ115" s="10">
        <f t="shared" si="29"/>
        <v>65</v>
      </c>
      <c r="CK115" s="10" t="b">
        <f t="shared" si="35"/>
        <v>1</v>
      </c>
      <c r="CL115" s="10" t="b">
        <f t="shared" si="36"/>
        <v>1</v>
      </c>
      <c r="CM115" s="10" t="b">
        <f t="shared" si="37"/>
        <v>1</v>
      </c>
      <c r="CN115" s="9">
        <f t="shared" si="38"/>
        <v>0</v>
      </c>
      <c r="CO115" s="10">
        <f>CJ115</f>
        <v>65</v>
      </c>
      <c r="CP115" s="10" t="b">
        <f t="shared" si="39"/>
        <v>1</v>
      </c>
      <c r="CQ115" s="10" t="b">
        <f t="shared" si="40"/>
        <v>1</v>
      </c>
      <c r="CR115" s="10" cm="1">
        <f t="array" ref="CR115">_xlfn.IFS(AND($CI115=0, CK115=FALSE), NA(), AND($CI115=1, CK115=FALSE), 0, CK115=TRUE, 1)</f>
        <v>1</v>
      </c>
      <c r="CS115" s="10" cm="1">
        <f t="array" ref="CS115">_xlfn.IFS(AND($CI115=0, CL115=FALSE), NA(), AND($CI115=1, CL115=FALSE), 0, CL115=TRUE, 1)</f>
        <v>1</v>
      </c>
      <c r="CT115" s="10" cm="1">
        <f t="array" ref="CT115">_xlfn.IFS(AND($CI115=0, CM115=FALSE), NA(), AND($CI115=1, CM115=FALSE), 0, CM115=TRUE, 1)</f>
        <v>1</v>
      </c>
      <c r="CU115" s="10" cm="1">
        <f t="array" ref="CU115">_xlfn.IFS(AND($CN115=0, CP115=FALSE), NA(), AND($CN115=1, CP115=FALSE), 0, CP115=TRUE, 1)</f>
        <v>1</v>
      </c>
      <c r="CV115" s="10" cm="1">
        <f t="array" ref="CV115">_xlfn.IFS(AND($CN115=0, CQ115=FALSE), NA(), AND($CN115=1, CQ115=FALSE), 0, CQ115=TRUE, 1)</f>
        <v>1</v>
      </c>
    </row>
    <row r="116" spans="1:100" ht="15.75" x14ac:dyDescent="0.25">
      <c r="A116" s="8">
        <v>115</v>
      </c>
      <c r="B116" s="9">
        <v>67</v>
      </c>
      <c r="C116" s="10" t="s">
        <v>9</v>
      </c>
      <c r="D116" s="11" t="s">
        <v>90</v>
      </c>
      <c r="E116" s="12">
        <v>18489</v>
      </c>
      <c r="F116" s="13">
        <v>1</v>
      </c>
      <c r="G116" s="9">
        <v>58.836414337158203</v>
      </c>
      <c r="H116" s="12">
        <v>39979</v>
      </c>
      <c r="I116" s="9">
        <v>1</v>
      </c>
      <c r="J116" s="12">
        <v>39979</v>
      </c>
      <c r="K116" s="9">
        <v>0</v>
      </c>
      <c r="L116" s="9">
        <v>2</v>
      </c>
      <c r="M116" s="10" t="s">
        <v>401</v>
      </c>
      <c r="N116" s="9">
        <v>2</v>
      </c>
      <c r="O116" s="10" t="s">
        <v>147</v>
      </c>
      <c r="P116" s="9">
        <v>2</v>
      </c>
      <c r="Q116" s="10" t="s">
        <v>147</v>
      </c>
      <c r="R116" s="12">
        <v>42150</v>
      </c>
      <c r="S116" s="10" t="s">
        <v>151</v>
      </c>
      <c r="T116" s="9"/>
      <c r="U116" s="10" t="s">
        <v>401</v>
      </c>
      <c r="V116" s="10" t="s">
        <v>401</v>
      </c>
      <c r="W116" s="9"/>
      <c r="X116" s="9"/>
      <c r="Y116" s="9">
        <v>2</v>
      </c>
      <c r="Z116" s="19"/>
      <c r="AA116" s="15">
        <v>10.5</v>
      </c>
      <c r="AB116" s="16" t="s">
        <v>474</v>
      </c>
      <c r="AC116" s="9"/>
      <c r="AD116" s="9">
        <v>2</v>
      </c>
      <c r="AE116" s="9">
        <v>2</v>
      </c>
      <c r="AF116" s="9">
        <v>1</v>
      </c>
      <c r="AG116" s="9">
        <v>0</v>
      </c>
      <c r="AH116" s="9">
        <v>1</v>
      </c>
      <c r="AI116" s="9">
        <v>1</v>
      </c>
      <c r="AJ116" s="12">
        <v>43013</v>
      </c>
      <c r="AK116" s="9">
        <v>2</v>
      </c>
      <c r="AL116" s="12">
        <v>43838</v>
      </c>
      <c r="AM116" s="9">
        <v>2</v>
      </c>
      <c r="AN116" s="12">
        <v>43544</v>
      </c>
      <c r="AO116" s="12">
        <v>43739</v>
      </c>
      <c r="AP116" s="12">
        <v>43838</v>
      </c>
      <c r="AQ116" s="9">
        <v>1</v>
      </c>
      <c r="AR116" s="9">
        <f t="shared" si="30"/>
        <v>1</v>
      </c>
      <c r="AS116" s="9">
        <v>1</v>
      </c>
      <c r="AT116" s="9">
        <v>1</v>
      </c>
      <c r="AU116" s="9">
        <v>2</v>
      </c>
      <c r="AV116" s="9">
        <f t="shared" si="31"/>
        <v>1</v>
      </c>
      <c r="AW116" s="12">
        <v>44455</v>
      </c>
      <c r="AX116" s="9">
        <v>3840</v>
      </c>
      <c r="AY116" s="9">
        <v>2270</v>
      </c>
      <c r="AZ116" s="9">
        <v>960</v>
      </c>
      <c r="BA116" s="9">
        <v>2270</v>
      </c>
      <c r="BB116" s="9">
        <v>960.00006103515625</v>
      </c>
      <c r="BC116" s="9">
        <v>401000</v>
      </c>
      <c r="BD116" s="9">
        <v>390</v>
      </c>
      <c r="BE116" s="9">
        <v>190</v>
      </c>
      <c r="BF116" s="9"/>
      <c r="BG116" s="9">
        <v>12540</v>
      </c>
      <c r="BH116" s="9">
        <v>10380</v>
      </c>
      <c r="BI116" s="9">
        <v>1150</v>
      </c>
      <c r="BJ116" s="9">
        <v>707000</v>
      </c>
      <c r="BK116" s="9">
        <v>780</v>
      </c>
      <c r="BL116" s="9">
        <v>710</v>
      </c>
      <c r="BM116" s="9"/>
      <c r="BN116" s="9">
        <v>8570</v>
      </c>
      <c r="BO116" s="9">
        <v>6280</v>
      </c>
      <c r="BP116" s="9">
        <v>980</v>
      </c>
      <c r="BQ116" s="9">
        <v>484000</v>
      </c>
      <c r="BR116" s="9">
        <v>1120</v>
      </c>
      <c r="BS116" s="9">
        <v>140</v>
      </c>
      <c r="BT116" s="9"/>
      <c r="BU116" s="9">
        <v>7570</v>
      </c>
      <c r="BV116" s="9">
        <v>4700</v>
      </c>
      <c r="BW116" s="9">
        <v>1350</v>
      </c>
      <c r="BX116" s="9">
        <v>453000</v>
      </c>
      <c r="BY116" s="9">
        <v>1350</v>
      </c>
      <c r="BZ116" s="10" t="s">
        <v>556</v>
      </c>
      <c r="CA116" s="9">
        <v>840</v>
      </c>
      <c r="CB116" s="9"/>
      <c r="CC116" s="10">
        <f t="shared" si="32"/>
        <v>2.3645831829971833</v>
      </c>
      <c r="CD116" s="10">
        <f t="shared" si="33"/>
        <v>417.70830677615442</v>
      </c>
      <c r="CE116" s="10">
        <f t="shared" si="46"/>
        <v>948197.85638187046</v>
      </c>
      <c r="CF116" s="10">
        <f t="shared" si="26"/>
        <v>1</v>
      </c>
      <c r="CG116" s="10">
        <f t="shared" si="27"/>
        <v>1</v>
      </c>
      <c r="CH116" s="10">
        <f t="shared" si="28"/>
        <v>27</v>
      </c>
      <c r="CI116" s="9">
        <f t="shared" si="34"/>
        <v>1</v>
      </c>
      <c r="CJ116" s="10">
        <f t="shared" si="29"/>
        <v>47</v>
      </c>
      <c r="CK116" s="10" t="b">
        <f t="shared" si="35"/>
        <v>1</v>
      </c>
      <c r="CL116" s="10" t="b">
        <f t="shared" si="36"/>
        <v>1</v>
      </c>
      <c r="CM116" s="10" t="b">
        <f t="shared" si="37"/>
        <v>1</v>
      </c>
      <c r="CN116" s="9">
        <f t="shared" si="38"/>
        <v>1</v>
      </c>
      <c r="CO116" s="10">
        <f>(YEAR(AO116)-YEAR(AJ116))*12+MONTH(AO116)-MONTH(AJ116)</f>
        <v>24</v>
      </c>
      <c r="CP116" s="10" t="b">
        <f t="shared" si="39"/>
        <v>1</v>
      </c>
      <c r="CQ116" s="10" t="b">
        <f t="shared" si="40"/>
        <v>1</v>
      </c>
      <c r="CR116" s="10" cm="1">
        <f t="array" ref="CR116">_xlfn.IFS(AND($CI116=0, CK116=FALSE), NA(), AND($CI116=1, CK116=FALSE), 0, CK116=TRUE, 1)</f>
        <v>1</v>
      </c>
      <c r="CS116" s="10" cm="1">
        <f t="array" ref="CS116">_xlfn.IFS(AND($CI116=0, CL116=FALSE), NA(), AND($CI116=1, CL116=FALSE), 0, CL116=TRUE, 1)</f>
        <v>1</v>
      </c>
      <c r="CT116" s="10" cm="1">
        <f t="array" ref="CT116">_xlfn.IFS(AND($CI116=0, CM116=FALSE), NA(), AND($CI116=1, CM116=FALSE), 0, CM116=TRUE, 1)</f>
        <v>1</v>
      </c>
      <c r="CU116" s="10" cm="1">
        <f t="array" ref="CU116">_xlfn.IFS(AND($CN116=0, CP116=FALSE), NA(), AND($CN116=1, CP116=FALSE), 0, CP116=TRUE, 1)</f>
        <v>1</v>
      </c>
      <c r="CV116" s="10" cm="1">
        <f t="array" ref="CV116">_xlfn.IFS(AND($CN116=0, CQ116=FALSE), NA(), AND($CN116=1, CQ116=FALSE), 0, CQ116=TRUE, 1)</f>
        <v>1</v>
      </c>
    </row>
    <row r="117" spans="1:100" x14ac:dyDescent="0.25">
      <c r="A117" s="8">
        <v>116</v>
      </c>
      <c r="B117" s="9">
        <v>77</v>
      </c>
      <c r="C117" s="10" t="s">
        <v>9</v>
      </c>
      <c r="D117" s="11" t="s">
        <v>105</v>
      </c>
      <c r="E117" s="12">
        <v>14877</v>
      </c>
      <c r="F117" s="13">
        <v>2</v>
      </c>
      <c r="G117" s="9">
        <v>68.725532531738281</v>
      </c>
      <c r="H117" s="12">
        <v>39979</v>
      </c>
      <c r="I117" s="9">
        <v>1</v>
      </c>
      <c r="J117" s="12">
        <v>39979</v>
      </c>
      <c r="K117" s="9">
        <v>0</v>
      </c>
      <c r="L117" s="9">
        <v>1</v>
      </c>
      <c r="M117" s="10" t="s">
        <v>401</v>
      </c>
      <c r="N117" s="9">
        <v>2</v>
      </c>
      <c r="O117" s="10" t="s">
        <v>145</v>
      </c>
      <c r="P117" s="9">
        <v>2</v>
      </c>
      <c r="Q117" s="10" t="s">
        <v>145</v>
      </c>
      <c r="R117" s="12">
        <v>40193</v>
      </c>
      <c r="S117" s="10" t="s">
        <v>146</v>
      </c>
      <c r="T117" s="9">
        <v>1</v>
      </c>
      <c r="U117" s="10" t="s">
        <v>401</v>
      </c>
      <c r="V117" s="10" t="s">
        <v>401</v>
      </c>
      <c r="W117" s="9"/>
      <c r="X117" s="9"/>
      <c r="Y117" s="9">
        <v>3</v>
      </c>
      <c r="Z117" s="19"/>
      <c r="AB117" s="9"/>
      <c r="AC117" s="9"/>
      <c r="AD117" s="9">
        <v>2</v>
      </c>
      <c r="AE117" s="9">
        <v>2</v>
      </c>
      <c r="AF117" s="9">
        <v>2</v>
      </c>
      <c r="AG117" s="9">
        <v>1</v>
      </c>
      <c r="AH117" s="9">
        <v>0</v>
      </c>
      <c r="AI117" s="9">
        <v>1</v>
      </c>
      <c r="AJ117" s="12">
        <v>43175</v>
      </c>
      <c r="AK117" s="9">
        <v>1</v>
      </c>
      <c r="AL117" s="12">
        <v>44952</v>
      </c>
      <c r="AM117" s="9">
        <v>3</v>
      </c>
      <c r="AN117" s="12">
        <v>43397</v>
      </c>
      <c r="AO117" s="12"/>
      <c r="AP117" s="12"/>
      <c r="AQ117" s="9">
        <v>2</v>
      </c>
      <c r="AR117" s="9">
        <f t="shared" si="30"/>
        <v>0</v>
      </c>
      <c r="AS117" s="9">
        <v>2</v>
      </c>
      <c r="AT117" s="9"/>
      <c r="AU117" s="9">
        <v>1</v>
      </c>
      <c r="AV117" s="9">
        <f t="shared" si="31"/>
        <v>0</v>
      </c>
      <c r="AW117" s="12">
        <v>44952</v>
      </c>
      <c r="AX117" s="9">
        <v>6100</v>
      </c>
      <c r="AY117" s="9">
        <v>3000</v>
      </c>
      <c r="AZ117" s="9">
        <v>1890</v>
      </c>
      <c r="BA117" s="9">
        <v>3000</v>
      </c>
      <c r="BB117" s="9">
        <v>1889.9998779296875</v>
      </c>
      <c r="BC117" s="9">
        <v>204000</v>
      </c>
      <c r="BD117" s="9">
        <v>490</v>
      </c>
      <c r="BE117" s="9">
        <v>290</v>
      </c>
      <c r="BF117" s="9">
        <v>324</v>
      </c>
      <c r="BG117" s="9">
        <v>5920</v>
      </c>
      <c r="BH117" s="9">
        <v>3000</v>
      </c>
      <c r="BI117" s="9">
        <v>2090</v>
      </c>
      <c r="BJ117" s="9">
        <v>208000</v>
      </c>
      <c r="BK117" s="9"/>
      <c r="BL117" s="9"/>
      <c r="BM117" s="9">
        <v>235</v>
      </c>
      <c r="BN117" s="9"/>
      <c r="BO117" s="9"/>
      <c r="BP117" s="9"/>
      <c r="BQ117" s="9"/>
      <c r="BR117" s="9"/>
      <c r="BS117" s="9"/>
      <c r="BT117" s="9"/>
      <c r="BU117" s="9">
        <v>7680</v>
      </c>
      <c r="BV117" s="9">
        <v>3840</v>
      </c>
      <c r="BW117" s="9">
        <v>2300</v>
      </c>
      <c r="BX117" s="9">
        <v>200000</v>
      </c>
      <c r="BY117" s="9"/>
      <c r="BZ117" s="10" t="s">
        <v>401</v>
      </c>
      <c r="CA117" s="9"/>
      <c r="CB117" s="9"/>
      <c r="CC117" s="10">
        <f t="shared" si="32"/>
        <v>1.5873016898213828</v>
      </c>
      <c r="CD117" s="10">
        <f t="shared" si="33"/>
        <v>107.93651490785402</v>
      </c>
      <c r="CE117" s="10">
        <f t="shared" si="46"/>
        <v>323809.54472356208</v>
      </c>
      <c r="CF117" s="10">
        <f t="shared" si="26"/>
        <v>1</v>
      </c>
      <c r="CG117" s="10">
        <f t="shared" si="27"/>
        <v>0</v>
      </c>
      <c r="CH117" s="10">
        <f t="shared" si="28"/>
        <v>58</v>
      </c>
      <c r="CI117" s="9">
        <f t="shared" si="34"/>
        <v>0</v>
      </c>
      <c r="CJ117" s="10">
        <f t="shared" si="29"/>
        <v>58</v>
      </c>
      <c r="CK117" s="10" t="b">
        <f t="shared" si="35"/>
        <v>1</v>
      </c>
      <c r="CL117" s="10" t="b">
        <f t="shared" si="36"/>
        <v>1</v>
      </c>
      <c r="CM117" s="10" t="b">
        <f t="shared" si="37"/>
        <v>1</v>
      </c>
      <c r="CN117" s="9">
        <f t="shared" si="38"/>
        <v>0</v>
      </c>
      <c r="CO117" s="10">
        <f>CJ117</f>
        <v>58</v>
      </c>
      <c r="CP117" s="10" t="b">
        <f t="shared" si="39"/>
        <v>1</v>
      </c>
      <c r="CQ117" s="10" t="b">
        <f t="shared" si="40"/>
        <v>1</v>
      </c>
      <c r="CR117" s="10" cm="1">
        <f t="array" ref="CR117">_xlfn.IFS(AND($CI117=0, CK117=FALSE), NA(), AND($CI117=1, CK117=FALSE), 0, CK117=TRUE, 1)</f>
        <v>1</v>
      </c>
      <c r="CS117" s="10" cm="1">
        <f t="array" ref="CS117">_xlfn.IFS(AND($CI117=0, CL117=FALSE), NA(), AND($CI117=1, CL117=FALSE), 0, CL117=TRUE, 1)</f>
        <v>1</v>
      </c>
      <c r="CT117" s="10" cm="1">
        <f t="array" ref="CT117">_xlfn.IFS(AND($CI117=0, CM117=FALSE), NA(), AND($CI117=1, CM117=FALSE), 0, CM117=TRUE, 1)</f>
        <v>1</v>
      </c>
      <c r="CU117" s="10" cm="1">
        <f t="array" ref="CU117">_xlfn.IFS(AND($CN117=0, CP117=FALSE), NA(), AND($CN117=1, CP117=FALSE), 0, CP117=TRUE, 1)</f>
        <v>1</v>
      </c>
      <c r="CV117" s="10" cm="1">
        <f t="array" ref="CV117">_xlfn.IFS(AND($CN117=0, CQ117=FALSE), NA(), AND($CN117=1, CQ117=FALSE), 0, CQ117=TRUE, 1)</f>
        <v>1</v>
      </c>
    </row>
    <row r="118" spans="1:100" x14ac:dyDescent="0.25">
      <c r="A118" s="8">
        <v>117</v>
      </c>
      <c r="B118" s="9">
        <v>76</v>
      </c>
      <c r="C118" s="10" t="s">
        <v>9</v>
      </c>
      <c r="D118" s="11" t="s">
        <v>104</v>
      </c>
      <c r="E118" s="12">
        <v>17405</v>
      </c>
      <c r="F118" s="13">
        <v>2</v>
      </c>
      <c r="G118" s="9">
        <v>61.804244995117188</v>
      </c>
      <c r="H118" s="12">
        <v>39979</v>
      </c>
      <c r="I118" s="9">
        <v>1</v>
      </c>
      <c r="J118" s="12">
        <v>39979</v>
      </c>
      <c r="K118" s="9">
        <v>1</v>
      </c>
      <c r="L118" s="9">
        <v>1</v>
      </c>
      <c r="M118" s="10" t="s">
        <v>401</v>
      </c>
      <c r="N118" s="9">
        <v>2</v>
      </c>
      <c r="O118" s="10" t="s">
        <v>147</v>
      </c>
      <c r="P118" s="9">
        <v>2</v>
      </c>
      <c r="Q118" s="10" t="s">
        <v>147</v>
      </c>
      <c r="R118" s="12">
        <v>43388</v>
      </c>
      <c r="S118" s="10" t="s">
        <v>146</v>
      </c>
      <c r="T118" s="9"/>
      <c r="U118" s="10" t="s">
        <v>401</v>
      </c>
      <c r="V118" s="10" t="s">
        <v>401</v>
      </c>
      <c r="W118" s="9"/>
      <c r="X118" s="9"/>
      <c r="Y118" s="9">
        <v>2</v>
      </c>
      <c r="Z118" s="19">
        <v>2</v>
      </c>
      <c r="AB118" s="9"/>
      <c r="AC118" s="9"/>
      <c r="AD118" s="9">
        <v>2</v>
      </c>
      <c r="AE118" s="9">
        <v>2</v>
      </c>
      <c r="AF118" s="9">
        <v>2</v>
      </c>
      <c r="AG118" s="9">
        <v>0</v>
      </c>
      <c r="AH118" s="9">
        <v>1</v>
      </c>
      <c r="AI118" s="9">
        <v>1</v>
      </c>
      <c r="AJ118" s="12">
        <v>43609</v>
      </c>
      <c r="AK118" s="9">
        <v>2</v>
      </c>
      <c r="AL118" s="12">
        <v>44075</v>
      </c>
      <c r="AM118" s="9">
        <v>3</v>
      </c>
      <c r="AN118" s="12">
        <v>43731</v>
      </c>
      <c r="AO118" s="12">
        <v>44092</v>
      </c>
      <c r="AP118" s="12">
        <v>44154</v>
      </c>
      <c r="AQ118" s="9">
        <v>1</v>
      </c>
      <c r="AR118" s="9">
        <f t="shared" si="30"/>
        <v>1</v>
      </c>
      <c r="AS118" s="9">
        <v>1</v>
      </c>
      <c r="AT118" s="9">
        <v>1</v>
      </c>
      <c r="AU118" s="9">
        <v>1</v>
      </c>
      <c r="AV118" s="9">
        <f t="shared" si="31"/>
        <v>0</v>
      </c>
      <c r="AW118" s="12">
        <v>44897</v>
      </c>
      <c r="AX118" s="9"/>
      <c r="AY118" s="9"/>
      <c r="AZ118" s="9"/>
      <c r="BA118" s="9">
        <v>3929.936279296875</v>
      </c>
      <c r="BB118" s="9">
        <v>1126.787353515625</v>
      </c>
      <c r="BC118" s="9"/>
      <c r="BD118" s="9"/>
      <c r="BE118" s="9"/>
      <c r="BF118" s="9"/>
      <c r="BG118" s="9">
        <v>6640</v>
      </c>
      <c r="BH118" s="9">
        <v>4150</v>
      </c>
      <c r="BI118" s="9">
        <v>1500</v>
      </c>
      <c r="BJ118" s="9">
        <v>508000</v>
      </c>
      <c r="BK118" s="9">
        <v>880</v>
      </c>
      <c r="BL118" s="9">
        <v>80</v>
      </c>
      <c r="BM118" s="9"/>
      <c r="BN118" s="9"/>
      <c r="BO118" s="9"/>
      <c r="BP118" s="9"/>
      <c r="BQ118" s="9"/>
      <c r="BR118" s="9"/>
      <c r="BS118" s="9"/>
      <c r="BT118" s="9"/>
      <c r="BU118" s="9">
        <v>5090</v>
      </c>
      <c r="BV118" s="9">
        <v>3220</v>
      </c>
      <c r="BW118" s="9"/>
      <c r="BX118" s="9">
        <v>458000</v>
      </c>
      <c r="BY118" s="9"/>
      <c r="BZ118" s="10" t="s">
        <v>401</v>
      </c>
      <c r="CA118" s="9"/>
      <c r="CB118" s="9"/>
      <c r="CC118" s="10">
        <f t="shared" si="32"/>
        <v>3.4877355226212869</v>
      </c>
      <c r="CF118" s="10">
        <f t="shared" si="26"/>
        <v>1</v>
      </c>
      <c r="CG118" s="10">
        <f t="shared" si="27"/>
        <v>0</v>
      </c>
      <c r="CH118" s="10">
        <f t="shared" si="28"/>
        <v>16</v>
      </c>
      <c r="CI118" s="9">
        <f t="shared" si="34"/>
        <v>0</v>
      </c>
      <c r="CJ118" s="10">
        <f t="shared" si="29"/>
        <v>43</v>
      </c>
      <c r="CK118" s="10" t="b">
        <f t="shared" si="35"/>
        <v>1</v>
      </c>
      <c r="CL118" s="10" t="b">
        <f t="shared" si="36"/>
        <v>1</v>
      </c>
      <c r="CM118" s="10" t="b">
        <f t="shared" si="37"/>
        <v>1</v>
      </c>
      <c r="CN118" s="9">
        <f t="shared" si="38"/>
        <v>1</v>
      </c>
      <c r="CO118" s="10">
        <f t="shared" ref="CO118:CO130" si="47">(YEAR(AO118)-YEAR(AJ118))*12+MONTH(AO118)-MONTH(AJ118)</f>
        <v>16</v>
      </c>
      <c r="CP118" s="10" t="b">
        <f t="shared" si="39"/>
        <v>1</v>
      </c>
      <c r="CQ118" s="10" t="b">
        <f t="shared" si="40"/>
        <v>1</v>
      </c>
      <c r="CR118" s="10" cm="1">
        <f t="array" ref="CR118">_xlfn.IFS(AND($CI118=0, CK118=FALSE), NA(), AND($CI118=1, CK118=FALSE), 0, CK118=TRUE, 1)</f>
        <v>1</v>
      </c>
      <c r="CS118" s="10" cm="1">
        <f t="array" ref="CS118">_xlfn.IFS(AND($CI118=0, CL118=FALSE), NA(), AND($CI118=1, CL118=FALSE), 0, CL118=TRUE, 1)</f>
        <v>1</v>
      </c>
      <c r="CT118" s="10" cm="1">
        <f t="array" ref="CT118">_xlfn.IFS(AND($CI118=0, CM118=FALSE), NA(), AND($CI118=1, CM118=FALSE), 0, CM118=TRUE, 1)</f>
        <v>1</v>
      </c>
      <c r="CU118" s="10" cm="1">
        <f t="array" ref="CU118">_xlfn.IFS(AND($CN118=0, CP118=FALSE), NA(), AND($CN118=1, CP118=FALSE), 0, CP118=TRUE, 1)</f>
        <v>1</v>
      </c>
      <c r="CV118" s="10" cm="1">
        <f t="array" ref="CV118">_xlfn.IFS(AND($CN118=0, CQ118=FALSE), NA(), AND($CN118=1, CQ118=FALSE), 0, CQ118=TRUE, 1)</f>
        <v>1</v>
      </c>
    </row>
    <row r="119" spans="1:100" ht="15.75" x14ac:dyDescent="0.25">
      <c r="A119" s="8">
        <v>118</v>
      </c>
      <c r="B119" s="9">
        <v>314</v>
      </c>
      <c r="C119" s="10" t="s">
        <v>24</v>
      </c>
      <c r="D119" s="11" t="s">
        <v>247</v>
      </c>
      <c r="E119" s="12"/>
      <c r="F119" s="13">
        <v>1</v>
      </c>
      <c r="G119" s="9">
        <v>67</v>
      </c>
      <c r="H119" s="12">
        <v>39993</v>
      </c>
      <c r="I119" s="9">
        <v>1</v>
      </c>
      <c r="J119" s="12">
        <v>42353</v>
      </c>
      <c r="K119" s="9">
        <v>0</v>
      </c>
      <c r="L119" s="9">
        <v>1</v>
      </c>
      <c r="M119" s="10" t="s">
        <v>401</v>
      </c>
      <c r="N119" s="9">
        <v>1</v>
      </c>
      <c r="O119" s="10" t="s">
        <v>401</v>
      </c>
      <c r="P119" s="9">
        <v>1</v>
      </c>
      <c r="Q119" s="10" t="s">
        <v>401</v>
      </c>
      <c r="R119" s="12">
        <v>42479</v>
      </c>
      <c r="S119" s="10" t="s">
        <v>145</v>
      </c>
      <c r="T119" s="9">
        <v>4</v>
      </c>
      <c r="U119" s="10" t="s">
        <v>401</v>
      </c>
      <c r="V119" s="10" t="s">
        <v>401</v>
      </c>
      <c r="W119" s="9"/>
      <c r="X119" s="9"/>
      <c r="Y119" s="9">
        <v>3</v>
      </c>
      <c r="Z119" s="14">
        <v>1</v>
      </c>
      <c r="AA119" s="21">
        <v>13.9</v>
      </c>
      <c r="AB119" s="22">
        <v>105</v>
      </c>
      <c r="AC119" s="22">
        <v>16</v>
      </c>
      <c r="AD119" s="9">
        <v>2</v>
      </c>
      <c r="AE119" s="9">
        <v>2</v>
      </c>
      <c r="AF119" s="9">
        <v>2</v>
      </c>
      <c r="AG119" s="9">
        <v>1</v>
      </c>
      <c r="AH119" s="9">
        <v>1</v>
      </c>
      <c r="AI119" s="9">
        <v>1</v>
      </c>
      <c r="AJ119" s="12">
        <v>42906</v>
      </c>
      <c r="AK119" s="9">
        <v>2</v>
      </c>
      <c r="AL119" s="12">
        <v>42976</v>
      </c>
      <c r="AM119" s="9">
        <v>4</v>
      </c>
      <c r="AN119" s="12">
        <v>42985</v>
      </c>
      <c r="AO119" s="12">
        <v>42985</v>
      </c>
      <c r="AP119" s="12">
        <v>42985</v>
      </c>
      <c r="AQ119" s="9">
        <v>1</v>
      </c>
      <c r="AR119" s="9">
        <f t="shared" si="30"/>
        <v>1</v>
      </c>
      <c r="AS119" s="9">
        <v>1</v>
      </c>
      <c r="AT119" s="9">
        <v>2</v>
      </c>
      <c r="AU119" s="9">
        <v>2</v>
      </c>
      <c r="AV119" s="9">
        <f t="shared" si="31"/>
        <v>1</v>
      </c>
      <c r="AW119" s="12">
        <v>43158</v>
      </c>
      <c r="AX119" s="9">
        <v>5370</v>
      </c>
      <c r="AY119" s="9">
        <v>3110</v>
      </c>
      <c r="AZ119" s="9">
        <v>1750</v>
      </c>
      <c r="BA119" s="9">
        <v>3110</v>
      </c>
      <c r="BB119" s="9">
        <v>1749.9998779296875</v>
      </c>
      <c r="BC119" s="9">
        <v>126000</v>
      </c>
      <c r="BD119" s="9">
        <v>290</v>
      </c>
      <c r="BE119" s="9">
        <v>230</v>
      </c>
      <c r="BF119" s="9">
        <v>609</v>
      </c>
      <c r="BG119" s="9">
        <v>3950</v>
      </c>
      <c r="BH119" s="9">
        <v>1856</v>
      </c>
      <c r="BI119" s="9"/>
      <c r="BJ119" s="9">
        <v>111000</v>
      </c>
      <c r="BK119" s="9"/>
      <c r="BL119" s="9"/>
      <c r="BM119" s="9">
        <v>343</v>
      </c>
      <c r="BN119" s="9">
        <v>6960</v>
      </c>
      <c r="BO119" s="9">
        <v>4517</v>
      </c>
      <c r="BP119" s="9"/>
      <c r="BQ119" s="9">
        <v>211000</v>
      </c>
      <c r="BR119" s="9"/>
      <c r="BS119" s="9"/>
      <c r="BT119" s="9">
        <v>360</v>
      </c>
      <c r="BU119" s="9">
        <v>7160</v>
      </c>
      <c r="BV119" s="9">
        <v>4797</v>
      </c>
      <c r="BW119" s="9"/>
      <c r="BX119" s="9">
        <v>184000</v>
      </c>
      <c r="BY119" s="9"/>
      <c r="BZ119" s="10" t="s">
        <v>401</v>
      </c>
      <c r="CA119" s="9"/>
      <c r="CB119" s="9">
        <v>336</v>
      </c>
      <c r="CC119" s="10">
        <f t="shared" si="32"/>
        <v>1.7771429811065138</v>
      </c>
      <c r="CD119" s="10">
        <f t="shared" si="33"/>
        <v>72.000005022321773</v>
      </c>
      <c r="CE119" s="10">
        <f t="shared" ref="CE119:CE125" si="48">BC119*CC119</f>
        <v>223920.01561942074</v>
      </c>
      <c r="CF119" s="10">
        <f t="shared" si="26"/>
        <v>0</v>
      </c>
      <c r="CG119" s="10">
        <f t="shared" si="27"/>
        <v>0</v>
      </c>
      <c r="CH119" s="10">
        <f t="shared" si="28"/>
        <v>2</v>
      </c>
      <c r="CI119" s="9">
        <f t="shared" si="34"/>
        <v>1</v>
      </c>
      <c r="CJ119" s="10">
        <f t="shared" si="29"/>
        <v>8</v>
      </c>
      <c r="CK119" s="10" t="b">
        <f t="shared" si="35"/>
        <v>1</v>
      </c>
      <c r="CL119" s="10" t="b">
        <f t="shared" si="36"/>
        <v>0</v>
      </c>
      <c r="CM119" s="10" t="b">
        <f t="shared" si="37"/>
        <v>0</v>
      </c>
      <c r="CN119" s="9">
        <f t="shared" si="38"/>
        <v>1</v>
      </c>
      <c r="CO119" s="10">
        <f t="shared" si="47"/>
        <v>3</v>
      </c>
      <c r="CP119" s="10" t="b">
        <f t="shared" si="39"/>
        <v>1</v>
      </c>
      <c r="CQ119" s="10" t="b">
        <f t="shared" si="40"/>
        <v>0</v>
      </c>
      <c r="CR119" s="10" cm="1">
        <f t="array" ref="CR119">_xlfn.IFS(AND($CI119=0, CK119=FALSE), NA(), AND($CI119=1, CK119=FALSE), 0, CK119=TRUE, 1)</f>
        <v>1</v>
      </c>
      <c r="CS119" s="10" cm="1">
        <f t="array" ref="CS119">_xlfn.IFS(AND($CI119=0, CL119=FALSE), NA(), AND($CI119=1, CL119=FALSE), 0, CL119=TRUE, 1)</f>
        <v>0</v>
      </c>
      <c r="CT119" s="10" cm="1">
        <f t="array" ref="CT119">_xlfn.IFS(AND($CI119=0, CM119=FALSE), NA(), AND($CI119=1, CM119=FALSE), 0, CM119=TRUE, 1)</f>
        <v>0</v>
      </c>
      <c r="CU119" s="10" cm="1">
        <f t="array" ref="CU119">_xlfn.IFS(AND($CN119=0, CP119=FALSE), NA(), AND($CN119=1, CP119=FALSE), 0, CP119=TRUE, 1)</f>
        <v>1</v>
      </c>
      <c r="CV119" s="10" cm="1">
        <f t="array" ref="CV119">_xlfn.IFS(AND($CN119=0, CQ119=FALSE), NA(), AND($CN119=1, CQ119=FALSE), 0, CQ119=TRUE, 1)</f>
        <v>0</v>
      </c>
    </row>
    <row r="120" spans="1:100" ht="15.75" x14ac:dyDescent="0.25">
      <c r="A120" s="8">
        <v>119</v>
      </c>
      <c r="B120" s="9">
        <v>37</v>
      </c>
      <c r="C120" s="10" t="s">
        <v>6</v>
      </c>
      <c r="D120" s="11" t="s">
        <v>71</v>
      </c>
      <c r="E120" s="12">
        <v>19485</v>
      </c>
      <c r="F120" s="13">
        <v>1</v>
      </c>
      <c r="G120" s="9">
        <v>56.147842407226563</v>
      </c>
      <c r="H120" s="12">
        <v>39993</v>
      </c>
      <c r="I120" s="9">
        <v>1</v>
      </c>
      <c r="J120" s="12">
        <v>39993</v>
      </c>
      <c r="K120" s="9">
        <v>0</v>
      </c>
      <c r="L120" s="9">
        <v>1</v>
      </c>
      <c r="M120" s="10" t="s">
        <v>401</v>
      </c>
      <c r="N120" s="9">
        <v>1</v>
      </c>
      <c r="O120" s="10" t="s">
        <v>401</v>
      </c>
      <c r="P120" s="9">
        <v>1</v>
      </c>
      <c r="Q120" s="10" t="s">
        <v>401</v>
      </c>
      <c r="R120" s="12">
        <v>40977</v>
      </c>
      <c r="S120" s="10" t="s">
        <v>145</v>
      </c>
      <c r="T120" s="9">
        <v>5</v>
      </c>
      <c r="U120" s="10" t="s">
        <v>150</v>
      </c>
      <c r="V120" s="10" t="s">
        <v>147</v>
      </c>
      <c r="W120" s="9"/>
      <c r="X120" s="9"/>
      <c r="Y120" s="9">
        <v>5</v>
      </c>
      <c r="Z120" s="14">
        <v>1</v>
      </c>
      <c r="AA120" s="17">
        <v>11.7</v>
      </c>
      <c r="AB120" s="18" t="s">
        <v>462</v>
      </c>
      <c r="AC120" s="18">
        <v>14</v>
      </c>
      <c r="AD120" s="9">
        <v>1</v>
      </c>
      <c r="AE120" s="9">
        <v>1</v>
      </c>
      <c r="AF120" s="9">
        <v>1</v>
      </c>
      <c r="AG120" s="9">
        <v>1</v>
      </c>
      <c r="AH120" s="9">
        <v>1</v>
      </c>
      <c r="AI120" s="9">
        <v>0</v>
      </c>
      <c r="AJ120" s="12">
        <v>43104</v>
      </c>
      <c r="AK120" s="9">
        <v>2</v>
      </c>
      <c r="AL120" s="12">
        <v>43189</v>
      </c>
      <c r="AM120" s="9">
        <v>4</v>
      </c>
      <c r="AN120" s="12">
        <v>43194</v>
      </c>
      <c r="AO120" s="12">
        <v>43194</v>
      </c>
      <c r="AP120" s="12">
        <v>43194</v>
      </c>
      <c r="AQ120" s="9">
        <v>1</v>
      </c>
      <c r="AR120" s="9">
        <f t="shared" si="30"/>
        <v>1</v>
      </c>
      <c r="AS120" s="9">
        <v>1</v>
      </c>
      <c r="AT120" s="9">
        <v>2</v>
      </c>
      <c r="AU120" s="9">
        <v>2</v>
      </c>
      <c r="AV120" s="9">
        <f t="shared" si="31"/>
        <v>1</v>
      </c>
      <c r="AW120" s="12">
        <v>43850</v>
      </c>
      <c r="AX120" s="9">
        <v>5560</v>
      </c>
      <c r="AY120" s="9">
        <v>3340</v>
      </c>
      <c r="AZ120" s="9">
        <v>2100</v>
      </c>
      <c r="BA120" s="9">
        <v>3340</v>
      </c>
      <c r="BB120" s="9">
        <v>2099.999755859375</v>
      </c>
      <c r="BC120" s="9">
        <v>249000</v>
      </c>
      <c r="BD120" s="9"/>
      <c r="BE120" s="9"/>
      <c r="BF120" s="9">
        <v>302</v>
      </c>
      <c r="BG120" s="9">
        <v>6430</v>
      </c>
      <c r="BH120" s="9">
        <v>3930</v>
      </c>
      <c r="BI120" s="9">
        <v>1900</v>
      </c>
      <c r="BJ120" s="9">
        <v>298000</v>
      </c>
      <c r="BK120" s="9"/>
      <c r="BL120" s="9"/>
      <c r="BM120" s="9">
        <v>212</v>
      </c>
      <c r="BN120" s="9">
        <v>5610</v>
      </c>
      <c r="BO120" s="9">
        <v>2950</v>
      </c>
      <c r="BP120" s="9">
        <v>1830</v>
      </c>
      <c r="BQ120" s="9">
        <v>327000</v>
      </c>
      <c r="BR120" s="9"/>
      <c r="BS120" s="9"/>
      <c r="BT120" s="9">
        <v>307</v>
      </c>
      <c r="BU120" s="9">
        <v>6050</v>
      </c>
      <c r="BV120" s="9">
        <v>3690</v>
      </c>
      <c r="BW120" s="9">
        <v>2200</v>
      </c>
      <c r="BX120" s="9">
        <v>314000</v>
      </c>
      <c r="BY120" s="9"/>
      <c r="BZ120" s="10" t="s">
        <v>401</v>
      </c>
      <c r="CA120" s="9"/>
      <c r="CB120" s="9">
        <v>333</v>
      </c>
      <c r="CC120" s="10">
        <f t="shared" si="32"/>
        <v>1.590476375380903</v>
      </c>
      <c r="CD120" s="10">
        <f t="shared" si="33"/>
        <v>118.57144235624098</v>
      </c>
      <c r="CE120" s="10">
        <f t="shared" si="48"/>
        <v>396028.61746984487</v>
      </c>
      <c r="CF120" s="10">
        <f t="shared" si="26"/>
        <v>0</v>
      </c>
      <c r="CG120" s="10">
        <f t="shared" si="27"/>
        <v>0</v>
      </c>
      <c r="CH120" s="10">
        <f t="shared" si="28"/>
        <v>2</v>
      </c>
      <c r="CI120" s="9">
        <f t="shared" si="34"/>
        <v>1</v>
      </c>
      <c r="CJ120" s="10">
        <f t="shared" si="29"/>
        <v>24</v>
      </c>
      <c r="CK120" s="10" t="b">
        <f t="shared" si="35"/>
        <v>1</v>
      </c>
      <c r="CL120" s="10" t="b">
        <f t="shared" si="36"/>
        <v>1</v>
      </c>
      <c r="CM120" s="10" t="b">
        <f t="shared" si="37"/>
        <v>1</v>
      </c>
      <c r="CN120" s="9">
        <f t="shared" si="38"/>
        <v>1</v>
      </c>
      <c r="CO120" s="10">
        <f t="shared" si="47"/>
        <v>3</v>
      </c>
      <c r="CP120" s="10" t="b">
        <f t="shared" si="39"/>
        <v>1</v>
      </c>
      <c r="CQ120" s="10" t="b">
        <f t="shared" si="40"/>
        <v>0</v>
      </c>
      <c r="CR120" s="10" cm="1">
        <f t="array" ref="CR120">_xlfn.IFS(AND($CI120=0, CK120=FALSE), NA(), AND($CI120=1, CK120=FALSE), 0, CK120=TRUE, 1)</f>
        <v>1</v>
      </c>
      <c r="CS120" s="10" cm="1">
        <f t="array" ref="CS120">_xlfn.IFS(AND($CI120=0, CL120=FALSE), NA(), AND($CI120=1, CL120=FALSE), 0, CL120=TRUE, 1)</f>
        <v>1</v>
      </c>
      <c r="CT120" s="10" cm="1">
        <f t="array" ref="CT120">_xlfn.IFS(AND($CI120=0, CM120=FALSE), NA(), AND($CI120=1, CM120=FALSE), 0, CM120=TRUE, 1)</f>
        <v>1</v>
      </c>
      <c r="CU120" s="10" cm="1">
        <f t="array" ref="CU120">_xlfn.IFS(AND($CN120=0, CP120=FALSE), NA(), AND($CN120=1, CP120=FALSE), 0, CP120=TRUE, 1)</f>
        <v>1</v>
      </c>
      <c r="CV120" s="10" cm="1">
        <f t="array" ref="CV120">_xlfn.IFS(AND($CN120=0, CQ120=FALSE), NA(), AND($CN120=1, CQ120=FALSE), 0, CQ120=TRUE, 1)</f>
        <v>0</v>
      </c>
    </row>
    <row r="121" spans="1:100" ht="15.75" x14ac:dyDescent="0.25">
      <c r="A121" s="8">
        <v>120</v>
      </c>
      <c r="B121" s="9">
        <v>82</v>
      </c>
      <c r="C121" s="10" t="s">
        <v>9</v>
      </c>
      <c r="D121" s="11" t="s">
        <v>110</v>
      </c>
      <c r="E121" s="12">
        <v>13858</v>
      </c>
      <c r="F121" s="13">
        <v>1</v>
      </c>
      <c r="G121" s="9">
        <v>71.5975341796875</v>
      </c>
      <c r="H121" s="12">
        <v>40009</v>
      </c>
      <c r="I121" s="9">
        <v>1</v>
      </c>
      <c r="J121" s="12">
        <v>40009</v>
      </c>
      <c r="K121" s="9">
        <v>0</v>
      </c>
      <c r="L121" s="9">
        <v>1</v>
      </c>
      <c r="M121" s="10" t="s">
        <v>401</v>
      </c>
      <c r="N121" s="9">
        <v>2</v>
      </c>
      <c r="O121" s="10" t="s">
        <v>146</v>
      </c>
      <c r="P121" s="9">
        <v>2</v>
      </c>
      <c r="Q121" s="10" t="s">
        <v>146</v>
      </c>
      <c r="R121" s="12">
        <v>41874</v>
      </c>
      <c r="S121" s="10" t="s">
        <v>145</v>
      </c>
      <c r="T121" s="9">
        <v>3</v>
      </c>
      <c r="U121" s="10" t="s">
        <v>151</v>
      </c>
      <c r="V121" s="10" t="s">
        <v>401</v>
      </c>
      <c r="W121" s="9"/>
      <c r="X121" s="9"/>
      <c r="Y121" s="9">
        <v>4</v>
      </c>
      <c r="Z121" s="14">
        <v>1</v>
      </c>
      <c r="AA121" s="15">
        <v>13</v>
      </c>
      <c r="AB121" s="16" t="s">
        <v>475</v>
      </c>
      <c r="AC121" s="16" t="s">
        <v>476</v>
      </c>
      <c r="AD121" s="9">
        <v>2</v>
      </c>
      <c r="AE121" s="9">
        <v>2</v>
      </c>
      <c r="AF121" s="9">
        <v>1</v>
      </c>
      <c r="AG121" s="9">
        <v>0</v>
      </c>
      <c r="AH121" s="9">
        <v>1</v>
      </c>
      <c r="AI121" s="9">
        <v>1</v>
      </c>
      <c r="AJ121" s="12">
        <v>42447</v>
      </c>
      <c r="AK121" s="9">
        <v>2</v>
      </c>
      <c r="AL121" s="12">
        <v>42748</v>
      </c>
      <c r="AM121" s="9">
        <v>2</v>
      </c>
      <c r="AN121" s="12">
        <v>42505</v>
      </c>
      <c r="AO121" s="12">
        <v>42786</v>
      </c>
      <c r="AP121" s="12">
        <v>42786</v>
      </c>
      <c r="AQ121" s="9">
        <v>1</v>
      </c>
      <c r="AR121" s="9">
        <f t="shared" si="30"/>
        <v>1</v>
      </c>
      <c r="AS121" s="9">
        <v>1</v>
      </c>
      <c r="AT121" s="9">
        <v>2</v>
      </c>
      <c r="AU121" s="9">
        <v>2</v>
      </c>
      <c r="AV121" s="9">
        <f t="shared" si="31"/>
        <v>1</v>
      </c>
      <c r="AW121" s="12">
        <v>44598</v>
      </c>
      <c r="AX121" s="9">
        <v>8900</v>
      </c>
      <c r="AY121" s="9">
        <v>3200</v>
      </c>
      <c r="AZ121" s="9">
        <v>2300</v>
      </c>
      <c r="BA121" s="9">
        <v>3200</v>
      </c>
      <c r="BB121" s="9">
        <v>2300.000244140625</v>
      </c>
      <c r="BC121" s="9">
        <v>221000</v>
      </c>
      <c r="BD121" s="9">
        <v>1000</v>
      </c>
      <c r="BE121" s="9">
        <v>400</v>
      </c>
      <c r="BF121" s="9">
        <v>495</v>
      </c>
      <c r="BG121" s="9">
        <v>8600</v>
      </c>
      <c r="BH121" s="9">
        <v>4200</v>
      </c>
      <c r="BI121" s="9">
        <v>2400</v>
      </c>
      <c r="BJ121" s="9">
        <v>273000</v>
      </c>
      <c r="BK121" s="9">
        <v>900</v>
      </c>
      <c r="BL121" s="9">
        <v>500</v>
      </c>
      <c r="BM121" s="9"/>
      <c r="BN121" s="9">
        <v>6300</v>
      </c>
      <c r="BO121" s="9">
        <v>2400</v>
      </c>
      <c r="BP121" s="9">
        <v>2600</v>
      </c>
      <c r="BQ121" s="9">
        <v>256000</v>
      </c>
      <c r="BR121" s="9">
        <v>900</v>
      </c>
      <c r="BS121" s="9">
        <v>500</v>
      </c>
      <c r="BT121" s="9"/>
      <c r="BU121" s="9">
        <v>7210</v>
      </c>
      <c r="BV121" s="9">
        <v>2700</v>
      </c>
      <c r="BW121" s="9">
        <v>3100</v>
      </c>
      <c r="BX121" s="9">
        <v>233000</v>
      </c>
      <c r="BY121" s="9">
        <v>900</v>
      </c>
      <c r="BZ121" s="10" t="s">
        <v>557</v>
      </c>
      <c r="CA121" s="9">
        <v>500</v>
      </c>
      <c r="CB121" s="9"/>
      <c r="CC121" s="10">
        <f t="shared" si="32"/>
        <v>1.3913042001417926</v>
      </c>
      <c r="CD121" s="10">
        <f t="shared" si="33"/>
        <v>96.086946322292548</v>
      </c>
      <c r="CE121" s="10">
        <f t="shared" si="48"/>
        <v>307478.22823133616</v>
      </c>
      <c r="CF121" s="10">
        <f t="shared" si="26"/>
        <v>1</v>
      </c>
      <c r="CG121" s="10">
        <f t="shared" si="27"/>
        <v>1</v>
      </c>
      <c r="CH121" s="10">
        <f t="shared" si="28"/>
        <v>10</v>
      </c>
      <c r="CI121" s="9">
        <f t="shared" si="34"/>
        <v>1</v>
      </c>
      <c r="CJ121" s="10">
        <f t="shared" si="29"/>
        <v>71</v>
      </c>
      <c r="CK121" s="10" t="b">
        <f t="shared" si="35"/>
        <v>1</v>
      </c>
      <c r="CL121" s="10" t="b">
        <f t="shared" si="36"/>
        <v>1</v>
      </c>
      <c r="CM121" s="10" t="b">
        <f t="shared" si="37"/>
        <v>1</v>
      </c>
      <c r="CN121" s="9">
        <f t="shared" si="38"/>
        <v>1</v>
      </c>
      <c r="CO121" s="10">
        <f t="shared" si="47"/>
        <v>11</v>
      </c>
      <c r="CP121" s="10" t="b">
        <f t="shared" si="39"/>
        <v>1</v>
      </c>
      <c r="CQ121" s="10" t="b">
        <f t="shared" si="40"/>
        <v>1</v>
      </c>
      <c r="CR121" s="10" cm="1">
        <f t="array" ref="CR121">_xlfn.IFS(AND($CI121=0, CK121=FALSE), NA(), AND($CI121=1, CK121=FALSE), 0, CK121=TRUE, 1)</f>
        <v>1</v>
      </c>
      <c r="CS121" s="10" cm="1">
        <f t="array" ref="CS121">_xlfn.IFS(AND($CI121=0, CL121=FALSE), NA(), AND($CI121=1, CL121=FALSE), 0, CL121=TRUE, 1)</f>
        <v>1</v>
      </c>
      <c r="CT121" s="10" cm="1">
        <f t="array" ref="CT121">_xlfn.IFS(AND($CI121=0, CM121=FALSE), NA(), AND($CI121=1, CM121=FALSE), 0, CM121=TRUE, 1)</f>
        <v>1</v>
      </c>
      <c r="CU121" s="10" cm="1">
        <f t="array" ref="CU121">_xlfn.IFS(AND($CN121=0, CP121=FALSE), NA(), AND($CN121=1, CP121=FALSE), 0, CP121=TRUE, 1)</f>
        <v>1</v>
      </c>
      <c r="CV121" s="10" cm="1">
        <f t="array" ref="CV121">_xlfn.IFS(AND($CN121=0, CQ121=FALSE), NA(), AND($CN121=1, CQ121=FALSE), 0, CQ121=TRUE, 1)</f>
        <v>1</v>
      </c>
    </row>
    <row r="122" spans="1:100" ht="15.75" x14ac:dyDescent="0.25">
      <c r="A122" s="8">
        <v>121</v>
      </c>
      <c r="B122" s="9">
        <v>362</v>
      </c>
      <c r="C122" s="10" t="s">
        <v>28</v>
      </c>
      <c r="D122" s="11" t="s">
        <v>83</v>
      </c>
      <c r="E122" s="12">
        <v>15151</v>
      </c>
      <c r="F122" s="13">
        <v>1</v>
      </c>
      <c r="G122" s="9">
        <v>68.0574951171875</v>
      </c>
      <c r="H122" s="12">
        <v>40009</v>
      </c>
      <c r="I122" s="9">
        <v>1</v>
      </c>
      <c r="J122" s="12">
        <v>40018</v>
      </c>
      <c r="K122" s="9">
        <v>0</v>
      </c>
      <c r="L122" s="9">
        <v>1</v>
      </c>
      <c r="M122" s="10" t="s">
        <v>401</v>
      </c>
      <c r="N122" s="9">
        <v>2</v>
      </c>
      <c r="O122" s="10" t="s">
        <v>428</v>
      </c>
      <c r="P122" s="9">
        <v>2</v>
      </c>
      <c r="Q122" s="10" t="s">
        <v>410</v>
      </c>
      <c r="R122" s="12">
        <v>43360</v>
      </c>
      <c r="S122" s="10" t="s">
        <v>145</v>
      </c>
      <c r="T122" s="9"/>
      <c r="U122" s="10" t="s">
        <v>401</v>
      </c>
      <c r="V122" s="10" t="s">
        <v>401</v>
      </c>
      <c r="W122" s="9"/>
      <c r="X122" s="9"/>
      <c r="Y122" s="9">
        <v>2</v>
      </c>
      <c r="Z122" s="14">
        <v>1</v>
      </c>
      <c r="AA122" s="15">
        <v>9.9</v>
      </c>
      <c r="AB122" s="16">
        <v>78</v>
      </c>
      <c r="AC122" s="16">
        <v>20</v>
      </c>
      <c r="AD122" s="9">
        <v>2</v>
      </c>
      <c r="AE122" s="9">
        <v>2</v>
      </c>
      <c r="AF122" s="9">
        <v>1</v>
      </c>
      <c r="AG122" s="9">
        <v>1</v>
      </c>
      <c r="AH122" s="9">
        <v>1</v>
      </c>
      <c r="AI122" s="9">
        <v>0</v>
      </c>
      <c r="AJ122" s="12">
        <v>43481</v>
      </c>
      <c r="AK122" s="9">
        <v>2</v>
      </c>
      <c r="AL122" s="12">
        <v>43762</v>
      </c>
      <c r="AM122" s="9">
        <v>3</v>
      </c>
      <c r="AN122" s="12">
        <v>43567</v>
      </c>
      <c r="AO122" s="12">
        <v>43769</v>
      </c>
      <c r="AP122" s="12">
        <v>43769</v>
      </c>
      <c r="AQ122" s="9">
        <v>1</v>
      </c>
      <c r="AR122" s="9">
        <f t="shared" si="30"/>
        <v>1</v>
      </c>
      <c r="AS122" s="9">
        <v>1</v>
      </c>
      <c r="AT122" s="9">
        <v>2</v>
      </c>
      <c r="AU122" s="9">
        <v>2</v>
      </c>
      <c r="AV122" s="9">
        <f t="shared" si="31"/>
        <v>1</v>
      </c>
      <c r="AW122" s="12">
        <v>43901</v>
      </c>
      <c r="AX122" s="9">
        <v>6520</v>
      </c>
      <c r="AY122" s="9">
        <v>4460</v>
      </c>
      <c r="AZ122" s="9">
        <v>610</v>
      </c>
      <c r="BA122" s="9">
        <v>4460</v>
      </c>
      <c r="BB122" s="9">
        <v>609.99993896484375</v>
      </c>
      <c r="BC122" s="9">
        <v>370000</v>
      </c>
      <c r="BD122" s="9">
        <v>1180</v>
      </c>
      <c r="BE122" s="9">
        <v>240</v>
      </c>
      <c r="BF122" s="9">
        <v>595</v>
      </c>
      <c r="BG122" s="9">
        <v>9550</v>
      </c>
      <c r="BH122" s="9">
        <v>7440</v>
      </c>
      <c r="BI122" s="9">
        <v>850</v>
      </c>
      <c r="BJ122" s="9">
        <v>384000</v>
      </c>
      <c r="BK122" s="9">
        <v>790</v>
      </c>
      <c r="BL122" s="9">
        <v>170</v>
      </c>
      <c r="BM122" s="9">
        <v>452</v>
      </c>
      <c r="BN122" s="9">
        <v>9090</v>
      </c>
      <c r="BO122" s="9">
        <v>7170</v>
      </c>
      <c r="BP122" s="9">
        <v>760</v>
      </c>
      <c r="BQ122" s="9">
        <v>414000</v>
      </c>
      <c r="BR122" s="9">
        <v>660</v>
      </c>
      <c r="BS122" s="9">
        <v>120</v>
      </c>
      <c r="BT122" s="9">
        <v>405</v>
      </c>
      <c r="BU122" s="9">
        <v>9280</v>
      </c>
      <c r="BV122" s="9">
        <v>7410</v>
      </c>
      <c r="BW122" s="9">
        <v>820</v>
      </c>
      <c r="BX122" s="9">
        <v>367</v>
      </c>
      <c r="BY122" s="9">
        <v>920</v>
      </c>
      <c r="BZ122" s="10" t="s">
        <v>549</v>
      </c>
      <c r="CA122" s="9">
        <v>110</v>
      </c>
      <c r="CB122" s="9">
        <v>350</v>
      </c>
      <c r="CC122" s="10">
        <f t="shared" si="32"/>
        <v>7.3114761414050635</v>
      </c>
      <c r="CD122" s="10">
        <f t="shared" si="33"/>
        <v>606.55743773988195</v>
      </c>
      <c r="CE122" s="10">
        <f t="shared" si="48"/>
        <v>2705246.1723198737</v>
      </c>
      <c r="CF122" s="10">
        <f t="shared" si="26"/>
        <v>1</v>
      </c>
      <c r="CG122" s="10">
        <f t="shared" si="27"/>
        <v>0</v>
      </c>
      <c r="CH122" s="10">
        <f t="shared" si="28"/>
        <v>9</v>
      </c>
      <c r="CI122" s="9">
        <f t="shared" si="34"/>
        <v>1</v>
      </c>
      <c r="CJ122" s="10">
        <f t="shared" si="29"/>
        <v>14</v>
      </c>
      <c r="CK122" s="10" t="b">
        <f t="shared" si="35"/>
        <v>1</v>
      </c>
      <c r="CL122" s="10" t="b">
        <f t="shared" si="36"/>
        <v>0</v>
      </c>
      <c r="CM122" s="10" t="b">
        <f t="shared" si="37"/>
        <v>0</v>
      </c>
      <c r="CN122" s="9">
        <f t="shared" si="38"/>
        <v>1</v>
      </c>
      <c r="CO122" s="10">
        <f t="shared" si="47"/>
        <v>9</v>
      </c>
      <c r="CP122" s="10" t="b">
        <f t="shared" si="39"/>
        <v>1</v>
      </c>
      <c r="CQ122" s="10" t="b">
        <f t="shared" si="40"/>
        <v>1</v>
      </c>
      <c r="CR122" s="10" cm="1">
        <f t="array" ref="CR122">_xlfn.IFS(AND($CI122=0, CK122=FALSE), NA(), AND($CI122=1, CK122=FALSE), 0, CK122=TRUE, 1)</f>
        <v>1</v>
      </c>
      <c r="CS122" s="10" cm="1">
        <f t="array" ref="CS122">_xlfn.IFS(AND($CI122=0, CL122=FALSE), NA(), AND($CI122=1, CL122=FALSE), 0, CL122=TRUE, 1)</f>
        <v>0</v>
      </c>
      <c r="CT122" s="10" cm="1">
        <f t="array" ref="CT122">_xlfn.IFS(AND($CI122=0, CM122=FALSE), NA(), AND($CI122=1, CM122=FALSE), 0, CM122=TRUE, 1)</f>
        <v>0</v>
      </c>
      <c r="CU122" s="10" cm="1">
        <f t="array" ref="CU122">_xlfn.IFS(AND($CN122=0, CP122=FALSE), NA(), AND($CN122=1, CP122=FALSE), 0, CP122=TRUE, 1)</f>
        <v>1</v>
      </c>
      <c r="CV122" s="10" cm="1">
        <f t="array" ref="CV122">_xlfn.IFS(AND($CN122=0, CQ122=FALSE), NA(), AND($CN122=1, CQ122=FALSE), 0, CQ122=TRUE, 1)</f>
        <v>1</v>
      </c>
    </row>
    <row r="123" spans="1:100" ht="15.75" x14ac:dyDescent="0.25">
      <c r="A123" s="8">
        <v>122</v>
      </c>
      <c r="B123" s="9">
        <v>313</v>
      </c>
      <c r="C123" s="10" t="s">
        <v>24</v>
      </c>
      <c r="D123" s="11" t="s">
        <v>260</v>
      </c>
      <c r="E123" s="12"/>
      <c r="F123" s="13">
        <v>1</v>
      </c>
      <c r="G123" s="9">
        <v>67</v>
      </c>
      <c r="H123" s="12">
        <v>40042</v>
      </c>
      <c r="I123" s="9">
        <v>1</v>
      </c>
      <c r="J123" s="12">
        <v>40134</v>
      </c>
      <c r="K123" s="9">
        <v>0</v>
      </c>
      <c r="L123" s="9">
        <v>1</v>
      </c>
      <c r="M123" s="10" t="s">
        <v>401</v>
      </c>
      <c r="N123" s="9">
        <v>2</v>
      </c>
      <c r="O123" s="10" t="s">
        <v>409</v>
      </c>
      <c r="P123" s="9">
        <v>2</v>
      </c>
      <c r="Q123" s="10" t="s">
        <v>409</v>
      </c>
      <c r="R123" s="12">
        <v>40165</v>
      </c>
      <c r="S123" s="10" t="s">
        <v>145</v>
      </c>
      <c r="T123" s="9">
        <v>6</v>
      </c>
      <c r="U123" s="10" t="s">
        <v>401</v>
      </c>
      <c r="V123" s="10" t="s">
        <v>401</v>
      </c>
      <c r="W123" s="9"/>
      <c r="X123" s="9"/>
      <c r="Y123" s="9">
        <v>3</v>
      </c>
      <c r="Z123" s="14">
        <v>1</v>
      </c>
      <c r="AA123" s="21">
        <v>13.1</v>
      </c>
      <c r="AB123" s="22">
        <v>77</v>
      </c>
      <c r="AC123" s="22">
        <v>15</v>
      </c>
      <c r="AD123" s="9">
        <v>2</v>
      </c>
      <c r="AE123" s="9">
        <v>2</v>
      </c>
      <c r="AF123" s="9">
        <v>1</v>
      </c>
      <c r="AG123" s="9">
        <v>1</v>
      </c>
      <c r="AH123" s="9">
        <v>1</v>
      </c>
      <c r="AI123" s="9">
        <v>1</v>
      </c>
      <c r="AJ123" s="12">
        <v>42516</v>
      </c>
      <c r="AK123" s="9">
        <v>2</v>
      </c>
      <c r="AL123" s="12">
        <v>42612</v>
      </c>
      <c r="AM123" s="9">
        <v>4</v>
      </c>
      <c r="AN123" s="12">
        <v>42565</v>
      </c>
      <c r="AO123" s="12">
        <v>42565</v>
      </c>
      <c r="AP123" s="12">
        <v>42626</v>
      </c>
      <c r="AQ123" s="9">
        <v>1</v>
      </c>
      <c r="AR123" s="9">
        <f t="shared" si="30"/>
        <v>1</v>
      </c>
      <c r="AS123" s="9">
        <v>1</v>
      </c>
      <c r="AT123" s="9">
        <v>1</v>
      </c>
      <c r="AU123" s="9">
        <v>2</v>
      </c>
      <c r="AV123" s="9">
        <f t="shared" si="31"/>
        <v>1</v>
      </c>
      <c r="AW123" s="12">
        <v>42927</v>
      </c>
      <c r="AX123" s="9">
        <v>5570</v>
      </c>
      <c r="AY123" s="9">
        <v>2680</v>
      </c>
      <c r="AZ123" s="9">
        <v>1150</v>
      </c>
      <c r="BA123" s="9">
        <v>2680</v>
      </c>
      <c r="BB123" s="9">
        <v>1150.0001220703125</v>
      </c>
      <c r="BC123" s="9">
        <v>192000</v>
      </c>
      <c r="BD123" s="9">
        <v>320</v>
      </c>
      <c r="BE123" s="9">
        <v>140</v>
      </c>
      <c r="BF123" s="9">
        <v>662</v>
      </c>
      <c r="BG123" s="9">
        <v>6440</v>
      </c>
      <c r="BH123" s="9">
        <v>4733</v>
      </c>
      <c r="BI123" s="9"/>
      <c r="BJ123" s="9">
        <v>194000</v>
      </c>
      <c r="BK123" s="9"/>
      <c r="BL123" s="9"/>
      <c r="BM123" s="9"/>
      <c r="BN123" s="9">
        <v>6040</v>
      </c>
      <c r="BO123" s="9">
        <v>3907</v>
      </c>
      <c r="BP123" s="9"/>
      <c r="BQ123" s="9">
        <v>192000</v>
      </c>
      <c r="BR123" s="9"/>
      <c r="BS123" s="9"/>
      <c r="BT123" s="9"/>
      <c r="BU123" s="9">
        <v>5910</v>
      </c>
      <c r="BV123" s="9">
        <v>4125</v>
      </c>
      <c r="BW123" s="9"/>
      <c r="BX123" s="9">
        <v>186000</v>
      </c>
      <c r="BY123" s="9"/>
      <c r="BZ123" s="10" t="s">
        <v>401</v>
      </c>
      <c r="CA123" s="9"/>
      <c r="CB123" s="9"/>
      <c r="CC123" s="10">
        <f t="shared" si="32"/>
        <v>2.3304345352375027</v>
      </c>
      <c r="CD123" s="10">
        <f t="shared" si="33"/>
        <v>166.95650401701511</v>
      </c>
      <c r="CE123" s="10">
        <f t="shared" si="48"/>
        <v>447443.43076560053</v>
      </c>
      <c r="CF123" s="10">
        <f t="shared" si="26"/>
        <v>0</v>
      </c>
      <c r="CG123" s="10">
        <f t="shared" si="27"/>
        <v>0</v>
      </c>
      <c r="CH123" s="10">
        <f t="shared" si="28"/>
        <v>3</v>
      </c>
      <c r="CI123" s="9">
        <f t="shared" si="34"/>
        <v>1</v>
      </c>
      <c r="CJ123" s="10">
        <f t="shared" si="29"/>
        <v>14</v>
      </c>
      <c r="CK123" s="10" t="b">
        <f t="shared" si="35"/>
        <v>1</v>
      </c>
      <c r="CL123" s="10" t="b">
        <f t="shared" si="36"/>
        <v>0</v>
      </c>
      <c r="CM123" s="10" t="b">
        <f t="shared" si="37"/>
        <v>0</v>
      </c>
      <c r="CN123" s="9">
        <f t="shared" si="38"/>
        <v>1</v>
      </c>
      <c r="CO123" s="10">
        <f t="shared" si="47"/>
        <v>2</v>
      </c>
      <c r="CP123" s="10" t="b">
        <f t="shared" si="39"/>
        <v>0</v>
      </c>
      <c r="CQ123" s="10" t="b">
        <f t="shared" si="40"/>
        <v>0</v>
      </c>
      <c r="CR123" s="10" cm="1">
        <f t="array" ref="CR123">_xlfn.IFS(AND($CI123=0, CK123=FALSE), NA(), AND($CI123=1, CK123=FALSE), 0, CK123=TRUE, 1)</f>
        <v>1</v>
      </c>
      <c r="CS123" s="10" cm="1">
        <f t="array" ref="CS123">_xlfn.IFS(AND($CI123=0, CL123=FALSE), NA(), AND($CI123=1, CL123=FALSE), 0, CL123=TRUE, 1)</f>
        <v>0</v>
      </c>
      <c r="CT123" s="10" cm="1">
        <f t="array" ref="CT123">_xlfn.IFS(AND($CI123=0, CM123=FALSE), NA(), AND($CI123=1, CM123=FALSE), 0, CM123=TRUE, 1)</f>
        <v>0</v>
      </c>
      <c r="CU123" s="10" cm="1">
        <f t="array" ref="CU123">_xlfn.IFS(AND($CN123=0, CP123=FALSE), NA(), AND($CN123=1, CP123=FALSE), 0, CP123=TRUE, 1)</f>
        <v>0</v>
      </c>
      <c r="CV123" s="10" cm="1">
        <f t="array" ref="CV123">_xlfn.IFS(AND($CN123=0, CQ123=FALSE), NA(), AND($CN123=1, CQ123=FALSE), 0, CQ123=TRUE, 1)</f>
        <v>0</v>
      </c>
    </row>
    <row r="124" spans="1:100" ht="15.75" x14ac:dyDescent="0.25">
      <c r="A124" s="8">
        <v>123</v>
      </c>
      <c r="B124" s="9">
        <v>69</v>
      </c>
      <c r="C124" s="10" t="s">
        <v>9</v>
      </c>
      <c r="D124" s="11" t="s">
        <v>97</v>
      </c>
      <c r="E124" s="12">
        <v>20422</v>
      </c>
      <c r="F124" s="13">
        <v>2</v>
      </c>
      <c r="G124" s="9">
        <v>53.757701873779297</v>
      </c>
      <c r="H124" s="12">
        <v>40057</v>
      </c>
      <c r="I124" s="9">
        <v>1</v>
      </c>
      <c r="J124" s="12">
        <v>40071</v>
      </c>
      <c r="K124" s="9">
        <v>1</v>
      </c>
      <c r="L124" s="9">
        <v>1</v>
      </c>
      <c r="M124" s="10" t="s">
        <v>401</v>
      </c>
      <c r="N124" s="9">
        <v>3</v>
      </c>
      <c r="O124" s="10" t="s">
        <v>416</v>
      </c>
      <c r="P124" s="9">
        <v>3</v>
      </c>
      <c r="Q124" s="10" t="s">
        <v>419</v>
      </c>
      <c r="R124" s="12">
        <v>40071</v>
      </c>
      <c r="S124" s="10" t="s">
        <v>145</v>
      </c>
      <c r="T124" s="9">
        <v>3</v>
      </c>
      <c r="U124" s="10" t="s">
        <v>149</v>
      </c>
      <c r="V124" s="10" t="s">
        <v>401</v>
      </c>
      <c r="W124" s="9"/>
      <c r="X124" s="9"/>
      <c r="Y124" s="9">
        <v>4</v>
      </c>
      <c r="Z124" s="14">
        <v>1</v>
      </c>
      <c r="AA124" s="15">
        <v>9.3000000000000007</v>
      </c>
      <c r="AB124" s="16" t="s">
        <v>467</v>
      </c>
      <c r="AC124" s="16" t="s">
        <v>477</v>
      </c>
      <c r="AD124" s="9">
        <v>2</v>
      </c>
      <c r="AE124" s="9">
        <v>2</v>
      </c>
      <c r="AF124" s="9">
        <v>2</v>
      </c>
      <c r="AG124" s="9">
        <v>0</v>
      </c>
      <c r="AH124" s="9">
        <v>1</v>
      </c>
      <c r="AI124" s="9">
        <v>0</v>
      </c>
      <c r="AJ124" s="12">
        <v>42902</v>
      </c>
      <c r="AK124" s="9">
        <v>2</v>
      </c>
      <c r="AL124" s="12">
        <v>42967</v>
      </c>
      <c r="AM124" s="9">
        <v>4</v>
      </c>
      <c r="AN124" s="12">
        <v>42991</v>
      </c>
      <c r="AO124" s="12">
        <v>42991</v>
      </c>
      <c r="AP124" s="12">
        <v>42991</v>
      </c>
      <c r="AQ124" s="9">
        <v>1</v>
      </c>
      <c r="AR124" s="9">
        <f t="shared" si="30"/>
        <v>1</v>
      </c>
      <c r="AS124" s="9">
        <v>1</v>
      </c>
      <c r="AT124" s="9">
        <v>2</v>
      </c>
      <c r="AU124" s="9">
        <v>1</v>
      </c>
      <c r="AV124" s="9">
        <f t="shared" si="31"/>
        <v>0</v>
      </c>
      <c r="AW124" s="12">
        <v>42991</v>
      </c>
      <c r="AX124" s="9">
        <v>7760</v>
      </c>
      <c r="AY124" s="9">
        <v>6100</v>
      </c>
      <c r="AZ124" s="9">
        <v>1200</v>
      </c>
      <c r="BA124" s="9">
        <v>6100</v>
      </c>
      <c r="BB124" s="9">
        <v>1200.0001220703125</v>
      </c>
      <c r="BC124" s="9">
        <v>159000</v>
      </c>
      <c r="BD124" s="9">
        <v>200</v>
      </c>
      <c r="BE124" s="9">
        <v>100</v>
      </c>
      <c r="BF124" s="9">
        <v>639</v>
      </c>
      <c r="BG124" s="9">
        <v>8070</v>
      </c>
      <c r="BH124" s="9">
        <v>6300</v>
      </c>
      <c r="BI124" s="9">
        <v>1100</v>
      </c>
      <c r="BJ124" s="9">
        <v>132000</v>
      </c>
      <c r="BK124" s="9">
        <v>300</v>
      </c>
      <c r="BL124" s="9">
        <v>100</v>
      </c>
      <c r="BM124" s="9">
        <v>557</v>
      </c>
      <c r="BN124" s="9">
        <v>4380</v>
      </c>
      <c r="BO124" s="9">
        <v>3800</v>
      </c>
      <c r="BP124" s="9">
        <v>300</v>
      </c>
      <c r="BQ124" s="9">
        <v>26000</v>
      </c>
      <c r="BR124" s="9">
        <v>200</v>
      </c>
      <c r="BS124" s="9">
        <v>0</v>
      </c>
      <c r="BT124" s="9">
        <v>759</v>
      </c>
      <c r="BU124" s="9"/>
      <c r="BV124" s="9"/>
      <c r="BW124" s="9"/>
      <c r="BX124" s="9"/>
      <c r="BY124" s="9"/>
      <c r="BZ124" s="10" t="s">
        <v>401</v>
      </c>
      <c r="CA124" s="9"/>
      <c r="CB124" s="9"/>
      <c r="CC124" s="10">
        <f t="shared" si="32"/>
        <v>5.0833328162299791</v>
      </c>
      <c r="CD124" s="10">
        <f t="shared" si="33"/>
        <v>132.49998652140437</v>
      </c>
      <c r="CE124" s="10">
        <f t="shared" si="48"/>
        <v>808249.91778056673</v>
      </c>
      <c r="CF124" s="10">
        <f t="shared" si="26"/>
        <v>0</v>
      </c>
      <c r="CG124" s="10">
        <f t="shared" si="27"/>
        <v>0</v>
      </c>
      <c r="CH124" s="10">
        <f t="shared" si="28"/>
        <v>2</v>
      </c>
      <c r="CI124" s="9">
        <f t="shared" si="34"/>
        <v>0</v>
      </c>
      <c r="CJ124" s="10">
        <f t="shared" si="29"/>
        <v>3</v>
      </c>
      <c r="CK124" s="10" t="b">
        <f t="shared" si="35"/>
        <v>0</v>
      </c>
      <c r="CL124" s="10" t="b">
        <f t="shared" si="36"/>
        <v>0</v>
      </c>
      <c r="CM124" s="10" t="b">
        <f t="shared" si="37"/>
        <v>0</v>
      </c>
      <c r="CN124" s="9">
        <f t="shared" si="38"/>
        <v>1</v>
      </c>
      <c r="CO124" s="10">
        <f t="shared" si="47"/>
        <v>3</v>
      </c>
      <c r="CP124" s="10" t="b">
        <f t="shared" si="39"/>
        <v>1</v>
      </c>
      <c r="CQ124" s="10" t="b">
        <f t="shared" si="40"/>
        <v>0</v>
      </c>
      <c r="CR124" s="10" t="e" cm="1">
        <f t="array" ref="CR124">_xlfn.IFS(AND($CI124=0, CK124=FALSE), NA(), AND($CI124=1, CK124=FALSE), 0, CK124=TRUE, 1)</f>
        <v>#N/A</v>
      </c>
      <c r="CS124" s="10" t="e" cm="1">
        <f t="array" ref="CS124">_xlfn.IFS(AND($CI124=0, CL124=FALSE), NA(), AND($CI124=1, CL124=FALSE), 0, CL124=TRUE, 1)</f>
        <v>#N/A</v>
      </c>
      <c r="CT124" s="10" t="e" cm="1">
        <f t="array" ref="CT124">_xlfn.IFS(AND($CI124=0, CM124=FALSE), NA(), AND($CI124=1, CM124=FALSE), 0, CM124=TRUE, 1)</f>
        <v>#N/A</v>
      </c>
      <c r="CU124" s="10" cm="1">
        <f t="array" ref="CU124">_xlfn.IFS(AND($CN124=0, CP124=FALSE), NA(), AND($CN124=1, CP124=FALSE), 0, CP124=TRUE, 1)</f>
        <v>1</v>
      </c>
      <c r="CV124" s="10" cm="1">
        <f t="array" ref="CV124">_xlfn.IFS(AND($CN124=0, CQ124=FALSE), NA(), AND($CN124=1, CQ124=FALSE), 0, CQ124=TRUE, 1)</f>
        <v>0</v>
      </c>
    </row>
    <row r="125" spans="1:100" ht="15.75" x14ac:dyDescent="0.25">
      <c r="A125" s="8">
        <v>124</v>
      </c>
      <c r="B125" s="9">
        <v>300</v>
      </c>
      <c r="C125" s="10" t="s">
        <v>23</v>
      </c>
      <c r="D125" s="11" t="s">
        <v>217</v>
      </c>
      <c r="E125" s="12">
        <v>14586</v>
      </c>
      <c r="F125" s="13">
        <v>1</v>
      </c>
      <c r="G125" s="9">
        <v>69.735794067382813</v>
      </c>
      <c r="H125" s="12">
        <v>40057</v>
      </c>
      <c r="I125" s="9">
        <v>1</v>
      </c>
      <c r="J125" s="12">
        <v>40057</v>
      </c>
      <c r="K125" s="9">
        <v>1</v>
      </c>
      <c r="L125" s="9">
        <v>1</v>
      </c>
      <c r="M125" s="10" t="s">
        <v>401</v>
      </c>
      <c r="N125" s="9"/>
      <c r="O125" s="10" t="s">
        <v>401</v>
      </c>
      <c r="P125" s="9"/>
      <c r="Q125" s="10" t="s">
        <v>401</v>
      </c>
      <c r="R125" s="12">
        <v>40057</v>
      </c>
      <c r="S125" s="10" t="s">
        <v>146</v>
      </c>
      <c r="T125" s="9"/>
      <c r="U125" s="10" t="s">
        <v>401</v>
      </c>
      <c r="V125" s="10" t="s">
        <v>401</v>
      </c>
      <c r="W125" s="9"/>
      <c r="X125" s="9"/>
      <c r="Y125" s="9">
        <v>2</v>
      </c>
      <c r="Z125" s="14">
        <v>2</v>
      </c>
      <c r="AA125" s="15">
        <v>9.9</v>
      </c>
      <c r="AB125" s="16">
        <v>85</v>
      </c>
      <c r="AC125" s="16">
        <v>16</v>
      </c>
      <c r="AD125" s="9">
        <v>2</v>
      </c>
      <c r="AE125" s="9">
        <v>2</v>
      </c>
      <c r="AF125" s="9">
        <v>1</v>
      </c>
      <c r="AG125" s="9">
        <v>1</v>
      </c>
      <c r="AH125" s="9">
        <v>1</v>
      </c>
      <c r="AI125" s="9">
        <v>1</v>
      </c>
      <c r="AJ125" s="12">
        <v>43228</v>
      </c>
      <c r="AK125" s="9">
        <v>2</v>
      </c>
      <c r="AL125" s="12">
        <v>43356</v>
      </c>
      <c r="AM125" s="9">
        <v>3</v>
      </c>
      <c r="AN125" s="12">
        <v>43305</v>
      </c>
      <c r="AO125" s="12">
        <v>43496</v>
      </c>
      <c r="AP125" s="12">
        <v>43496</v>
      </c>
      <c r="AQ125" s="9">
        <v>1</v>
      </c>
      <c r="AR125" s="9">
        <f t="shared" si="30"/>
        <v>1</v>
      </c>
      <c r="AS125" s="9">
        <v>1</v>
      </c>
      <c r="AT125" s="9">
        <v>2</v>
      </c>
      <c r="AU125" s="9">
        <v>2</v>
      </c>
      <c r="AV125" s="9">
        <f t="shared" si="31"/>
        <v>1</v>
      </c>
      <c r="AW125" s="12">
        <v>43496</v>
      </c>
      <c r="AX125" s="9">
        <v>7500</v>
      </c>
      <c r="AY125" s="9">
        <v>4800</v>
      </c>
      <c r="AZ125" s="9">
        <v>1600</v>
      </c>
      <c r="BA125" s="9">
        <v>4800</v>
      </c>
      <c r="BB125" s="9">
        <v>1600.0001220703125</v>
      </c>
      <c r="BC125" s="9">
        <v>299000</v>
      </c>
      <c r="BD125" s="9">
        <v>700</v>
      </c>
      <c r="BE125" s="9">
        <v>200</v>
      </c>
      <c r="BF125" s="9">
        <v>214</v>
      </c>
      <c r="BG125" s="9">
        <v>6910</v>
      </c>
      <c r="BH125" s="9">
        <v>5700</v>
      </c>
      <c r="BI125" s="9">
        <v>1700</v>
      </c>
      <c r="BJ125" s="9">
        <v>335000</v>
      </c>
      <c r="BK125" s="9">
        <v>700</v>
      </c>
      <c r="BL125" s="9">
        <v>200</v>
      </c>
      <c r="BM125" s="9">
        <v>221</v>
      </c>
      <c r="BN125" s="9">
        <v>8400</v>
      </c>
      <c r="BO125" s="9">
        <v>4200</v>
      </c>
      <c r="BP125" s="9">
        <v>1700</v>
      </c>
      <c r="BQ125" s="9">
        <v>321000</v>
      </c>
      <c r="BR125" s="9">
        <v>500</v>
      </c>
      <c r="BS125" s="9">
        <v>400</v>
      </c>
      <c r="BT125" s="9">
        <v>265</v>
      </c>
      <c r="BU125" s="9">
        <v>6270</v>
      </c>
      <c r="BV125" s="9">
        <v>3600</v>
      </c>
      <c r="BW125" s="9">
        <v>1900</v>
      </c>
      <c r="BX125" s="9">
        <v>206000</v>
      </c>
      <c r="BY125" s="9">
        <v>500</v>
      </c>
      <c r="BZ125" s="10" t="s">
        <v>543</v>
      </c>
      <c r="CA125" s="9">
        <v>400</v>
      </c>
      <c r="CB125" s="9">
        <v>256</v>
      </c>
      <c r="CC125" s="10">
        <f t="shared" si="32"/>
        <v>2.9999997711181816</v>
      </c>
      <c r="CD125" s="10">
        <f t="shared" si="33"/>
        <v>186.87498574257006</v>
      </c>
      <c r="CE125" s="10">
        <f t="shared" si="48"/>
        <v>896999.93156433629</v>
      </c>
      <c r="CF125" s="10">
        <f t="shared" si="26"/>
        <v>1</v>
      </c>
      <c r="CG125" s="10">
        <f t="shared" si="27"/>
        <v>0</v>
      </c>
      <c r="CH125" s="10">
        <f t="shared" si="28"/>
        <v>4</v>
      </c>
      <c r="CI125" s="9">
        <f t="shared" si="34"/>
        <v>1</v>
      </c>
      <c r="CJ125" s="10">
        <f t="shared" si="29"/>
        <v>8</v>
      </c>
      <c r="CK125" s="10" t="b">
        <f t="shared" si="35"/>
        <v>1</v>
      </c>
      <c r="CL125" s="10" t="b">
        <f t="shared" si="36"/>
        <v>0</v>
      </c>
      <c r="CM125" s="10" t="b">
        <f t="shared" si="37"/>
        <v>0</v>
      </c>
      <c r="CN125" s="9">
        <f t="shared" si="38"/>
        <v>1</v>
      </c>
      <c r="CO125" s="10">
        <f t="shared" si="47"/>
        <v>8</v>
      </c>
      <c r="CP125" s="10" t="b">
        <f t="shared" si="39"/>
        <v>1</v>
      </c>
      <c r="CQ125" s="10" t="b">
        <f t="shared" si="40"/>
        <v>0</v>
      </c>
      <c r="CR125" s="10" cm="1">
        <f t="array" ref="CR125">_xlfn.IFS(AND($CI125=0, CK125=FALSE), NA(), AND($CI125=1, CK125=FALSE), 0, CK125=TRUE, 1)</f>
        <v>1</v>
      </c>
      <c r="CS125" s="10" cm="1">
        <f t="array" ref="CS125">_xlfn.IFS(AND($CI125=0, CL125=FALSE), NA(), AND($CI125=1, CL125=FALSE), 0, CL125=TRUE, 1)</f>
        <v>0</v>
      </c>
      <c r="CT125" s="10" cm="1">
        <f t="array" ref="CT125">_xlfn.IFS(AND($CI125=0, CM125=FALSE), NA(), AND($CI125=1, CM125=FALSE), 0, CM125=TRUE, 1)</f>
        <v>0</v>
      </c>
      <c r="CU125" s="10" cm="1">
        <f t="array" ref="CU125">_xlfn.IFS(AND($CN125=0, CP125=FALSE), NA(), AND($CN125=1, CP125=FALSE), 0, CP125=TRUE, 1)</f>
        <v>1</v>
      </c>
      <c r="CV125" s="10" cm="1">
        <f t="array" ref="CV125">_xlfn.IFS(AND($CN125=0, CQ125=FALSE), NA(), AND($CN125=1, CQ125=FALSE), 0, CQ125=TRUE, 1)</f>
        <v>0</v>
      </c>
    </row>
    <row r="126" spans="1:100" x14ac:dyDescent="0.25">
      <c r="A126" s="8">
        <v>125</v>
      </c>
      <c r="B126" s="9">
        <v>18</v>
      </c>
      <c r="C126" s="10" t="s">
        <v>4</v>
      </c>
      <c r="D126" s="11" t="s">
        <v>54</v>
      </c>
      <c r="E126" s="12">
        <v>23081</v>
      </c>
      <c r="F126" s="13">
        <v>1</v>
      </c>
      <c r="G126" s="9">
        <v>46.554416656494141</v>
      </c>
      <c r="H126" s="12">
        <v>40085</v>
      </c>
      <c r="I126" s="9">
        <v>1</v>
      </c>
      <c r="J126" s="12">
        <v>40085</v>
      </c>
      <c r="K126" s="9">
        <v>0</v>
      </c>
      <c r="L126" s="9">
        <v>1</v>
      </c>
      <c r="M126" s="10" t="s">
        <v>401</v>
      </c>
      <c r="N126" s="9">
        <v>1</v>
      </c>
      <c r="O126" s="10" t="s">
        <v>401</v>
      </c>
      <c r="P126" s="9">
        <v>1</v>
      </c>
      <c r="Q126" s="10" t="s">
        <v>401</v>
      </c>
      <c r="R126" s="12">
        <v>42005</v>
      </c>
      <c r="S126" s="10" t="s">
        <v>145</v>
      </c>
      <c r="T126" s="9">
        <v>5</v>
      </c>
      <c r="U126" s="10" t="s">
        <v>149</v>
      </c>
      <c r="V126" s="10" t="s">
        <v>401</v>
      </c>
      <c r="W126" s="9"/>
      <c r="X126" s="9"/>
      <c r="Y126" s="9">
        <v>4</v>
      </c>
      <c r="Z126" s="19">
        <v>1</v>
      </c>
      <c r="AB126" s="9"/>
      <c r="AC126" s="9"/>
      <c r="AD126" s="9">
        <v>1</v>
      </c>
      <c r="AE126" s="9">
        <v>1</v>
      </c>
      <c r="AF126" s="9">
        <v>1</v>
      </c>
      <c r="AG126" s="9">
        <v>0</v>
      </c>
      <c r="AH126" s="9">
        <v>1</v>
      </c>
      <c r="AI126" s="9">
        <v>0</v>
      </c>
      <c r="AJ126" s="12">
        <v>42641</v>
      </c>
      <c r="AK126" s="9">
        <v>2</v>
      </c>
      <c r="AL126" s="12">
        <v>44118</v>
      </c>
      <c r="AM126" s="9">
        <v>2</v>
      </c>
      <c r="AN126" s="12">
        <v>43308</v>
      </c>
      <c r="AO126" s="12">
        <v>44140</v>
      </c>
      <c r="AP126" s="12">
        <v>44140</v>
      </c>
      <c r="AQ126" s="9">
        <v>1</v>
      </c>
      <c r="AR126" s="9">
        <f t="shared" si="30"/>
        <v>1</v>
      </c>
      <c r="AS126" s="9">
        <v>1</v>
      </c>
      <c r="AT126" s="9">
        <v>2</v>
      </c>
      <c r="AU126" s="9">
        <v>1</v>
      </c>
      <c r="AV126" s="9">
        <f t="shared" si="31"/>
        <v>0</v>
      </c>
      <c r="AW126" s="12">
        <v>44965</v>
      </c>
      <c r="AX126" s="9"/>
      <c r="AY126" s="9"/>
      <c r="AZ126" s="9"/>
      <c r="BA126" s="9">
        <v>4302.556640625</v>
      </c>
      <c r="BB126" s="9">
        <v>1236.85888671875</v>
      </c>
      <c r="BC126" s="9"/>
      <c r="BD126" s="9"/>
      <c r="BE126" s="9"/>
      <c r="BF126" s="9"/>
      <c r="BG126" s="9">
        <v>5200</v>
      </c>
      <c r="BH126" s="9">
        <v>3500</v>
      </c>
      <c r="BI126" s="9">
        <v>1200</v>
      </c>
      <c r="BJ126" s="9">
        <v>194000</v>
      </c>
      <c r="BK126" s="9">
        <v>400</v>
      </c>
      <c r="BL126" s="9">
        <v>200</v>
      </c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10" t="s">
        <v>401</v>
      </c>
      <c r="CA126" s="9"/>
      <c r="CB126" s="9"/>
      <c r="CC126" s="10">
        <f t="shared" si="32"/>
        <v>3.4786156180186469</v>
      </c>
      <c r="CF126" s="10">
        <f t="shared" si="26"/>
        <v>1</v>
      </c>
      <c r="CG126" s="10">
        <f t="shared" si="27"/>
        <v>1</v>
      </c>
      <c r="CH126" s="10">
        <f t="shared" si="28"/>
        <v>49</v>
      </c>
      <c r="CI126" s="9">
        <f t="shared" si="34"/>
        <v>0</v>
      </c>
      <c r="CJ126" s="10">
        <f t="shared" si="29"/>
        <v>77</v>
      </c>
      <c r="CK126" s="10" t="b">
        <f t="shared" si="35"/>
        <v>1</v>
      </c>
      <c r="CL126" s="10" t="b">
        <f t="shared" si="36"/>
        <v>1</v>
      </c>
      <c r="CM126" s="10" t="b">
        <f t="shared" si="37"/>
        <v>1</v>
      </c>
      <c r="CN126" s="9">
        <f t="shared" si="38"/>
        <v>1</v>
      </c>
      <c r="CO126" s="10">
        <f t="shared" si="47"/>
        <v>50</v>
      </c>
      <c r="CP126" s="10" t="b">
        <f t="shared" si="39"/>
        <v>1</v>
      </c>
      <c r="CQ126" s="10" t="b">
        <f t="shared" si="40"/>
        <v>1</v>
      </c>
      <c r="CR126" s="10" cm="1">
        <f t="array" ref="CR126">_xlfn.IFS(AND($CI126=0, CK126=FALSE), NA(), AND($CI126=1, CK126=FALSE), 0, CK126=TRUE, 1)</f>
        <v>1</v>
      </c>
      <c r="CS126" s="10" cm="1">
        <f t="array" ref="CS126">_xlfn.IFS(AND($CI126=0, CL126=FALSE), NA(), AND($CI126=1, CL126=FALSE), 0, CL126=TRUE, 1)</f>
        <v>1</v>
      </c>
      <c r="CT126" s="10" cm="1">
        <f t="array" ref="CT126">_xlfn.IFS(AND($CI126=0, CM126=FALSE), NA(), AND($CI126=1, CM126=FALSE), 0, CM126=TRUE, 1)</f>
        <v>1</v>
      </c>
      <c r="CU126" s="10" cm="1">
        <f t="array" ref="CU126">_xlfn.IFS(AND($CN126=0, CP126=FALSE), NA(), AND($CN126=1, CP126=FALSE), 0, CP126=TRUE, 1)</f>
        <v>1</v>
      </c>
      <c r="CV126" s="10" cm="1">
        <f t="array" ref="CV126">_xlfn.IFS(AND($CN126=0, CQ126=FALSE), NA(), AND($CN126=1, CQ126=FALSE), 0, CQ126=TRUE, 1)</f>
        <v>1</v>
      </c>
    </row>
    <row r="127" spans="1:100" ht="15.75" x14ac:dyDescent="0.25">
      <c r="A127" s="8">
        <v>126</v>
      </c>
      <c r="B127" s="9">
        <v>516</v>
      </c>
      <c r="C127" s="10" t="s">
        <v>33</v>
      </c>
      <c r="D127" s="11" t="s">
        <v>56</v>
      </c>
      <c r="E127" s="12">
        <v>14059</v>
      </c>
      <c r="F127" s="13">
        <v>1</v>
      </c>
      <c r="G127" s="9">
        <v>71.293632507324219</v>
      </c>
      <c r="H127" s="12">
        <v>40099</v>
      </c>
      <c r="I127" s="9">
        <v>1</v>
      </c>
      <c r="J127" s="12">
        <v>40238</v>
      </c>
      <c r="K127" s="9">
        <v>1</v>
      </c>
      <c r="L127" s="9">
        <v>3</v>
      </c>
      <c r="M127" s="10" t="s">
        <v>401</v>
      </c>
      <c r="N127" s="9">
        <v>1</v>
      </c>
      <c r="O127" s="10" t="s">
        <v>401</v>
      </c>
      <c r="P127" s="9">
        <v>1</v>
      </c>
      <c r="Q127" s="10" t="s">
        <v>401</v>
      </c>
      <c r="R127" s="12">
        <v>41556</v>
      </c>
      <c r="S127" s="10" t="s">
        <v>145</v>
      </c>
      <c r="T127" s="9">
        <v>6</v>
      </c>
      <c r="U127" s="10" t="s">
        <v>401</v>
      </c>
      <c r="V127" s="10" t="s">
        <v>401</v>
      </c>
      <c r="W127" s="9"/>
      <c r="X127" s="9"/>
      <c r="Y127" s="9">
        <v>3</v>
      </c>
      <c r="Z127" s="14">
        <v>1</v>
      </c>
      <c r="AA127" s="17">
        <v>12.2</v>
      </c>
      <c r="AB127" s="18">
        <v>90</v>
      </c>
      <c r="AC127" s="18">
        <v>16</v>
      </c>
      <c r="AD127" s="9">
        <v>1</v>
      </c>
      <c r="AE127" s="9">
        <v>1</v>
      </c>
      <c r="AF127" s="9">
        <v>1</v>
      </c>
      <c r="AG127" s="9">
        <v>1</v>
      </c>
      <c r="AH127" s="9">
        <v>1</v>
      </c>
      <c r="AI127" s="9">
        <v>0</v>
      </c>
      <c r="AJ127" s="12">
        <v>42898</v>
      </c>
      <c r="AK127" s="9">
        <v>2</v>
      </c>
      <c r="AL127" s="12">
        <v>43066</v>
      </c>
      <c r="AM127" s="9">
        <v>4</v>
      </c>
      <c r="AN127" s="12">
        <v>42955</v>
      </c>
      <c r="AO127" s="12">
        <v>42955</v>
      </c>
      <c r="AP127" s="12">
        <v>43069</v>
      </c>
      <c r="AQ127" s="9">
        <v>1</v>
      </c>
      <c r="AR127" s="9">
        <f t="shared" si="30"/>
        <v>1</v>
      </c>
      <c r="AS127" s="9">
        <v>1</v>
      </c>
      <c r="AT127" s="9">
        <v>1</v>
      </c>
      <c r="AU127" s="9">
        <v>2</v>
      </c>
      <c r="AV127" s="9">
        <f t="shared" si="31"/>
        <v>1</v>
      </c>
      <c r="AW127" s="12">
        <v>44392</v>
      </c>
      <c r="AX127" s="9"/>
      <c r="AY127" s="9"/>
      <c r="AZ127" s="9"/>
      <c r="BA127" s="9">
        <v>4673.4365234375</v>
      </c>
      <c r="BB127" s="9">
        <v>1451.9476318359375</v>
      </c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10" t="s">
        <v>401</v>
      </c>
      <c r="CA127" s="9"/>
      <c r="CB127" s="9"/>
      <c r="CC127" s="10">
        <f t="shared" si="32"/>
        <v>3.2187362828837713</v>
      </c>
      <c r="CF127" s="10">
        <f t="shared" si="26"/>
        <v>0</v>
      </c>
      <c r="CG127" s="10">
        <f t="shared" si="27"/>
        <v>0</v>
      </c>
      <c r="CH127" s="10">
        <f t="shared" si="28"/>
        <v>5</v>
      </c>
      <c r="CI127" s="9">
        <f t="shared" si="34"/>
        <v>1</v>
      </c>
      <c r="CJ127" s="10">
        <f t="shared" si="29"/>
        <v>49</v>
      </c>
      <c r="CK127" s="10" t="b">
        <f t="shared" si="35"/>
        <v>1</v>
      </c>
      <c r="CL127" s="10" t="b">
        <f t="shared" si="36"/>
        <v>1</v>
      </c>
      <c r="CM127" s="10" t="b">
        <f t="shared" si="37"/>
        <v>1</v>
      </c>
      <c r="CN127" s="9">
        <f t="shared" si="38"/>
        <v>1</v>
      </c>
      <c r="CO127" s="10">
        <f t="shared" si="47"/>
        <v>2</v>
      </c>
      <c r="CP127" s="10" t="b">
        <f t="shared" si="39"/>
        <v>0</v>
      </c>
      <c r="CQ127" s="10" t="b">
        <f t="shared" si="40"/>
        <v>0</v>
      </c>
      <c r="CR127" s="10" cm="1">
        <f t="array" ref="CR127">_xlfn.IFS(AND($CI127=0, CK127=FALSE), NA(), AND($CI127=1, CK127=FALSE), 0, CK127=TRUE, 1)</f>
        <v>1</v>
      </c>
      <c r="CS127" s="10" cm="1">
        <f t="array" ref="CS127">_xlfn.IFS(AND($CI127=0, CL127=FALSE), NA(), AND($CI127=1, CL127=FALSE), 0, CL127=TRUE, 1)</f>
        <v>1</v>
      </c>
      <c r="CT127" s="10" cm="1">
        <f t="array" ref="CT127">_xlfn.IFS(AND($CI127=0, CM127=FALSE), NA(), AND($CI127=1, CM127=FALSE), 0, CM127=TRUE, 1)</f>
        <v>1</v>
      </c>
      <c r="CU127" s="10" cm="1">
        <f t="array" ref="CU127">_xlfn.IFS(AND($CN127=0, CP127=FALSE), NA(), AND($CN127=1, CP127=FALSE), 0, CP127=TRUE, 1)</f>
        <v>0</v>
      </c>
      <c r="CV127" s="10" cm="1">
        <f t="array" ref="CV127">_xlfn.IFS(AND($CN127=0, CQ127=FALSE), NA(), AND($CN127=1, CQ127=FALSE), 0, CQ127=TRUE, 1)</f>
        <v>0</v>
      </c>
    </row>
    <row r="128" spans="1:100" ht="15.75" x14ac:dyDescent="0.25">
      <c r="A128" s="8">
        <v>127</v>
      </c>
      <c r="B128" s="9">
        <v>564</v>
      </c>
      <c r="C128" s="10" t="s">
        <v>36</v>
      </c>
      <c r="D128" s="11" t="s">
        <v>64</v>
      </c>
      <c r="E128" s="12">
        <v>16917</v>
      </c>
      <c r="F128" s="13">
        <v>1</v>
      </c>
      <c r="G128" s="9">
        <v>63.583847045898438</v>
      </c>
      <c r="H128" s="12">
        <v>40141</v>
      </c>
      <c r="I128" s="9">
        <v>1</v>
      </c>
      <c r="J128" s="12">
        <v>40141</v>
      </c>
      <c r="K128" s="9">
        <v>0</v>
      </c>
      <c r="L128" s="9">
        <v>2</v>
      </c>
      <c r="M128" s="10" t="s">
        <v>401</v>
      </c>
      <c r="N128" s="9">
        <v>1</v>
      </c>
      <c r="O128" s="10" t="s">
        <v>401</v>
      </c>
      <c r="P128" s="9">
        <v>1</v>
      </c>
      <c r="Q128" s="10" t="s">
        <v>401</v>
      </c>
      <c r="R128" s="12">
        <v>42717</v>
      </c>
      <c r="S128" s="10" t="s">
        <v>146</v>
      </c>
      <c r="T128" s="9"/>
      <c r="U128" s="10" t="s">
        <v>401</v>
      </c>
      <c r="V128" s="10" t="s">
        <v>401</v>
      </c>
      <c r="W128" s="9"/>
      <c r="X128" s="9"/>
      <c r="Y128" s="9">
        <v>2</v>
      </c>
      <c r="Z128" s="14">
        <v>2</v>
      </c>
      <c r="AA128" s="17">
        <v>15.1</v>
      </c>
      <c r="AB128" s="18">
        <v>86</v>
      </c>
      <c r="AC128" s="18">
        <v>14</v>
      </c>
      <c r="AD128" s="9">
        <v>1</v>
      </c>
      <c r="AE128" s="9">
        <v>1</v>
      </c>
      <c r="AF128" s="9">
        <v>1</v>
      </c>
      <c r="AG128" s="9">
        <v>0</v>
      </c>
      <c r="AH128" s="9">
        <v>1</v>
      </c>
      <c r="AI128" s="9">
        <v>0</v>
      </c>
      <c r="AJ128" s="12">
        <v>43521</v>
      </c>
      <c r="AK128" s="9">
        <v>2</v>
      </c>
      <c r="AL128" s="12">
        <v>43945</v>
      </c>
      <c r="AM128" s="9">
        <v>3</v>
      </c>
      <c r="AN128" s="12">
        <v>43689</v>
      </c>
      <c r="AO128" s="12">
        <v>43977</v>
      </c>
      <c r="AP128" s="12">
        <v>43977</v>
      </c>
      <c r="AQ128" s="9">
        <v>1</v>
      </c>
      <c r="AR128" s="9">
        <f t="shared" si="30"/>
        <v>1</v>
      </c>
      <c r="AS128" s="9">
        <v>1</v>
      </c>
      <c r="AT128" s="9">
        <v>2</v>
      </c>
      <c r="AU128" s="9">
        <v>2</v>
      </c>
      <c r="AV128" s="9">
        <f t="shared" si="31"/>
        <v>1</v>
      </c>
      <c r="AW128" s="12">
        <v>44567</v>
      </c>
      <c r="AX128" s="9">
        <v>3600</v>
      </c>
      <c r="AY128" s="9">
        <v>2600</v>
      </c>
      <c r="AZ128" s="9">
        <v>600</v>
      </c>
      <c r="BA128" s="9">
        <v>2600</v>
      </c>
      <c r="BB128" s="9">
        <v>600.00006103515625</v>
      </c>
      <c r="BC128" s="9">
        <v>133000</v>
      </c>
      <c r="BD128" s="9">
        <v>300</v>
      </c>
      <c r="BE128" s="9">
        <v>100</v>
      </c>
      <c r="BF128" s="9">
        <v>130</v>
      </c>
      <c r="BG128" s="9">
        <v>2700</v>
      </c>
      <c r="BH128" s="9">
        <v>1900</v>
      </c>
      <c r="BI128" s="9">
        <v>600</v>
      </c>
      <c r="BJ128" s="9">
        <v>105000</v>
      </c>
      <c r="BK128" s="9">
        <v>200</v>
      </c>
      <c r="BL128" s="9">
        <v>0</v>
      </c>
      <c r="BM128" s="9">
        <v>136</v>
      </c>
      <c r="BN128" s="9">
        <v>2600</v>
      </c>
      <c r="BO128" s="9">
        <v>1700</v>
      </c>
      <c r="BP128" s="9">
        <v>600</v>
      </c>
      <c r="BQ128" s="9">
        <v>114000</v>
      </c>
      <c r="BR128" s="9">
        <v>200</v>
      </c>
      <c r="BS128" s="9">
        <v>0</v>
      </c>
      <c r="BT128" s="9">
        <v>166</v>
      </c>
      <c r="BU128" s="9">
        <v>3400</v>
      </c>
      <c r="BV128" s="9">
        <v>2800</v>
      </c>
      <c r="BW128" s="9">
        <v>400</v>
      </c>
      <c r="BX128" s="9">
        <v>116000</v>
      </c>
      <c r="BY128" s="9">
        <v>200</v>
      </c>
      <c r="BZ128" s="10" t="s">
        <v>442</v>
      </c>
      <c r="CA128" s="9">
        <v>0</v>
      </c>
      <c r="CB128" s="9">
        <v>272</v>
      </c>
      <c r="CC128" s="10">
        <f t="shared" si="32"/>
        <v>4.3333328925239165</v>
      </c>
      <c r="CD128" s="10">
        <f t="shared" si="33"/>
        <v>221.66664411756958</v>
      </c>
      <c r="CE128" s="10">
        <f t="shared" ref="CE128:CE131" si="49">BC128*CC128</f>
        <v>576333.2747056809</v>
      </c>
      <c r="CF128" s="10">
        <f t="shared" si="26"/>
        <v>1</v>
      </c>
      <c r="CG128" s="10">
        <f t="shared" si="27"/>
        <v>0</v>
      </c>
      <c r="CH128" s="10">
        <f t="shared" si="28"/>
        <v>14</v>
      </c>
      <c r="CI128" s="9">
        <f t="shared" si="34"/>
        <v>1</v>
      </c>
      <c r="CJ128" s="10">
        <f t="shared" si="29"/>
        <v>35</v>
      </c>
      <c r="CK128" s="10" t="b">
        <f t="shared" si="35"/>
        <v>1</v>
      </c>
      <c r="CL128" s="10" t="b">
        <f t="shared" si="36"/>
        <v>1</v>
      </c>
      <c r="CM128" s="10" t="b">
        <f t="shared" si="37"/>
        <v>1</v>
      </c>
      <c r="CN128" s="9">
        <f t="shared" si="38"/>
        <v>1</v>
      </c>
      <c r="CO128" s="10">
        <f t="shared" si="47"/>
        <v>15</v>
      </c>
      <c r="CP128" s="10" t="b">
        <f t="shared" si="39"/>
        <v>1</v>
      </c>
      <c r="CQ128" s="10" t="b">
        <f t="shared" si="40"/>
        <v>1</v>
      </c>
      <c r="CR128" s="10" cm="1">
        <f t="array" ref="CR128">_xlfn.IFS(AND($CI128=0, CK128=FALSE), NA(), AND($CI128=1, CK128=FALSE), 0, CK128=TRUE, 1)</f>
        <v>1</v>
      </c>
      <c r="CS128" s="10" cm="1">
        <f t="array" ref="CS128">_xlfn.IFS(AND($CI128=0, CL128=FALSE), NA(), AND($CI128=1, CL128=FALSE), 0, CL128=TRUE, 1)</f>
        <v>1</v>
      </c>
      <c r="CT128" s="10" cm="1">
        <f t="array" ref="CT128">_xlfn.IFS(AND($CI128=0, CM128=FALSE), NA(), AND($CI128=1, CM128=FALSE), 0, CM128=TRUE, 1)</f>
        <v>1</v>
      </c>
      <c r="CU128" s="10" cm="1">
        <f t="array" ref="CU128">_xlfn.IFS(AND($CN128=0, CP128=FALSE), NA(), AND($CN128=1, CP128=FALSE), 0, CP128=TRUE, 1)</f>
        <v>1</v>
      </c>
      <c r="CV128" s="10" cm="1">
        <f t="array" ref="CV128">_xlfn.IFS(AND($CN128=0, CQ128=FALSE), NA(), AND($CN128=1, CQ128=FALSE), 0, CQ128=TRUE, 1)</f>
        <v>1</v>
      </c>
    </row>
    <row r="129" spans="1:100" ht="15.75" x14ac:dyDescent="0.25">
      <c r="A129" s="8">
        <v>128</v>
      </c>
      <c r="B129" s="9">
        <v>263</v>
      </c>
      <c r="C129" s="10" t="s">
        <v>21</v>
      </c>
      <c r="D129" s="11" t="s">
        <v>85</v>
      </c>
      <c r="E129" s="12">
        <v>19690</v>
      </c>
      <c r="F129" s="13">
        <v>1</v>
      </c>
      <c r="G129" s="9">
        <v>56.049282073974609</v>
      </c>
      <c r="H129" s="12">
        <v>40162</v>
      </c>
      <c r="I129" s="9">
        <v>1</v>
      </c>
      <c r="J129" s="12">
        <v>40162</v>
      </c>
      <c r="K129" s="9">
        <v>0</v>
      </c>
      <c r="L129" s="9">
        <v>1</v>
      </c>
      <c r="M129" s="10" t="s">
        <v>401</v>
      </c>
      <c r="N129" s="9">
        <v>2</v>
      </c>
      <c r="O129" s="10" t="s">
        <v>145</v>
      </c>
      <c r="P129" s="9">
        <v>2</v>
      </c>
      <c r="Q129" s="10" t="s">
        <v>145</v>
      </c>
      <c r="R129" s="12">
        <v>40522</v>
      </c>
      <c r="S129" s="10" t="s">
        <v>145</v>
      </c>
      <c r="T129" s="9">
        <v>6</v>
      </c>
      <c r="U129" s="10" t="s">
        <v>513</v>
      </c>
      <c r="V129" s="10" t="s">
        <v>401</v>
      </c>
      <c r="W129" s="9"/>
      <c r="X129" s="9"/>
      <c r="Y129" s="9">
        <v>4</v>
      </c>
      <c r="Z129" s="14">
        <v>1</v>
      </c>
      <c r="AA129" s="15">
        <v>15.4</v>
      </c>
      <c r="AB129" s="16">
        <v>89</v>
      </c>
      <c r="AC129" s="16">
        <v>14</v>
      </c>
      <c r="AD129" s="9">
        <v>2</v>
      </c>
      <c r="AE129" s="9">
        <v>2</v>
      </c>
      <c r="AF129" s="9">
        <v>1</v>
      </c>
      <c r="AG129" s="9">
        <v>1</v>
      </c>
      <c r="AH129" s="9">
        <v>0</v>
      </c>
      <c r="AI129" s="9">
        <v>0</v>
      </c>
      <c r="AJ129" s="12">
        <v>42404</v>
      </c>
      <c r="AK129" s="9">
        <v>2</v>
      </c>
      <c r="AL129" s="12">
        <v>43411</v>
      </c>
      <c r="AM129" s="9">
        <v>2</v>
      </c>
      <c r="AN129" s="12">
        <v>42629</v>
      </c>
      <c r="AO129" s="12">
        <v>43474</v>
      </c>
      <c r="AP129" s="12">
        <v>43474</v>
      </c>
      <c r="AQ129" s="9">
        <v>1</v>
      </c>
      <c r="AR129" s="9">
        <f t="shared" si="30"/>
        <v>1</v>
      </c>
      <c r="AS129" s="9">
        <v>1</v>
      </c>
      <c r="AT129" s="9">
        <v>2</v>
      </c>
      <c r="AU129" s="9">
        <v>1</v>
      </c>
      <c r="AV129" s="9">
        <f t="shared" si="31"/>
        <v>0</v>
      </c>
      <c r="AW129" s="12">
        <v>43476</v>
      </c>
      <c r="AX129" s="9">
        <v>8430</v>
      </c>
      <c r="AY129" s="9">
        <v>5910</v>
      </c>
      <c r="AZ129" s="9">
        <v>1520</v>
      </c>
      <c r="BA129" s="9">
        <v>5910</v>
      </c>
      <c r="BB129" s="9">
        <v>1520</v>
      </c>
      <c r="BC129" s="9">
        <v>253000</v>
      </c>
      <c r="BD129" s="9">
        <v>870</v>
      </c>
      <c r="BE129" s="9">
        <v>110</v>
      </c>
      <c r="BF129" s="9">
        <v>133</v>
      </c>
      <c r="BG129" s="9">
        <v>8010</v>
      </c>
      <c r="BH129" s="9">
        <v>5770</v>
      </c>
      <c r="BI129" s="9">
        <v>1320</v>
      </c>
      <c r="BJ129" s="9">
        <v>248000</v>
      </c>
      <c r="BK129" s="9">
        <v>770</v>
      </c>
      <c r="BL129" s="9">
        <v>130</v>
      </c>
      <c r="BM129" s="9">
        <v>132</v>
      </c>
      <c r="BN129" s="9">
        <v>7750</v>
      </c>
      <c r="BO129" s="9">
        <v>5300</v>
      </c>
      <c r="BP129" s="9">
        <v>1450</v>
      </c>
      <c r="BQ129" s="9">
        <v>263000</v>
      </c>
      <c r="BR129" s="9">
        <v>850</v>
      </c>
      <c r="BS129" s="9">
        <v>130</v>
      </c>
      <c r="BT129" s="9">
        <v>143</v>
      </c>
      <c r="BU129" s="9">
        <v>8190</v>
      </c>
      <c r="BV129" s="9">
        <v>6010</v>
      </c>
      <c r="BW129" s="9">
        <v>1280</v>
      </c>
      <c r="BX129" s="9">
        <v>388000</v>
      </c>
      <c r="BY129" s="9">
        <v>680</v>
      </c>
      <c r="BZ129" s="10" t="s">
        <v>547</v>
      </c>
      <c r="CA129" s="9">
        <v>180</v>
      </c>
      <c r="CB129" s="9">
        <v>108</v>
      </c>
      <c r="CC129" s="10">
        <f t="shared" si="32"/>
        <v>3.888157894736842</v>
      </c>
      <c r="CD129" s="10">
        <f t="shared" si="33"/>
        <v>166.44736842105263</v>
      </c>
      <c r="CE129" s="10">
        <f t="shared" si="49"/>
        <v>983703.94736842101</v>
      </c>
      <c r="CF129" s="10">
        <f t="shared" si="26"/>
        <v>1</v>
      </c>
      <c r="CG129" s="10">
        <f t="shared" si="27"/>
        <v>1</v>
      </c>
      <c r="CH129" s="10">
        <f t="shared" si="28"/>
        <v>33</v>
      </c>
      <c r="CI129" s="9">
        <f t="shared" si="34"/>
        <v>0</v>
      </c>
      <c r="CJ129" s="10">
        <f t="shared" si="29"/>
        <v>35</v>
      </c>
      <c r="CK129" s="10" t="b">
        <f t="shared" si="35"/>
        <v>1</v>
      </c>
      <c r="CL129" s="10" t="b">
        <f t="shared" si="36"/>
        <v>1</v>
      </c>
      <c r="CM129" s="10" t="b">
        <f t="shared" si="37"/>
        <v>1</v>
      </c>
      <c r="CN129" s="9">
        <f t="shared" si="38"/>
        <v>1</v>
      </c>
      <c r="CO129" s="10">
        <f t="shared" si="47"/>
        <v>35</v>
      </c>
      <c r="CP129" s="10" t="b">
        <f t="shared" si="39"/>
        <v>1</v>
      </c>
      <c r="CQ129" s="10" t="b">
        <f t="shared" si="40"/>
        <v>1</v>
      </c>
      <c r="CR129" s="10" cm="1">
        <f t="array" ref="CR129">_xlfn.IFS(AND($CI129=0, CK129=FALSE), NA(), AND($CI129=1, CK129=FALSE), 0, CK129=TRUE, 1)</f>
        <v>1</v>
      </c>
      <c r="CS129" s="10" cm="1">
        <f t="array" ref="CS129">_xlfn.IFS(AND($CI129=0, CL129=FALSE), NA(), AND($CI129=1, CL129=FALSE), 0, CL129=TRUE, 1)</f>
        <v>1</v>
      </c>
      <c r="CT129" s="10" cm="1">
        <f t="array" ref="CT129">_xlfn.IFS(AND($CI129=0, CM129=FALSE), NA(), AND($CI129=1, CM129=FALSE), 0, CM129=TRUE, 1)</f>
        <v>1</v>
      </c>
      <c r="CU129" s="10" cm="1">
        <f t="array" ref="CU129">_xlfn.IFS(AND($CN129=0, CP129=FALSE), NA(), AND($CN129=1, CP129=FALSE), 0, CP129=TRUE, 1)</f>
        <v>1</v>
      </c>
      <c r="CV129" s="10" cm="1">
        <f t="array" ref="CV129">_xlfn.IFS(AND($CN129=0, CQ129=FALSE), NA(), AND($CN129=1, CQ129=FALSE), 0, CQ129=TRUE, 1)</f>
        <v>1</v>
      </c>
    </row>
    <row r="130" spans="1:100" x14ac:dyDescent="0.25">
      <c r="A130" s="8">
        <v>129</v>
      </c>
      <c r="B130" s="9">
        <v>88</v>
      </c>
      <c r="C130" s="10" t="s">
        <v>10</v>
      </c>
      <c r="D130" s="11" t="s">
        <v>116</v>
      </c>
      <c r="E130" s="12">
        <v>19690</v>
      </c>
      <c r="F130" s="13">
        <v>1</v>
      </c>
      <c r="G130" s="9">
        <v>56.068447113037109</v>
      </c>
      <c r="H130" s="12">
        <v>40169</v>
      </c>
      <c r="I130" s="9">
        <v>1</v>
      </c>
      <c r="J130" s="12">
        <v>43821</v>
      </c>
      <c r="K130" s="9">
        <v>0</v>
      </c>
      <c r="L130" s="9">
        <v>1</v>
      </c>
      <c r="M130" s="10" t="s">
        <v>401</v>
      </c>
      <c r="N130" s="9">
        <v>1</v>
      </c>
      <c r="O130" s="10" t="s">
        <v>401</v>
      </c>
      <c r="P130" s="9">
        <v>1</v>
      </c>
      <c r="Q130" s="10" t="s">
        <v>401</v>
      </c>
      <c r="R130" s="12">
        <v>40837</v>
      </c>
      <c r="S130" s="10" t="s">
        <v>145</v>
      </c>
      <c r="T130" s="9">
        <v>6</v>
      </c>
      <c r="U130" s="10" t="s">
        <v>147</v>
      </c>
      <c r="V130" s="10" t="s">
        <v>401</v>
      </c>
      <c r="W130" s="9"/>
      <c r="X130" s="9"/>
      <c r="Y130" s="9">
        <v>4</v>
      </c>
      <c r="Z130" s="19">
        <v>1</v>
      </c>
      <c r="AB130" s="9"/>
      <c r="AC130" s="9"/>
      <c r="AD130" s="9">
        <v>1</v>
      </c>
      <c r="AE130" s="9">
        <v>1</v>
      </c>
      <c r="AF130" s="9">
        <v>1</v>
      </c>
      <c r="AG130" s="9">
        <v>0</v>
      </c>
      <c r="AH130" s="9">
        <v>1</v>
      </c>
      <c r="AI130" s="9">
        <v>1</v>
      </c>
      <c r="AJ130" s="12">
        <v>42401</v>
      </c>
      <c r="AK130" s="9">
        <v>2</v>
      </c>
      <c r="AL130" s="12">
        <v>43552</v>
      </c>
      <c r="AM130" s="9">
        <v>3</v>
      </c>
      <c r="AN130" s="12">
        <v>42462</v>
      </c>
      <c r="AO130" s="12">
        <v>43565</v>
      </c>
      <c r="AP130" s="12">
        <v>43565</v>
      </c>
      <c r="AQ130" s="9">
        <v>1</v>
      </c>
      <c r="AR130" s="9">
        <f t="shared" si="30"/>
        <v>1</v>
      </c>
      <c r="AS130" s="9">
        <v>1</v>
      </c>
      <c r="AT130" s="9">
        <v>2</v>
      </c>
      <c r="AU130" s="9">
        <v>2</v>
      </c>
      <c r="AV130" s="9">
        <f t="shared" si="31"/>
        <v>1</v>
      </c>
      <c r="AW130" s="12">
        <v>44132</v>
      </c>
      <c r="AX130" s="9"/>
      <c r="AY130" s="9">
        <v>4150</v>
      </c>
      <c r="AZ130" s="9">
        <v>1630</v>
      </c>
      <c r="BA130" s="9">
        <v>4150</v>
      </c>
      <c r="BB130" s="9">
        <v>1629.999755859375</v>
      </c>
      <c r="BC130" s="9">
        <v>360000</v>
      </c>
      <c r="BD130" s="9">
        <v>490</v>
      </c>
      <c r="BE130" s="9">
        <v>290</v>
      </c>
      <c r="BF130" s="9">
        <v>175</v>
      </c>
      <c r="BG130" s="9"/>
      <c r="BH130" s="9">
        <v>4000</v>
      </c>
      <c r="BI130" s="9">
        <v>1700</v>
      </c>
      <c r="BJ130" s="9">
        <v>330000</v>
      </c>
      <c r="BK130" s="9">
        <v>490</v>
      </c>
      <c r="BL130" s="9">
        <v>310</v>
      </c>
      <c r="BM130" s="9">
        <v>170</v>
      </c>
      <c r="BN130" s="9"/>
      <c r="BO130" s="9">
        <v>3950</v>
      </c>
      <c r="BP130" s="9">
        <v>1650</v>
      </c>
      <c r="BQ130" s="9">
        <v>345000</v>
      </c>
      <c r="BR130" s="9">
        <v>470</v>
      </c>
      <c r="BS130" s="9">
        <v>330</v>
      </c>
      <c r="BT130" s="9">
        <v>180</v>
      </c>
      <c r="BU130" s="9"/>
      <c r="BV130" s="9">
        <v>4100</v>
      </c>
      <c r="BW130" s="9">
        <v>1780</v>
      </c>
      <c r="BX130" s="9">
        <v>290000</v>
      </c>
      <c r="BY130" s="9">
        <v>430</v>
      </c>
      <c r="BZ130" s="10" t="s">
        <v>529</v>
      </c>
      <c r="CA130" s="9">
        <v>310</v>
      </c>
      <c r="CB130" s="9">
        <v>190</v>
      </c>
      <c r="CC130" s="10">
        <f t="shared" si="32"/>
        <v>2.5460126512792147</v>
      </c>
      <c r="CD130" s="10">
        <f t="shared" si="33"/>
        <v>220.85892878566682</v>
      </c>
      <c r="CE130" s="10">
        <f t="shared" si="49"/>
        <v>916564.55446051725</v>
      </c>
      <c r="CF130" s="10">
        <f t="shared" ref="CF130:CF193" si="50">IF(AM130=4, 0,1)</f>
        <v>1</v>
      </c>
      <c r="CG130" s="10">
        <f t="shared" ref="CG130:CG193" si="51">IF(OR(AM130=4,AM130=3), 0,1)</f>
        <v>0</v>
      </c>
      <c r="CH130" s="10">
        <f t="shared" ref="CH130:CH193" si="52">(YEAR(AL130)-YEAR(AJ130))*12+MONTH(AL130)-MONTH(AJ130)</f>
        <v>37</v>
      </c>
      <c r="CI130" s="9">
        <f t="shared" si="34"/>
        <v>1</v>
      </c>
      <c r="CJ130" s="10">
        <f t="shared" ref="CJ130:CJ193" si="53">(YEAR(AW130)-YEAR(AJ130))*12+MONTH(AW130)-MONTH(AJ130)</f>
        <v>56</v>
      </c>
      <c r="CK130" s="10" t="b">
        <f t="shared" si="35"/>
        <v>1</v>
      </c>
      <c r="CL130" s="10" t="b">
        <f t="shared" si="36"/>
        <v>1</v>
      </c>
      <c r="CM130" s="10" t="b">
        <f t="shared" si="37"/>
        <v>1</v>
      </c>
      <c r="CN130" s="9">
        <f t="shared" si="38"/>
        <v>1</v>
      </c>
      <c r="CO130" s="10">
        <f t="shared" si="47"/>
        <v>38</v>
      </c>
      <c r="CP130" s="10" t="b">
        <f t="shared" si="39"/>
        <v>1</v>
      </c>
      <c r="CQ130" s="10" t="b">
        <f t="shared" si="40"/>
        <v>1</v>
      </c>
      <c r="CR130" s="10" cm="1">
        <f t="array" ref="CR130">_xlfn.IFS(AND($CI130=0, CK130=FALSE), NA(), AND($CI130=1, CK130=FALSE), 0, CK130=TRUE, 1)</f>
        <v>1</v>
      </c>
      <c r="CS130" s="10" cm="1">
        <f t="array" ref="CS130">_xlfn.IFS(AND($CI130=0, CL130=FALSE), NA(), AND($CI130=1, CL130=FALSE), 0, CL130=TRUE, 1)</f>
        <v>1</v>
      </c>
      <c r="CT130" s="10" cm="1">
        <f t="array" ref="CT130">_xlfn.IFS(AND($CI130=0, CM130=FALSE), NA(), AND($CI130=1, CM130=FALSE), 0, CM130=TRUE, 1)</f>
        <v>1</v>
      </c>
      <c r="CU130" s="10" cm="1">
        <f t="array" ref="CU130">_xlfn.IFS(AND($CN130=0, CP130=FALSE), NA(), AND($CN130=1, CP130=FALSE), 0, CP130=TRUE, 1)</f>
        <v>1</v>
      </c>
      <c r="CV130" s="10" cm="1">
        <f t="array" ref="CV130">_xlfn.IFS(AND($CN130=0, CQ130=FALSE), NA(), AND($CN130=1, CQ130=FALSE), 0, CQ130=TRUE, 1)</f>
        <v>1</v>
      </c>
    </row>
    <row r="131" spans="1:100" ht="15.75" x14ac:dyDescent="0.25">
      <c r="A131" s="8">
        <v>130</v>
      </c>
      <c r="B131" s="9">
        <v>450</v>
      </c>
      <c r="C131" s="10" t="s">
        <v>30</v>
      </c>
      <c r="D131" s="11" t="s">
        <v>43</v>
      </c>
      <c r="E131" s="12">
        <v>19403</v>
      </c>
      <c r="F131" s="13">
        <v>1</v>
      </c>
      <c r="G131" s="9">
        <v>56.900753021240234</v>
      </c>
      <c r="H131" s="12">
        <v>40186</v>
      </c>
      <c r="I131" s="9">
        <v>1</v>
      </c>
      <c r="J131" s="12">
        <v>40186</v>
      </c>
      <c r="K131" s="9">
        <v>0</v>
      </c>
      <c r="L131" s="9">
        <v>1</v>
      </c>
      <c r="M131" s="10" t="s">
        <v>401</v>
      </c>
      <c r="N131" s="9">
        <v>1</v>
      </c>
      <c r="O131" s="10" t="s">
        <v>401</v>
      </c>
      <c r="P131" s="9">
        <v>1</v>
      </c>
      <c r="Q131" s="10" t="s">
        <v>401</v>
      </c>
      <c r="R131" s="12">
        <v>41944</v>
      </c>
      <c r="S131" s="10" t="s">
        <v>146</v>
      </c>
      <c r="T131" s="9"/>
      <c r="U131" s="10" t="s">
        <v>401</v>
      </c>
      <c r="V131" s="10" t="s">
        <v>401</v>
      </c>
      <c r="W131" s="9"/>
      <c r="X131" s="9"/>
      <c r="Y131" s="9">
        <v>2</v>
      </c>
      <c r="Z131" s="14">
        <v>2</v>
      </c>
      <c r="AA131" s="17">
        <v>12.1</v>
      </c>
      <c r="AB131" s="18">
        <v>99</v>
      </c>
      <c r="AC131" s="18">
        <v>10</v>
      </c>
      <c r="AD131" s="9">
        <v>1</v>
      </c>
      <c r="AE131" s="9">
        <v>1</v>
      </c>
      <c r="AF131" s="9">
        <v>1</v>
      </c>
      <c r="AG131" s="9">
        <v>1</v>
      </c>
      <c r="AH131" s="9">
        <v>1</v>
      </c>
      <c r="AI131" s="9">
        <v>0</v>
      </c>
      <c r="AJ131" s="12">
        <v>43368</v>
      </c>
      <c r="AK131" s="9">
        <v>2</v>
      </c>
      <c r="AL131" s="12">
        <v>43830</v>
      </c>
      <c r="AM131" s="9">
        <v>3</v>
      </c>
      <c r="AN131" s="12">
        <v>43556</v>
      </c>
      <c r="AO131" s="12"/>
      <c r="AP131" s="12"/>
      <c r="AQ131" s="9">
        <v>2</v>
      </c>
      <c r="AR131" s="9">
        <f t="shared" ref="AR131:AR194" si="54">IF(AQ131=1,1,0)</f>
        <v>0</v>
      </c>
      <c r="AS131" s="9">
        <v>2</v>
      </c>
      <c r="AT131" s="9"/>
      <c r="AU131" s="9">
        <v>1</v>
      </c>
      <c r="AV131" s="9">
        <f t="shared" ref="AV131:AV194" si="55">IF(AU131=2,1,0)</f>
        <v>0</v>
      </c>
      <c r="AW131" s="12">
        <v>44941</v>
      </c>
      <c r="AX131" s="9">
        <v>8900</v>
      </c>
      <c r="AY131" s="9">
        <v>6730</v>
      </c>
      <c r="AZ131" s="9">
        <v>1380</v>
      </c>
      <c r="BA131" s="9">
        <v>6730</v>
      </c>
      <c r="BB131" s="9">
        <v>1380.0001220703125</v>
      </c>
      <c r="BC131" s="9">
        <v>230000</v>
      </c>
      <c r="BD131" s="9">
        <v>840</v>
      </c>
      <c r="BE131" s="9">
        <v>110</v>
      </c>
      <c r="BF131" s="9">
        <v>203</v>
      </c>
      <c r="BG131" s="9">
        <v>5050</v>
      </c>
      <c r="BH131" s="9">
        <v>3960</v>
      </c>
      <c r="BI131" s="9">
        <v>1010</v>
      </c>
      <c r="BJ131" s="9">
        <v>246000</v>
      </c>
      <c r="BK131" s="9"/>
      <c r="BL131" s="9"/>
      <c r="BM131" s="9">
        <v>225</v>
      </c>
      <c r="BN131" s="9">
        <v>7620</v>
      </c>
      <c r="BO131" s="9">
        <v>5540</v>
      </c>
      <c r="BP131" s="9">
        <v>1140</v>
      </c>
      <c r="BQ131" s="9">
        <v>249000</v>
      </c>
      <c r="BR131" s="9">
        <v>820</v>
      </c>
      <c r="BS131" s="9">
        <v>90</v>
      </c>
      <c r="BT131" s="9">
        <v>189</v>
      </c>
      <c r="BU131" s="9">
        <v>6900</v>
      </c>
      <c r="BV131" s="9">
        <v>4830</v>
      </c>
      <c r="BW131" s="9">
        <v>1040</v>
      </c>
      <c r="BX131" s="9">
        <v>231000</v>
      </c>
      <c r="BY131" s="9">
        <v>740</v>
      </c>
      <c r="BZ131" s="10" t="s">
        <v>547</v>
      </c>
      <c r="CA131" s="9">
        <v>180</v>
      </c>
      <c r="CB131" s="9">
        <v>196</v>
      </c>
      <c r="CC131" s="10">
        <f t="shared" ref="CC131:CC194" si="56">BA131/BB131</f>
        <v>4.8768111628160415</v>
      </c>
      <c r="CD131" s="10">
        <f t="shared" ref="CD131:CD194" si="57">BC131/BB131</f>
        <v>166.6666519238766</v>
      </c>
      <c r="CE131" s="10">
        <f t="shared" si="49"/>
        <v>1121666.5674476896</v>
      </c>
      <c r="CF131" s="10">
        <f t="shared" si="50"/>
        <v>1</v>
      </c>
      <c r="CG131" s="10">
        <f t="shared" si="51"/>
        <v>0</v>
      </c>
      <c r="CH131" s="10">
        <f t="shared" si="52"/>
        <v>15</v>
      </c>
      <c r="CI131" s="9">
        <f t="shared" ref="CI131:CI194" si="58">AV131</f>
        <v>0</v>
      </c>
      <c r="CJ131" s="10">
        <f t="shared" si="53"/>
        <v>52</v>
      </c>
      <c r="CK131" s="10" t="b">
        <f t="shared" ref="CK131:CK194" si="59">IF(CJ131&gt;=6, TRUE, FALSE)</f>
        <v>1</v>
      </c>
      <c r="CL131" s="10" t="b">
        <f t="shared" ref="CL131:CL194" si="60">IF(CJ131&gt;=18, TRUE, FALSE)</f>
        <v>1</v>
      </c>
      <c r="CM131" s="10" t="b">
        <f t="shared" ref="CM131:CM194" si="61">IF(CJ131&gt;=24, TRUE, FALSE)</f>
        <v>1</v>
      </c>
      <c r="CN131" s="9">
        <f t="shared" ref="CN131:CN194" si="62">AR131</f>
        <v>0</v>
      </c>
      <c r="CO131" s="10">
        <f>CJ131</f>
        <v>52</v>
      </c>
      <c r="CP131" s="10" t="b">
        <f t="shared" ref="CP131:CP194" si="63">IF(CO131&gt;=3, TRUE, FALSE)</f>
        <v>1</v>
      </c>
      <c r="CQ131" s="10" t="b">
        <f t="shared" ref="CQ131:CQ194" si="64">IF(CO131&gt;=9, TRUE, FALSE)</f>
        <v>1</v>
      </c>
      <c r="CR131" s="10" cm="1">
        <f t="array" ref="CR131">_xlfn.IFS(AND($CI131=0, CK131=FALSE), NA(), AND($CI131=1, CK131=FALSE), 0, CK131=TRUE, 1)</f>
        <v>1</v>
      </c>
      <c r="CS131" s="10" cm="1">
        <f t="array" ref="CS131">_xlfn.IFS(AND($CI131=0, CL131=FALSE), NA(), AND($CI131=1, CL131=FALSE), 0, CL131=TRUE, 1)</f>
        <v>1</v>
      </c>
      <c r="CT131" s="10" cm="1">
        <f t="array" ref="CT131">_xlfn.IFS(AND($CI131=0, CM131=FALSE), NA(), AND($CI131=1, CM131=FALSE), 0, CM131=TRUE, 1)</f>
        <v>1</v>
      </c>
      <c r="CU131" s="10" cm="1">
        <f t="array" ref="CU131">_xlfn.IFS(AND($CN131=0, CP131=FALSE), NA(), AND($CN131=1, CP131=FALSE), 0, CP131=TRUE, 1)</f>
        <v>1</v>
      </c>
      <c r="CV131" s="10" cm="1">
        <f t="array" ref="CV131">_xlfn.IFS(AND($CN131=0, CQ131=FALSE), NA(), AND($CN131=1, CQ131=FALSE), 0, CQ131=TRUE, 1)</f>
        <v>1</v>
      </c>
    </row>
    <row r="132" spans="1:100" ht="15.75" x14ac:dyDescent="0.25">
      <c r="A132" s="8">
        <v>131</v>
      </c>
      <c r="B132" s="9">
        <v>526</v>
      </c>
      <c r="C132" s="10" t="s">
        <v>33</v>
      </c>
      <c r="D132" s="11" t="s">
        <v>385</v>
      </c>
      <c r="E132" s="12">
        <v>13890</v>
      </c>
      <c r="F132" s="13">
        <v>1</v>
      </c>
      <c r="G132" s="9">
        <v>72.013687133789063</v>
      </c>
      <c r="H132" s="12">
        <v>40193</v>
      </c>
      <c r="I132" s="9">
        <v>1</v>
      </c>
      <c r="J132" s="12">
        <v>40379</v>
      </c>
      <c r="K132" s="9">
        <v>0</v>
      </c>
      <c r="L132" s="9">
        <v>1</v>
      </c>
      <c r="M132" s="10" t="s">
        <v>401</v>
      </c>
      <c r="N132" s="9">
        <v>1</v>
      </c>
      <c r="O132" s="10" t="s">
        <v>401</v>
      </c>
      <c r="P132" s="9">
        <v>1</v>
      </c>
      <c r="Q132" s="10" t="s">
        <v>401</v>
      </c>
      <c r="R132" s="12">
        <v>41623</v>
      </c>
      <c r="S132" s="10" t="s">
        <v>145</v>
      </c>
      <c r="T132" s="9">
        <v>6</v>
      </c>
      <c r="U132" s="10" t="s">
        <v>450</v>
      </c>
      <c r="V132" s="10" t="s">
        <v>401</v>
      </c>
      <c r="W132" s="9"/>
      <c r="X132" s="9"/>
      <c r="Y132" s="9">
        <v>4</v>
      </c>
      <c r="Z132" s="14">
        <v>1</v>
      </c>
      <c r="AA132" s="17">
        <v>14.7</v>
      </c>
      <c r="AB132" s="18">
        <v>93</v>
      </c>
      <c r="AC132" s="18">
        <v>14</v>
      </c>
      <c r="AD132" s="9">
        <v>1</v>
      </c>
      <c r="AE132" s="9">
        <v>1</v>
      </c>
      <c r="AF132" s="9">
        <v>1</v>
      </c>
      <c r="AG132" s="9">
        <v>0</v>
      </c>
      <c r="AH132" s="9">
        <v>1</v>
      </c>
      <c r="AI132" s="9">
        <v>1</v>
      </c>
      <c r="AJ132" s="12">
        <v>43416</v>
      </c>
      <c r="AK132" s="9">
        <v>2</v>
      </c>
      <c r="AL132" s="12">
        <v>43600</v>
      </c>
      <c r="AM132" s="9">
        <v>4</v>
      </c>
      <c r="AN132" s="12">
        <v>43516</v>
      </c>
      <c r="AO132" s="12">
        <v>43516</v>
      </c>
      <c r="AP132" s="12">
        <v>43622</v>
      </c>
      <c r="AQ132" s="9">
        <v>1</v>
      </c>
      <c r="AR132" s="9">
        <f t="shared" si="54"/>
        <v>1</v>
      </c>
      <c r="AS132" s="9">
        <v>1</v>
      </c>
      <c r="AT132" s="9">
        <v>1</v>
      </c>
      <c r="AU132" s="9">
        <v>2</v>
      </c>
      <c r="AV132" s="9">
        <f t="shared" si="55"/>
        <v>1</v>
      </c>
      <c r="AW132" s="12">
        <v>44331</v>
      </c>
      <c r="AX132" s="9"/>
      <c r="AY132" s="9"/>
      <c r="AZ132" s="9"/>
      <c r="BA132" s="9">
        <v>3804.32421875</v>
      </c>
      <c r="BB132" s="9">
        <v>1216.90771484375</v>
      </c>
      <c r="BC132" s="9"/>
      <c r="BD132" s="9"/>
      <c r="BE132" s="9"/>
      <c r="BF132" s="9"/>
      <c r="BG132" s="9">
        <v>5480</v>
      </c>
      <c r="BH132" s="9">
        <v>3650</v>
      </c>
      <c r="BI132" s="9">
        <v>80</v>
      </c>
      <c r="BJ132" s="9">
        <v>146000</v>
      </c>
      <c r="BK132" s="9">
        <v>700</v>
      </c>
      <c r="BL132" s="9">
        <v>40</v>
      </c>
      <c r="BM132" s="9">
        <v>182</v>
      </c>
      <c r="BN132" s="9"/>
      <c r="BO132" s="9"/>
      <c r="BP132" s="9"/>
      <c r="BQ132" s="9"/>
      <c r="BR132" s="9"/>
      <c r="BS132" s="9"/>
      <c r="BT132" s="9"/>
      <c r="BU132" s="9">
        <v>5730</v>
      </c>
      <c r="BV132" s="9">
        <v>3820</v>
      </c>
      <c r="BW132" s="9">
        <v>920</v>
      </c>
      <c r="BX132" s="9">
        <v>137000</v>
      </c>
      <c r="BY132" s="9">
        <v>890</v>
      </c>
      <c r="BZ132" s="10" t="s">
        <v>558</v>
      </c>
      <c r="CA132" s="9">
        <v>80</v>
      </c>
      <c r="CB132" s="9"/>
      <c r="CC132" s="10">
        <f t="shared" si="56"/>
        <v>3.1262224508441645</v>
      </c>
      <c r="CF132" s="10">
        <f t="shared" si="50"/>
        <v>0</v>
      </c>
      <c r="CG132" s="10">
        <f t="shared" si="51"/>
        <v>0</v>
      </c>
      <c r="CH132" s="10">
        <f t="shared" si="52"/>
        <v>6</v>
      </c>
      <c r="CI132" s="9">
        <f t="shared" si="58"/>
        <v>1</v>
      </c>
      <c r="CJ132" s="10">
        <f t="shared" si="53"/>
        <v>30</v>
      </c>
      <c r="CK132" s="10" t="b">
        <f t="shared" si="59"/>
        <v>1</v>
      </c>
      <c r="CL132" s="10" t="b">
        <f t="shared" si="60"/>
        <v>1</v>
      </c>
      <c r="CM132" s="10" t="b">
        <f t="shared" si="61"/>
        <v>1</v>
      </c>
      <c r="CN132" s="9">
        <f t="shared" si="62"/>
        <v>1</v>
      </c>
      <c r="CO132" s="10">
        <f t="shared" ref="CO132:CO152" si="65">(YEAR(AO132)-YEAR(AJ132))*12+MONTH(AO132)-MONTH(AJ132)</f>
        <v>3</v>
      </c>
      <c r="CP132" s="10" t="b">
        <f t="shared" si="63"/>
        <v>1</v>
      </c>
      <c r="CQ132" s="10" t="b">
        <f t="shared" si="64"/>
        <v>0</v>
      </c>
      <c r="CR132" s="10" cm="1">
        <f t="array" ref="CR132">_xlfn.IFS(AND($CI132=0, CK132=FALSE), NA(), AND($CI132=1, CK132=FALSE), 0, CK132=TRUE, 1)</f>
        <v>1</v>
      </c>
      <c r="CS132" s="10" cm="1">
        <f t="array" ref="CS132">_xlfn.IFS(AND($CI132=0, CL132=FALSE), NA(), AND($CI132=1, CL132=FALSE), 0, CL132=TRUE, 1)</f>
        <v>1</v>
      </c>
      <c r="CT132" s="10" cm="1">
        <f t="array" ref="CT132">_xlfn.IFS(AND($CI132=0, CM132=FALSE), NA(), AND($CI132=1, CM132=FALSE), 0, CM132=TRUE, 1)</f>
        <v>1</v>
      </c>
      <c r="CU132" s="10" cm="1">
        <f t="array" ref="CU132">_xlfn.IFS(AND($CN132=0, CP132=FALSE), NA(), AND($CN132=1, CP132=FALSE), 0, CP132=TRUE, 1)</f>
        <v>1</v>
      </c>
      <c r="CV132" s="10" cm="1">
        <f t="array" ref="CV132">_xlfn.IFS(AND($CN132=0, CQ132=FALSE), NA(), AND($CN132=1, CQ132=FALSE), 0, CQ132=TRUE, 1)</f>
        <v>0</v>
      </c>
    </row>
    <row r="133" spans="1:100" ht="15.75" x14ac:dyDescent="0.25">
      <c r="A133" s="8">
        <v>132</v>
      </c>
      <c r="B133" s="9">
        <v>274</v>
      </c>
      <c r="C133" s="10" t="s">
        <v>21</v>
      </c>
      <c r="D133" s="11" t="s">
        <v>245</v>
      </c>
      <c r="E133" s="12">
        <v>21049</v>
      </c>
      <c r="F133" s="13">
        <v>1</v>
      </c>
      <c r="G133" s="9">
        <v>52.498287200927734</v>
      </c>
      <c r="H133" s="12">
        <v>40224</v>
      </c>
      <c r="I133" s="9">
        <v>1</v>
      </c>
      <c r="J133" s="12">
        <v>40252</v>
      </c>
      <c r="K133" s="9">
        <v>0</v>
      </c>
      <c r="L133" s="9">
        <v>2</v>
      </c>
      <c r="M133" s="10" t="s">
        <v>401</v>
      </c>
      <c r="N133" s="9"/>
      <c r="O133" s="10" t="s">
        <v>401</v>
      </c>
      <c r="P133" s="9"/>
      <c r="Q133" s="10" t="s">
        <v>401</v>
      </c>
      <c r="R133" s="12">
        <v>40928</v>
      </c>
      <c r="S133" s="10" t="s">
        <v>145</v>
      </c>
      <c r="T133" s="9">
        <v>2</v>
      </c>
      <c r="U133" s="10" t="s">
        <v>149</v>
      </c>
      <c r="V133" s="10" t="s">
        <v>147</v>
      </c>
      <c r="W133" s="9"/>
      <c r="X133" s="9"/>
      <c r="Y133" s="9">
        <v>5</v>
      </c>
      <c r="Z133" s="16"/>
      <c r="AA133" s="15">
        <v>12.1</v>
      </c>
      <c r="AB133" s="16">
        <v>102</v>
      </c>
      <c r="AC133" s="16">
        <v>13</v>
      </c>
      <c r="AD133" s="9">
        <v>1</v>
      </c>
      <c r="AE133" s="9">
        <v>1</v>
      </c>
      <c r="AF133" s="9">
        <v>1</v>
      </c>
      <c r="AG133" s="9">
        <v>1</v>
      </c>
      <c r="AH133" s="9">
        <v>1</v>
      </c>
      <c r="AI133" s="9">
        <v>0</v>
      </c>
      <c r="AJ133" s="12">
        <v>42496</v>
      </c>
      <c r="AK133" s="9">
        <v>2</v>
      </c>
      <c r="AL133" s="12">
        <v>42762</v>
      </c>
      <c r="AM133" s="9">
        <v>3</v>
      </c>
      <c r="AN133" s="12">
        <v>42571</v>
      </c>
      <c r="AO133" s="12">
        <v>42775</v>
      </c>
      <c r="AP133" s="12">
        <v>42775</v>
      </c>
      <c r="AQ133" s="9">
        <v>1</v>
      </c>
      <c r="AR133" s="9">
        <f t="shared" si="54"/>
        <v>1</v>
      </c>
      <c r="AS133" s="9">
        <v>1</v>
      </c>
      <c r="AT133" s="9">
        <v>2</v>
      </c>
      <c r="AU133" s="9">
        <v>2</v>
      </c>
      <c r="AV133" s="9">
        <f t="shared" si="55"/>
        <v>1</v>
      </c>
      <c r="AW133" s="12">
        <v>42831</v>
      </c>
      <c r="AX133" s="9">
        <v>7360</v>
      </c>
      <c r="AY133" s="9">
        <v>5300</v>
      </c>
      <c r="AZ133" s="9">
        <v>1160</v>
      </c>
      <c r="BA133" s="9">
        <v>5300</v>
      </c>
      <c r="BB133" s="9">
        <v>1160</v>
      </c>
      <c r="BC133" s="9">
        <v>274000</v>
      </c>
      <c r="BD133" s="9">
        <v>830</v>
      </c>
      <c r="BE133" s="9">
        <v>60</v>
      </c>
      <c r="BF133" s="9">
        <v>173</v>
      </c>
      <c r="BG133" s="9"/>
      <c r="BH133" s="9"/>
      <c r="BI133" s="9"/>
      <c r="BJ133" s="9"/>
      <c r="BK133" s="9"/>
      <c r="BL133" s="9"/>
      <c r="BM133" s="9"/>
      <c r="BN133" s="9"/>
      <c r="BO133" s="9">
        <v>7020</v>
      </c>
      <c r="BP133" s="9">
        <v>1400</v>
      </c>
      <c r="BQ133" s="9">
        <v>314000</v>
      </c>
      <c r="BR133" s="9">
        <v>1030</v>
      </c>
      <c r="BS133" s="9">
        <v>290</v>
      </c>
      <c r="BT133" s="9">
        <v>175</v>
      </c>
      <c r="BU133" s="9"/>
      <c r="BV133" s="9"/>
      <c r="BW133" s="9"/>
      <c r="BX133" s="9"/>
      <c r="BY133" s="9"/>
      <c r="BZ133" s="10" t="s">
        <v>401</v>
      </c>
      <c r="CA133" s="9"/>
      <c r="CB133" s="9"/>
      <c r="CC133" s="10">
        <f t="shared" si="56"/>
        <v>4.568965517241379</v>
      </c>
      <c r="CD133" s="10">
        <f t="shared" si="57"/>
        <v>236.20689655172413</v>
      </c>
      <c r="CE133" s="10">
        <f t="shared" ref="CE133:CE139" si="66">BC133*CC133</f>
        <v>1251896.5517241377</v>
      </c>
      <c r="CF133" s="10">
        <f t="shared" si="50"/>
        <v>1</v>
      </c>
      <c r="CG133" s="10">
        <f t="shared" si="51"/>
        <v>0</v>
      </c>
      <c r="CH133" s="10">
        <f t="shared" si="52"/>
        <v>8</v>
      </c>
      <c r="CI133" s="9">
        <f t="shared" si="58"/>
        <v>1</v>
      </c>
      <c r="CJ133" s="10">
        <f t="shared" si="53"/>
        <v>11</v>
      </c>
      <c r="CK133" s="10" t="b">
        <f t="shared" si="59"/>
        <v>1</v>
      </c>
      <c r="CL133" s="10" t="b">
        <f t="shared" si="60"/>
        <v>0</v>
      </c>
      <c r="CM133" s="10" t="b">
        <f t="shared" si="61"/>
        <v>0</v>
      </c>
      <c r="CN133" s="9">
        <f t="shared" si="62"/>
        <v>1</v>
      </c>
      <c r="CO133" s="10">
        <f t="shared" si="65"/>
        <v>9</v>
      </c>
      <c r="CP133" s="10" t="b">
        <f t="shared" si="63"/>
        <v>1</v>
      </c>
      <c r="CQ133" s="10" t="b">
        <f t="shared" si="64"/>
        <v>1</v>
      </c>
      <c r="CR133" s="10" cm="1">
        <f t="array" ref="CR133">_xlfn.IFS(AND($CI133=0, CK133=FALSE), NA(), AND($CI133=1, CK133=FALSE), 0, CK133=TRUE, 1)</f>
        <v>1</v>
      </c>
      <c r="CS133" s="10" cm="1">
        <f t="array" ref="CS133">_xlfn.IFS(AND($CI133=0, CL133=FALSE), NA(), AND($CI133=1, CL133=FALSE), 0, CL133=TRUE, 1)</f>
        <v>0</v>
      </c>
      <c r="CT133" s="10" cm="1">
        <f t="array" ref="CT133">_xlfn.IFS(AND($CI133=0, CM133=FALSE), NA(), AND($CI133=1, CM133=FALSE), 0, CM133=TRUE, 1)</f>
        <v>0</v>
      </c>
      <c r="CU133" s="10" cm="1">
        <f t="array" ref="CU133">_xlfn.IFS(AND($CN133=0, CP133=FALSE), NA(), AND($CN133=1, CP133=FALSE), 0, CP133=TRUE, 1)</f>
        <v>1</v>
      </c>
      <c r="CV133" s="10" cm="1">
        <f t="array" ref="CV133">_xlfn.IFS(AND($CN133=0, CQ133=FALSE), NA(), AND($CN133=1, CQ133=FALSE), 0, CQ133=TRUE, 1)</f>
        <v>1</v>
      </c>
    </row>
    <row r="134" spans="1:100" ht="15.75" x14ac:dyDescent="0.25">
      <c r="A134" s="8">
        <v>133</v>
      </c>
      <c r="B134" s="9">
        <v>449</v>
      </c>
      <c r="C134" s="10" t="s">
        <v>30</v>
      </c>
      <c r="D134" s="11" t="s">
        <v>350</v>
      </c>
      <c r="E134" s="12">
        <v>18713</v>
      </c>
      <c r="F134" s="13">
        <v>1</v>
      </c>
      <c r="G134" s="9">
        <v>58.951404571533203</v>
      </c>
      <c r="H134" s="12">
        <v>40245</v>
      </c>
      <c r="I134" s="9">
        <v>1</v>
      </c>
      <c r="J134" s="12">
        <v>40245</v>
      </c>
      <c r="K134" s="9">
        <v>1</v>
      </c>
      <c r="L134" s="9">
        <v>2</v>
      </c>
      <c r="M134" s="10" t="s">
        <v>401</v>
      </c>
      <c r="N134" s="9">
        <v>2</v>
      </c>
      <c r="O134" s="10" t="s">
        <v>145</v>
      </c>
      <c r="P134" s="9">
        <v>2</v>
      </c>
      <c r="Q134" s="10" t="s">
        <v>145</v>
      </c>
      <c r="R134" s="12">
        <v>40245</v>
      </c>
      <c r="S134" s="10" t="s">
        <v>145</v>
      </c>
      <c r="T134" s="9">
        <v>4</v>
      </c>
      <c r="U134" s="10" t="s">
        <v>401</v>
      </c>
      <c r="V134" s="10" t="s">
        <v>401</v>
      </c>
      <c r="W134" s="9"/>
      <c r="X134" s="9"/>
      <c r="Y134" s="9">
        <v>3</v>
      </c>
      <c r="Z134" s="14">
        <v>1</v>
      </c>
      <c r="AA134" s="15">
        <v>14.1</v>
      </c>
      <c r="AB134" s="16">
        <v>89</v>
      </c>
      <c r="AC134" s="16">
        <v>7</v>
      </c>
      <c r="AD134" s="9">
        <v>2</v>
      </c>
      <c r="AE134" s="9">
        <v>2</v>
      </c>
      <c r="AF134" s="9">
        <v>1</v>
      </c>
      <c r="AG134" s="9">
        <v>1</v>
      </c>
      <c r="AH134" s="9">
        <v>1</v>
      </c>
      <c r="AI134" s="9">
        <v>0</v>
      </c>
      <c r="AJ134" s="12">
        <v>43333</v>
      </c>
      <c r="AK134" s="9">
        <v>2</v>
      </c>
      <c r="AL134" s="12">
        <v>44456</v>
      </c>
      <c r="AM134" s="9">
        <v>2</v>
      </c>
      <c r="AN134" s="12">
        <v>43404</v>
      </c>
      <c r="AO134" s="12">
        <v>44487</v>
      </c>
      <c r="AP134" s="12">
        <v>44487</v>
      </c>
      <c r="AQ134" s="9">
        <v>1</v>
      </c>
      <c r="AR134" s="9">
        <f t="shared" si="54"/>
        <v>1</v>
      </c>
      <c r="AS134" s="9">
        <v>1</v>
      </c>
      <c r="AT134" s="9">
        <v>2</v>
      </c>
      <c r="AU134" s="9">
        <v>2</v>
      </c>
      <c r="AV134" s="9">
        <f t="shared" si="55"/>
        <v>1</v>
      </c>
      <c r="AW134" s="12">
        <v>44594</v>
      </c>
      <c r="AX134" s="9">
        <v>5020</v>
      </c>
      <c r="AY134" s="9">
        <v>3460</v>
      </c>
      <c r="AZ134" s="9">
        <v>700</v>
      </c>
      <c r="BA134" s="9">
        <v>3460</v>
      </c>
      <c r="BB134" s="9">
        <v>699.99993896484375</v>
      </c>
      <c r="BC134" s="9">
        <v>257000</v>
      </c>
      <c r="BD134" s="9">
        <v>430</v>
      </c>
      <c r="BE134" s="9">
        <v>90</v>
      </c>
      <c r="BF134" s="9">
        <v>204</v>
      </c>
      <c r="BG134" s="9">
        <v>6070</v>
      </c>
      <c r="BH134" s="9">
        <v>4510</v>
      </c>
      <c r="BI134" s="9">
        <v>920</v>
      </c>
      <c r="BJ134" s="9">
        <v>266000</v>
      </c>
      <c r="BK134" s="9">
        <v>610</v>
      </c>
      <c r="BL134" s="9">
        <v>20</v>
      </c>
      <c r="BM134" s="9">
        <v>195</v>
      </c>
      <c r="BN134" s="9">
        <v>5030</v>
      </c>
      <c r="BO134" s="9">
        <v>3630</v>
      </c>
      <c r="BP134" s="9">
        <v>940</v>
      </c>
      <c r="BQ134" s="9">
        <v>325000</v>
      </c>
      <c r="BR134" s="9">
        <v>450</v>
      </c>
      <c r="BS134" s="9">
        <v>10</v>
      </c>
      <c r="BT134" s="9">
        <v>195</v>
      </c>
      <c r="BU134" s="9">
        <v>4260</v>
      </c>
      <c r="BV134" s="9">
        <v>2980</v>
      </c>
      <c r="BW134" s="9">
        <v>640</v>
      </c>
      <c r="BX134" s="9">
        <v>250000</v>
      </c>
      <c r="BY134" s="9">
        <v>610</v>
      </c>
      <c r="BZ134" s="10" t="s">
        <v>442</v>
      </c>
      <c r="CA134" s="9">
        <v>0</v>
      </c>
      <c r="CB134" s="9">
        <v>200</v>
      </c>
      <c r="CC134" s="10">
        <f t="shared" si="56"/>
        <v>4.9428575738401204</v>
      </c>
      <c r="CD134" s="10">
        <f t="shared" si="57"/>
        <v>367.14288915517659</v>
      </c>
      <c r="CE134" s="10">
        <f t="shared" si="66"/>
        <v>1270314.3964769109</v>
      </c>
      <c r="CF134" s="10">
        <f t="shared" si="50"/>
        <v>1</v>
      </c>
      <c r="CG134" s="10">
        <f t="shared" si="51"/>
        <v>1</v>
      </c>
      <c r="CH134" s="10">
        <f t="shared" si="52"/>
        <v>37</v>
      </c>
      <c r="CI134" s="9">
        <f t="shared" si="58"/>
        <v>1</v>
      </c>
      <c r="CJ134" s="10">
        <f t="shared" si="53"/>
        <v>42</v>
      </c>
      <c r="CK134" s="10" t="b">
        <f t="shared" si="59"/>
        <v>1</v>
      </c>
      <c r="CL134" s="10" t="b">
        <f t="shared" si="60"/>
        <v>1</v>
      </c>
      <c r="CM134" s="10" t="b">
        <f t="shared" si="61"/>
        <v>1</v>
      </c>
      <c r="CN134" s="9">
        <f t="shared" si="62"/>
        <v>1</v>
      </c>
      <c r="CO134" s="10">
        <f t="shared" si="65"/>
        <v>38</v>
      </c>
      <c r="CP134" s="10" t="b">
        <f t="shared" si="63"/>
        <v>1</v>
      </c>
      <c r="CQ134" s="10" t="b">
        <f t="shared" si="64"/>
        <v>1</v>
      </c>
      <c r="CR134" s="10" cm="1">
        <f t="array" ref="CR134">_xlfn.IFS(AND($CI134=0, CK134=FALSE), NA(), AND($CI134=1, CK134=FALSE), 0, CK134=TRUE, 1)</f>
        <v>1</v>
      </c>
      <c r="CS134" s="10" cm="1">
        <f t="array" ref="CS134">_xlfn.IFS(AND($CI134=0, CL134=FALSE), NA(), AND($CI134=1, CL134=FALSE), 0, CL134=TRUE, 1)</f>
        <v>1</v>
      </c>
      <c r="CT134" s="10" cm="1">
        <f t="array" ref="CT134">_xlfn.IFS(AND($CI134=0, CM134=FALSE), NA(), AND($CI134=1, CM134=FALSE), 0, CM134=TRUE, 1)</f>
        <v>1</v>
      </c>
      <c r="CU134" s="10" cm="1">
        <f t="array" ref="CU134">_xlfn.IFS(AND($CN134=0, CP134=FALSE), NA(), AND($CN134=1, CP134=FALSE), 0, CP134=TRUE, 1)</f>
        <v>1</v>
      </c>
      <c r="CV134" s="10" cm="1">
        <f t="array" ref="CV134">_xlfn.IFS(AND($CN134=0, CQ134=FALSE), NA(), AND($CN134=1, CQ134=FALSE), 0, CQ134=TRUE, 1)</f>
        <v>1</v>
      </c>
    </row>
    <row r="135" spans="1:100" ht="15.75" x14ac:dyDescent="0.25">
      <c r="A135" s="8">
        <v>134</v>
      </c>
      <c r="B135" s="9">
        <v>38</v>
      </c>
      <c r="C135" s="10" t="s">
        <v>6</v>
      </c>
      <c r="D135" s="11" t="s">
        <v>72</v>
      </c>
      <c r="E135" s="12">
        <v>21741</v>
      </c>
      <c r="F135" s="13">
        <v>1</v>
      </c>
      <c r="G135" s="9">
        <v>50.669403076171875</v>
      </c>
      <c r="H135" s="12">
        <v>40248</v>
      </c>
      <c r="I135" s="9">
        <v>1</v>
      </c>
      <c r="J135" s="12">
        <v>40248</v>
      </c>
      <c r="K135" s="9">
        <v>0</v>
      </c>
      <c r="L135" s="9">
        <v>1</v>
      </c>
      <c r="M135" s="10" t="s">
        <v>401</v>
      </c>
      <c r="N135" s="9">
        <v>1</v>
      </c>
      <c r="O135" s="10" t="s">
        <v>401</v>
      </c>
      <c r="P135" s="9">
        <v>1</v>
      </c>
      <c r="Q135" s="10" t="s">
        <v>401</v>
      </c>
      <c r="R135" s="12">
        <v>42109</v>
      </c>
      <c r="S135" s="10" t="s">
        <v>145</v>
      </c>
      <c r="T135" s="9">
        <v>5</v>
      </c>
      <c r="U135" s="10" t="s">
        <v>401</v>
      </c>
      <c r="V135" s="10" t="s">
        <v>401</v>
      </c>
      <c r="W135" s="9"/>
      <c r="X135" s="9"/>
      <c r="Y135" s="9">
        <v>3</v>
      </c>
      <c r="Z135" s="14">
        <v>1</v>
      </c>
      <c r="AA135" s="17">
        <v>12.9</v>
      </c>
      <c r="AB135" s="18" t="s">
        <v>463</v>
      </c>
      <c r="AC135" s="18">
        <v>15</v>
      </c>
      <c r="AD135" s="9">
        <v>1</v>
      </c>
      <c r="AE135" s="9">
        <v>1</v>
      </c>
      <c r="AF135" s="9">
        <v>1</v>
      </c>
      <c r="AG135" s="9">
        <v>0</v>
      </c>
      <c r="AH135" s="9">
        <v>1</v>
      </c>
      <c r="AI135" s="9">
        <v>1</v>
      </c>
      <c r="AJ135" s="12">
        <v>43007</v>
      </c>
      <c r="AK135" s="9">
        <v>2</v>
      </c>
      <c r="AL135" s="12">
        <v>43735</v>
      </c>
      <c r="AM135" s="9">
        <v>3</v>
      </c>
      <c r="AN135" s="12">
        <v>43112</v>
      </c>
      <c r="AO135" s="12">
        <v>44108</v>
      </c>
      <c r="AP135" s="12">
        <v>44108</v>
      </c>
      <c r="AQ135" s="9">
        <v>1</v>
      </c>
      <c r="AR135" s="9">
        <f t="shared" si="54"/>
        <v>1</v>
      </c>
      <c r="AS135" s="9">
        <v>1</v>
      </c>
      <c r="AT135" s="9">
        <v>2</v>
      </c>
      <c r="AU135" s="9">
        <v>2</v>
      </c>
      <c r="AV135" s="9">
        <f t="shared" si="55"/>
        <v>1</v>
      </c>
      <c r="AW135" s="12">
        <v>44264</v>
      </c>
      <c r="AX135" s="9">
        <v>5080</v>
      </c>
      <c r="AY135" s="9">
        <v>2800</v>
      </c>
      <c r="AZ135" s="9">
        <v>1300</v>
      </c>
      <c r="BA135" s="9">
        <v>2800</v>
      </c>
      <c r="BB135" s="9">
        <v>1300.000244140625</v>
      </c>
      <c r="BC135" s="9">
        <v>232000</v>
      </c>
      <c r="BD135" s="9"/>
      <c r="BE135" s="9"/>
      <c r="BF135" s="9">
        <v>198</v>
      </c>
      <c r="BG135" s="9">
        <v>6090</v>
      </c>
      <c r="BH135" s="9">
        <v>3500</v>
      </c>
      <c r="BI135" s="9">
        <v>1830</v>
      </c>
      <c r="BJ135" s="9">
        <v>243000</v>
      </c>
      <c r="BK135" s="9"/>
      <c r="BL135" s="9"/>
      <c r="BM135" s="9">
        <v>138</v>
      </c>
      <c r="BN135" s="9">
        <v>6040</v>
      </c>
      <c r="BO135" s="9">
        <v>3550</v>
      </c>
      <c r="BP135" s="9">
        <v>2100</v>
      </c>
      <c r="BQ135" s="9">
        <v>282000</v>
      </c>
      <c r="BR135" s="9"/>
      <c r="BS135" s="9"/>
      <c r="BT135" s="9">
        <v>303</v>
      </c>
      <c r="BU135" s="9">
        <v>5800</v>
      </c>
      <c r="BV135" s="9">
        <v>3700</v>
      </c>
      <c r="BW135" s="9">
        <v>1800</v>
      </c>
      <c r="BX135" s="9">
        <v>266000</v>
      </c>
      <c r="BY135" s="9"/>
      <c r="BZ135" s="10" t="s">
        <v>401</v>
      </c>
      <c r="CA135" s="9"/>
      <c r="CB135" s="9">
        <v>201</v>
      </c>
      <c r="CC135" s="10">
        <f t="shared" si="56"/>
        <v>2.1538457493528864</v>
      </c>
      <c r="CD135" s="10">
        <f t="shared" si="57"/>
        <v>178.46150494638204</v>
      </c>
      <c r="CE135" s="10">
        <f t="shared" si="66"/>
        <v>499692.21384986967</v>
      </c>
      <c r="CF135" s="10">
        <f t="shared" si="50"/>
        <v>1</v>
      </c>
      <c r="CG135" s="10">
        <f t="shared" si="51"/>
        <v>0</v>
      </c>
      <c r="CH135" s="10">
        <f t="shared" si="52"/>
        <v>24</v>
      </c>
      <c r="CI135" s="9">
        <f t="shared" si="58"/>
        <v>1</v>
      </c>
      <c r="CJ135" s="10">
        <f t="shared" si="53"/>
        <v>42</v>
      </c>
      <c r="CK135" s="10" t="b">
        <f t="shared" si="59"/>
        <v>1</v>
      </c>
      <c r="CL135" s="10" t="b">
        <f t="shared" si="60"/>
        <v>1</v>
      </c>
      <c r="CM135" s="10" t="b">
        <f t="shared" si="61"/>
        <v>1</v>
      </c>
      <c r="CN135" s="9">
        <f t="shared" si="62"/>
        <v>1</v>
      </c>
      <c r="CO135" s="10">
        <f t="shared" si="65"/>
        <v>37</v>
      </c>
      <c r="CP135" s="10" t="b">
        <f t="shared" si="63"/>
        <v>1</v>
      </c>
      <c r="CQ135" s="10" t="b">
        <f t="shared" si="64"/>
        <v>1</v>
      </c>
      <c r="CR135" s="10" cm="1">
        <f t="array" ref="CR135">_xlfn.IFS(AND($CI135=0, CK135=FALSE), NA(), AND($CI135=1, CK135=FALSE), 0, CK135=TRUE, 1)</f>
        <v>1</v>
      </c>
      <c r="CS135" s="10" cm="1">
        <f t="array" ref="CS135">_xlfn.IFS(AND($CI135=0, CL135=FALSE), NA(), AND($CI135=1, CL135=FALSE), 0, CL135=TRUE, 1)</f>
        <v>1</v>
      </c>
      <c r="CT135" s="10" cm="1">
        <f t="array" ref="CT135">_xlfn.IFS(AND($CI135=0, CM135=FALSE), NA(), AND($CI135=1, CM135=FALSE), 0, CM135=TRUE, 1)</f>
        <v>1</v>
      </c>
      <c r="CU135" s="10" cm="1">
        <f t="array" ref="CU135">_xlfn.IFS(AND($CN135=0, CP135=FALSE), NA(), AND($CN135=1, CP135=FALSE), 0, CP135=TRUE, 1)</f>
        <v>1</v>
      </c>
      <c r="CV135" s="10" cm="1">
        <f t="array" ref="CV135">_xlfn.IFS(AND($CN135=0, CQ135=FALSE), NA(), AND($CN135=1, CQ135=FALSE), 0, CQ135=TRUE, 1)</f>
        <v>1</v>
      </c>
    </row>
    <row r="136" spans="1:100" ht="15.75" x14ac:dyDescent="0.25">
      <c r="A136" s="8">
        <v>135</v>
      </c>
      <c r="B136" s="9">
        <v>160</v>
      </c>
      <c r="C136" s="10" t="s">
        <v>15</v>
      </c>
      <c r="D136" s="11" t="s">
        <v>155</v>
      </c>
      <c r="E136" s="12">
        <v>13003</v>
      </c>
      <c r="F136" s="13">
        <v>2</v>
      </c>
      <c r="G136" s="9">
        <v>74.748802185058594</v>
      </c>
      <c r="H136" s="12">
        <v>40305</v>
      </c>
      <c r="I136" s="9">
        <v>1</v>
      </c>
      <c r="J136" s="12">
        <v>40429</v>
      </c>
      <c r="K136" s="9">
        <v>0</v>
      </c>
      <c r="L136" s="9">
        <v>1</v>
      </c>
      <c r="M136" s="10" t="s">
        <v>401</v>
      </c>
      <c r="N136" s="9"/>
      <c r="O136" s="10" t="s">
        <v>401</v>
      </c>
      <c r="P136" s="9"/>
      <c r="Q136" s="10" t="s">
        <v>401</v>
      </c>
      <c r="R136" s="12">
        <v>41128</v>
      </c>
      <c r="S136" s="10" t="s">
        <v>146</v>
      </c>
      <c r="T136" s="9"/>
      <c r="U136" s="10" t="s">
        <v>401</v>
      </c>
      <c r="V136" s="10" t="s">
        <v>401</v>
      </c>
      <c r="W136" s="9"/>
      <c r="X136" s="9"/>
      <c r="Y136" s="9">
        <v>2</v>
      </c>
      <c r="Z136" s="14">
        <v>2</v>
      </c>
      <c r="AA136" s="17">
        <v>13.2</v>
      </c>
      <c r="AB136" s="18">
        <v>110</v>
      </c>
      <c r="AC136" s="18">
        <v>14</v>
      </c>
      <c r="AD136" s="9">
        <v>1</v>
      </c>
      <c r="AE136" s="9">
        <v>1</v>
      </c>
      <c r="AF136" s="9">
        <v>1</v>
      </c>
      <c r="AG136" s="9">
        <v>1</v>
      </c>
      <c r="AH136" s="9">
        <v>1</v>
      </c>
      <c r="AI136" s="9">
        <v>1</v>
      </c>
      <c r="AJ136" s="12">
        <v>43496</v>
      </c>
      <c r="AK136" s="9">
        <v>2</v>
      </c>
      <c r="AL136" s="12">
        <v>44777</v>
      </c>
      <c r="AM136" s="9">
        <v>3</v>
      </c>
      <c r="AN136" s="12">
        <v>43726</v>
      </c>
      <c r="AO136" s="12">
        <v>44806</v>
      </c>
      <c r="AP136" s="12">
        <v>44806</v>
      </c>
      <c r="AQ136" s="9">
        <v>1</v>
      </c>
      <c r="AR136" s="9">
        <f t="shared" si="54"/>
        <v>1</v>
      </c>
      <c r="AS136" s="9">
        <v>1</v>
      </c>
      <c r="AT136" s="9">
        <v>2</v>
      </c>
      <c r="AU136" s="9">
        <v>1</v>
      </c>
      <c r="AV136" s="9">
        <f t="shared" si="55"/>
        <v>0</v>
      </c>
      <c r="AW136" s="12">
        <v>45001</v>
      </c>
      <c r="AX136" s="9">
        <v>6700</v>
      </c>
      <c r="AY136" s="9">
        <v>3310</v>
      </c>
      <c r="AZ136" s="9"/>
      <c r="BA136" s="9">
        <v>3310</v>
      </c>
      <c r="BB136" s="9">
        <v>1789.940673828125</v>
      </c>
      <c r="BC136" s="9">
        <v>275000</v>
      </c>
      <c r="BD136" s="9"/>
      <c r="BE136" s="9"/>
      <c r="BF136" s="9"/>
      <c r="BG136" s="9">
        <v>8600</v>
      </c>
      <c r="BH136" s="9">
        <v>4680</v>
      </c>
      <c r="BI136" s="9"/>
      <c r="BJ136" s="9">
        <v>268000</v>
      </c>
      <c r="BK136" s="9"/>
      <c r="BL136" s="9"/>
      <c r="BM136" s="9"/>
      <c r="BN136" s="9">
        <v>8600</v>
      </c>
      <c r="BO136" s="9">
        <v>5110</v>
      </c>
      <c r="BP136" s="9"/>
      <c r="BQ136" s="9">
        <v>250000</v>
      </c>
      <c r="BR136" s="9"/>
      <c r="BS136" s="9"/>
      <c r="BT136" s="9"/>
      <c r="BU136" s="9">
        <v>8000</v>
      </c>
      <c r="BV136" s="9">
        <v>4670</v>
      </c>
      <c r="BW136" s="9"/>
      <c r="BX136" s="9">
        <v>336000</v>
      </c>
      <c r="BY136" s="9"/>
      <c r="BZ136" s="10" t="s">
        <v>401</v>
      </c>
      <c r="CA136" s="9"/>
      <c r="CB136" s="9"/>
      <c r="CC136" s="10">
        <f t="shared" si="56"/>
        <v>1.8492233001895768</v>
      </c>
      <c r="CD136" s="10">
        <f t="shared" si="57"/>
        <v>153.63637690396786</v>
      </c>
      <c r="CE136" s="10">
        <f t="shared" si="66"/>
        <v>508536.40755213361</v>
      </c>
      <c r="CF136" s="10">
        <f t="shared" si="50"/>
        <v>1</v>
      </c>
      <c r="CG136" s="10">
        <f t="shared" si="51"/>
        <v>0</v>
      </c>
      <c r="CH136" s="10">
        <f t="shared" si="52"/>
        <v>43</v>
      </c>
      <c r="CI136" s="9">
        <f t="shared" si="58"/>
        <v>0</v>
      </c>
      <c r="CJ136" s="10">
        <f t="shared" si="53"/>
        <v>50</v>
      </c>
      <c r="CK136" s="10" t="b">
        <f t="shared" si="59"/>
        <v>1</v>
      </c>
      <c r="CL136" s="10" t="b">
        <f t="shared" si="60"/>
        <v>1</v>
      </c>
      <c r="CM136" s="10" t="b">
        <f t="shared" si="61"/>
        <v>1</v>
      </c>
      <c r="CN136" s="9">
        <f t="shared" si="62"/>
        <v>1</v>
      </c>
      <c r="CO136" s="10">
        <f t="shared" si="65"/>
        <v>44</v>
      </c>
      <c r="CP136" s="10" t="b">
        <f t="shared" si="63"/>
        <v>1</v>
      </c>
      <c r="CQ136" s="10" t="b">
        <f t="shared" si="64"/>
        <v>1</v>
      </c>
      <c r="CR136" s="10" cm="1">
        <f t="array" ref="CR136">_xlfn.IFS(AND($CI136=0, CK136=FALSE), NA(), AND($CI136=1, CK136=FALSE), 0, CK136=TRUE, 1)</f>
        <v>1</v>
      </c>
      <c r="CS136" s="10" cm="1">
        <f t="array" ref="CS136">_xlfn.IFS(AND($CI136=0, CL136=FALSE), NA(), AND($CI136=1, CL136=FALSE), 0, CL136=TRUE, 1)</f>
        <v>1</v>
      </c>
      <c r="CT136" s="10" cm="1">
        <f t="array" ref="CT136">_xlfn.IFS(AND($CI136=0, CM136=FALSE), NA(), AND($CI136=1, CM136=FALSE), 0, CM136=TRUE, 1)</f>
        <v>1</v>
      </c>
      <c r="CU136" s="10" cm="1">
        <f t="array" ref="CU136">_xlfn.IFS(AND($CN136=0, CP136=FALSE), NA(), AND($CN136=1, CP136=FALSE), 0, CP136=TRUE, 1)</f>
        <v>1</v>
      </c>
      <c r="CV136" s="10" cm="1">
        <f t="array" ref="CV136">_xlfn.IFS(AND($CN136=0, CQ136=FALSE), NA(), AND($CN136=1, CQ136=FALSE), 0, CQ136=TRUE, 1)</f>
        <v>1</v>
      </c>
    </row>
    <row r="137" spans="1:100" x14ac:dyDescent="0.25">
      <c r="A137" s="8">
        <v>136</v>
      </c>
      <c r="B137" s="9">
        <v>482</v>
      </c>
      <c r="C137" s="10" t="s">
        <v>31</v>
      </c>
      <c r="D137" s="11" t="s">
        <v>353</v>
      </c>
      <c r="E137" s="12"/>
      <c r="F137" s="13">
        <v>1</v>
      </c>
      <c r="G137" s="9">
        <v>69</v>
      </c>
      <c r="H137" s="12">
        <v>40308</v>
      </c>
      <c r="I137" s="9">
        <v>1</v>
      </c>
      <c r="J137" s="12">
        <v>40308</v>
      </c>
      <c r="K137" s="9">
        <v>0</v>
      </c>
      <c r="L137" s="9">
        <v>1</v>
      </c>
      <c r="M137" s="10" t="s">
        <v>401</v>
      </c>
      <c r="N137" s="9">
        <v>1</v>
      </c>
      <c r="O137" s="10" t="s">
        <v>401</v>
      </c>
      <c r="P137" s="9">
        <v>1</v>
      </c>
      <c r="Q137" s="10" t="s">
        <v>401</v>
      </c>
      <c r="R137" s="12">
        <v>41446</v>
      </c>
      <c r="S137" s="10" t="s">
        <v>145</v>
      </c>
      <c r="T137" s="9"/>
      <c r="U137" s="10" t="s">
        <v>401</v>
      </c>
      <c r="V137" s="10" t="s">
        <v>401</v>
      </c>
      <c r="W137" s="9"/>
      <c r="X137" s="9"/>
      <c r="Y137" s="9">
        <v>2</v>
      </c>
      <c r="Z137" s="19">
        <v>1</v>
      </c>
      <c r="AB137" s="9"/>
      <c r="AC137" s="9"/>
      <c r="AD137" s="9">
        <v>1</v>
      </c>
      <c r="AE137" s="9">
        <v>1</v>
      </c>
      <c r="AF137" s="9">
        <v>1</v>
      </c>
      <c r="AG137" s="9">
        <v>1</v>
      </c>
      <c r="AH137" s="9">
        <v>1</v>
      </c>
      <c r="AI137" s="9">
        <v>0</v>
      </c>
      <c r="AJ137" s="12">
        <v>43014</v>
      </c>
      <c r="AK137" s="9">
        <v>2</v>
      </c>
      <c r="AL137" s="12">
        <v>43633</v>
      </c>
      <c r="AM137" s="9">
        <v>3</v>
      </c>
      <c r="AN137" s="12">
        <v>43108</v>
      </c>
      <c r="AO137" s="12">
        <v>43524</v>
      </c>
      <c r="AP137" s="12">
        <v>43636</v>
      </c>
      <c r="AQ137" s="9">
        <v>1</v>
      </c>
      <c r="AR137" s="9">
        <f t="shared" si="54"/>
        <v>1</v>
      </c>
      <c r="AS137" s="9">
        <v>1</v>
      </c>
      <c r="AT137" s="9">
        <v>1</v>
      </c>
      <c r="AU137" s="9">
        <v>1</v>
      </c>
      <c r="AV137" s="9">
        <f t="shared" si="55"/>
        <v>0</v>
      </c>
      <c r="AW137" s="12">
        <v>44956</v>
      </c>
      <c r="AX137" s="9">
        <v>6970</v>
      </c>
      <c r="AY137" s="9">
        <v>3490</v>
      </c>
      <c r="AZ137" s="9">
        <v>2120</v>
      </c>
      <c r="BA137" s="9">
        <v>3490</v>
      </c>
      <c r="BB137" s="9">
        <v>2120.00048828125</v>
      </c>
      <c r="BC137" s="9">
        <v>224000</v>
      </c>
      <c r="BD137" s="9">
        <v>870</v>
      </c>
      <c r="BE137" s="9">
        <v>410</v>
      </c>
      <c r="BF137" s="9">
        <v>388</v>
      </c>
      <c r="BG137" s="9">
        <v>6820</v>
      </c>
      <c r="BH137" s="9">
        <v>3710</v>
      </c>
      <c r="BI137" s="9">
        <v>1930</v>
      </c>
      <c r="BJ137" s="9">
        <v>173000</v>
      </c>
      <c r="BK137" s="9">
        <v>680</v>
      </c>
      <c r="BL137" s="9">
        <v>420</v>
      </c>
      <c r="BM137" s="9">
        <v>419</v>
      </c>
      <c r="BN137" s="9">
        <v>6620</v>
      </c>
      <c r="BO137" s="9">
        <v>3200</v>
      </c>
      <c r="BP137" s="9">
        <v>2010</v>
      </c>
      <c r="BQ137" s="9">
        <v>207000</v>
      </c>
      <c r="BR137" s="9">
        <v>770</v>
      </c>
      <c r="BS137" s="9">
        <v>560</v>
      </c>
      <c r="BT137" s="9">
        <v>622</v>
      </c>
      <c r="BU137" s="9">
        <v>6120</v>
      </c>
      <c r="BV137" s="9">
        <v>3240</v>
      </c>
      <c r="BW137" s="9">
        <v>1800</v>
      </c>
      <c r="BX137" s="9">
        <v>178000</v>
      </c>
      <c r="BY137" s="9">
        <v>630</v>
      </c>
      <c r="BZ137" s="10" t="s">
        <v>551</v>
      </c>
      <c r="CA137" s="9">
        <v>360</v>
      </c>
      <c r="CB137" s="9">
        <v>335</v>
      </c>
      <c r="CC137" s="10">
        <f t="shared" si="56"/>
        <v>1.646226035933346</v>
      </c>
      <c r="CD137" s="10">
        <f t="shared" si="57"/>
        <v>105.66035302265601</v>
      </c>
      <c r="CE137" s="10">
        <f t="shared" si="66"/>
        <v>368754.63204906951</v>
      </c>
      <c r="CF137" s="10">
        <f t="shared" si="50"/>
        <v>1</v>
      </c>
      <c r="CG137" s="10">
        <f t="shared" si="51"/>
        <v>0</v>
      </c>
      <c r="CH137" s="10">
        <f t="shared" si="52"/>
        <v>20</v>
      </c>
      <c r="CI137" s="9">
        <f t="shared" si="58"/>
        <v>0</v>
      </c>
      <c r="CJ137" s="10">
        <f t="shared" si="53"/>
        <v>63</v>
      </c>
      <c r="CK137" s="10" t="b">
        <f t="shared" si="59"/>
        <v>1</v>
      </c>
      <c r="CL137" s="10" t="b">
        <f t="shared" si="60"/>
        <v>1</v>
      </c>
      <c r="CM137" s="10" t="b">
        <f t="shared" si="61"/>
        <v>1</v>
      </c>
      <c r="CN137" s="9">
        <f t="shared" si="62"/>
        <v>1</v>
      </c>
      <c r="CO137" s="10">
        <f t="shared" si="65"/>
        <v>16</v>
      </c>
      <c r="CP137" s="10" t="b">
        <f t="shared" si="63"/>
        <v>1</v>
      </c>
      <c r="CQ137" s="10" t="b">
        <f t="shared" si="64"/>
        <v>1</v>
      </c>
      <c r="CR137" s="10" cm="1">
        <f t="array" ref="CR137">_xlfn.IFS(AND($CI137=0, CK137=FALSE), NA(), AND($CI137=1, CK137=FALSE), 0, CK137=TRUE, 1)</f>
        <v>1</v>
      </c>
      <c r="CS137" s="10" cm="1">
        <f t="array" ref="CS137">_xlfn.IFS(AND($CI137=0, CL137=FALSE), NA(), AND($CI137=1, CL137=FALSE), 0, CL137=TRUE, 1)</f>
        <v>1</v>
      </c>
      <c r="CT137" s="10" cm="1">
        <f t="array" ref="CT137">_xlfn.IFS(AND($CI137=0, CM137=FALSE), NA(), AND($CI137=1, CM137=FALSE), 0, CM137=TRUE, 1)</f>
        <v>1</v>
      </c>
      <c r="CU137" s="10" cm="1">
        <f t="array" ref="CU137">_xlfn.IFS(AND($CN137=0, CP137=FALSE), NA(), AND($CN137=1, CP137=FALSE), 0, CP137=TRUE, 1)</f>
        <v>1</v>
      </c>
      <c r="CV137" s="10" cm="1">
        <f t="array" ref="CV137">_xlfn.IFS(AND($CN137=0, CQ137=FALSE), NA(), AND($CN137=1, CQ137=FALSE), 0, CQ137=TRUE, 1)</f>
        <v>1</v>
      </c>
    </row>
    <row r="138" spans="1:100" ht="15.75" x14ac:dyDescent="0.25">
      <c r="A138" s="8">
        <v>137</v>
      </c>
      <c r="B138" s="9">
        <v>466</v>
      </c>
      <c r="C138" s="10" t="s">
        <v>30</v>
      </c>
      <c r="D138" s="11" t="s">
        <v>352</v>
      </c>
      <c r="E138" s="12">
        <v>14645</v>
      </c>
      <c r="F138" s="13">
        <v>2</v>
      </c>
      <c r="G138" s="9">
        <v>70.275154113769531</v>
      </c>
      <c r="H138" s="12">
        <v>40313</v>
      </c>
      <c r="I138" s="9">
        <v>1</v>
      </c>
      <c r="J138" s="12">
        <v>40313</v>
      </c>
      <c r="K138" s="9">
        <v>0</v>
      </c>
      <c r="L138" s="9">
        <v>1</v>
      </c>
      <c r="M138" s="10" t="s">
        <v>401</v>
      </c>
      <c r="N138" s="9">
        <v>1</v>
      </c>
      <c r="O138" s="10" t="s">
        <v>401</v>
      </c>
      <c r="P138" s="9">
        <v>1</v>
      </c>
      <c r="Q138" s="10" t="s">
        <v>401</v>
      </c>
      <c r="R138" s="12">
        <v>42195</v>
      </c>
      <c r="S138" s="10" t="s">
        <v>146</v>
      </c>
      <c r="T138" s="9"/>
      <c r="U138" s="10" t="s">
        <v>401</v>
      </c>
      <c r="V138" s="10" t="s">
        <v>401</v>
      </c>
      <c r="W138" s="9"/>
      <c r="X138" s="9"/>
      <c r="Y138" s="9">
        <v>2</v>
      </c>
      <c r="Z138" s="14">
        <v>2</v>
      </c>
      <c r="AA138" s="17">
        <v>14.3</v>
      </c>
      <c r="AB138" s="18">
        <v>85</v>
      </c>
      <c r="AC138" s="18">
        <v>11</v>
      </c>
      <c r="AD138" s="9">
        <v>2</v>
      </c>
      <c r="AE138" s="9">
        <v>2</v>
      </c>
      <c r="AF138" s="9">
        <v>1</v>
      </c>
      <c r="AG138" s="9">
        <v>0</v>
      </c>
      <c r="AH138" s="9">
        <v>1</v>
      </c>
      <c r="AI138" s="9">
        <v>0</v>
      </c>
      <c r="AJ138" s="12">
        <v>42983</v>
      </c>
      <c r="AK138" s="9">
        <v>2</v>
      </c>
      <c r="AL138" s="12">
        <v>42983</v>
      </c>
      <c r="AM138" s="9">
        <v>4</v>
      </c>
      <c r="AN138" s="12">
        <v>43060</v>
      </c>
      <c r="AO138" s="12">
        <v>43060</v>
      </c>
      <c r="AP138" s="12">
        <v>43060</v>
      </c>
      <c r="AQ138" s="9">
        <v>1</v>
      </c>
      <c r="AR138" s="9">
        <f t="shared" si="54"/>
        <v>1</v>
      </c>
      <c r="AS138" s="9">
        <v>1</v>
      </c>
      <c r="AT138" s="9">
        <v>2</v>
      </c>
      <c r="AU138" s="9">
        <v>2</v>
      </c>
      <c r="AV138" s="9">
        <f t="shared" si="55"/>
        <v>1</v>
      </c>
      <c r="AW138" s="12">
        <v>44075</v>
      </c>
      <c r="AX138" s="9">
        <v>23450</v>
      </c>
      <c r="AY138" s="9">
        <v>7790</v>
      </c>
      <c r="AZ138" s="9">
        <v>15090</v>
      </c>
      <c r="BA138" s="9">
        <v>7790</v>
      </c>
      <c r="BB138" s="9">
        <v>15090.0068359375</v>
      </c>
      <c r="BC138" s="9">
        <v>120000</v>
      </c>
      <c r="BD138" s="9">
        <v>520</v>
      </c>
      <c r="BE138" s="9">
        <v>150</v>
      </c>
      <c r="BF138" s="9">
        <v>369</v>
      </c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10" t="s">
        <v>401</v>
      </c>
      <c r="CA138" s="9"/>
      <c r="CB138" s="9"/>
      <c r="CC138" s="10">
        <f t="shared" si="56"/>
        <v>0.51623568396588004</v>
      </c>
      <c r="CD138" s="10">
        <f t="shared" si="57"/>
        <v>7.9522826798338384</v>
      </c>
      <c r="CE138" s="10">
        <f t="shared" si="66"/>
        <v>61948.282075905605</v>
      </c>
      <c r="CF138" s="10">
        <f t="shared" si="50"/>
        <v>0</v>
      </c>
      <c r="CG138" s="10">
        <f t="shared" si="51"/>
        <v>0</v>
      </c>
      <c r="CH138" s="10">
        <f t="shared" si="52"/>
        <v>0</v>
      </c>
      <c r="CI138" s="9">
        <f t="shared" si="58"/>
        <v>1</v>
      </c>
      <c r="CJ138" s="10">
        <f t="shared" si="53"/>
        <v>36</v>
      </c>
      <c r="CK138" s="10" t="b">
        <f t="shared" si="59"/>
        <v>1</v>
      </c>
      <c r="CL138" s="10" t="b">
        <f t="shared" si="60"/>
        <v>1</v>
      </c>
      <c r="CM138" s="10" t="b">
        <f t="shared" si="61"/>
        <v>1</v>
      </c>
      <c r="CN138" s="9">
        <f t="shared" si="62"/>
        <v>1</v>
      </c>
      <c r="CO138" s="10">
        <f t="shared" si="65"/>
        <v>2</v>
      </c>
      <c r="CP138" s="10" t="b">
        <f t="shared" si="63"/>
        <v>0</v>
      </c>
      <c r="CQ138" s="10" t="b">
        <f t="shared" si="64"/>
        <v>0</v>
      </c>
      <c r="CR138" s="10" cm="1">
        <f t="array" ref="CR138">_xlfn.IFS(AND($CI138=0, CK138=FALSE), NA(), AND($CI138=1, CK138=FALSE), 0, CK138=TRUE, 1)</f>
        <v>1</v>
      </c>
      <c r="CS138" s="10" cm="1">
        <f t="array" ref="CS138">_xlfn.IFS(AND($CI138=0, CL138=FALSE), NA(), AND($CI138=1, CL138=FALSE), 0, CL138=TRUE, 1)</f>
        <v>1</v>
      </c>
      <c r="CT138" s="10" cm="1">
        <f t="array" ref="CT138">_xlfn.IFS(AND($CI138=0, CM138=FALSE), NA(), AND($CI138=1, CM138=FALSE), 0, CM138=TRUE, 1)</f>
        <v>1</v>
      </c>
      <c r="CU138" s="10" cm="1">
        <f t="array" ref="CU138">_xlfn.IFS(AND($CN138=0, CP138=FALSE), NA(), AND($CN138=1, CP138=FALSE), 0, CP138=TRUE, 1)</f>
        <v>0</v>
      </c>
      <c r="CV138" s="10" cm="1">
        <f t="array" ref="CV138">_xlfn.IFS(AND($CN138=0, CQ138=FALSE), NA(), AND($CN138=1, CQ138=FALSE), 0, CQ138=TRUE, 1)</f>
        <v>0</v>
      </c>
    </row>
    <row r="139" spans="1:100" ht="15.75" x14ac:dyDescent="0.25">
      <c r="A139" s="8">
        <v>138</v>
      </c>
      <c r="B139" s="9">
        <v>179</v>
      </c>
      <c r="C139" s="10" t="s">
        <v>17</v>
      </c>
      <c r="D139" s="11" t="s">
        <v>188</v>
      </c>
      <c r="E139" s="12">
        <v>17035</v>
      </c>
      <c r="F139" s="13">
        <v>1</v>
      </c>
      <c r="G139" s="9">
        <v>63.816562652587891</v>
      </c>
      <c r="H139" s="12">
        <v>40344</v>
      </c>
      <c r="I139" s="9">
        <v>1</v>
      </c>
      <c r="J139" s="12">
        <v>40344</v>
      </c>
      <c r="K139" s="9">
        <v>0</v>
      </c>
      <c r="L139" s="9">
        <v>1</v>
      </c>
      <c r="M139" s="10" t="s">
        <v>401</v>
      </c>
      <c r="N139" s="9">
        <v>1</v>
      </c>
      <c r="O139" s="10" t="s">
        <v>401</v>
      </c>
      <c r="P139" s="9">
        <v>1</v>
      </c>
      <c r="Q139" s="10" t="s">
        <v>401</v>
      </c>
      <c r="R139" s="12">
        <v>41562</v>
      </c>
      <c r="S139" s="10" t="s">
        <v>146</v>
      </c>
      <c r="T139" s="9"/>
      <c r="U139" s="10" t="s">
        <v>401</v>
      </c>
      <c r="V139" s="10" t="s">
        <v>401</v>
      </c>
      <c r="W139" s="9"/>
      <c r="X139" s="9"/>
      <c r="Y139" s="9">
        <v>2</v>
      </c>
      <c r="Z139" s="14">
        <v>2</v>
      </c>
      <c r="AA139" s="17">
        <v>10.3</v>
      </c>
      <c r="AB139" s="18">
        <v>77</v>
      </c>
      <c r="AC139" s="18">
        <v>17</v>
      </c>
      <c r="AD139" s="9">
        <v>2</v>
      </c>
      <c r="AE139" s="9">
        <v>2</v>
      </c>
      <c r="AF139" s="9">
        <v>2</v>
      </c>
      <c r="AG139" s="9">
        <v>1</v>
      </c>
      <c r="AH139" s="9">
        <v>1</v>
      </c>
      <c r="AI139" s="9">
        <v>1</v>
      </c>
      <c r="AJ139" s="12">
        <v>42839</v>
      </c>
      <c r="AK139" s="9">
        <v>2</v>
      </c>
      <c r="AL139" s="12">
        <v>42871</v>
      </c>
      <c r="AM139" s="9">
        <v>4</v>
      </c>
      <c r="AN139" s="12">
        <v>42885</v>
      </c>
      <c r="AO139" s="12">
        <v>42885</v>
      </c>
      <c r="AP139" s="12">
        <v>42885</v>
      </c>
      <c r="AQ139" s="9">
        <v>1</v>
      </c>
      <c r="AR139" s="9">
        <f t="shared" si="54"/>
        <v>1</v>
      </c>
      <c r="AS139" s="9">
        <v>1</v>
      </c>
      <c r="AT139" s="9">
        <v>2</v>
      </c>
      <c r="AU139" s="9">
        <v>2</v>
      </c>
      <c r="AV139" s="9">
        <f t="shared" si="55"/>
        <v>1</v>
      </c>
      <c r="AW139" s="12">
        <v>43012</v>
      </c>
      <c r="AX139" s="9">
        <v>4280</v>
      </c>
      <c r="AY139" s="9">
        <v>2800</v>
      </c>
      <c r="AZ139" s="9">
        <v>500</v>
      </c>
      <c r="BA139" s="9">
        <v>2800</v>
      </c>
      <c r="BB139" s="9">
        <v>500.00006103515625</v>
      </c>
      <c r="BC139" s="9">
        <v>128000</v>
      </c>
      <c r="BD139" s="9">
        <v>700</v>
      </c>
      <c r="BE139" s="9">
        <v>200</v>
      </c>
      <c r="BF139" s="9"/>
      <c r="BG139" s="9">
        <v>5620</v>
      </c>
      <c r="BH139" s="9">
        <v>4100</v>
      </c>
      <c r="BI139" s="9">
        <v>700</v>
      </c>
      <c r="BJ139" s="9">
        <v>152000</v>
      </c>
      <c r="BK139" s="9">
        <v>700</v>
      </c>
      <c r="BL139" s="9">
        <v>100</v>
      </c>
      <c r="BM139" s="9"/>
      <c r="BN139" s="9">
        <v>5240</v>
      </c>
      <c r="BO139" s="9">
        <v>3600</v>
      </c>
      <c r="BP139" s="9">
        <v>700</v>
      </c>
      <c r="BQ139" s="9">
        <v>157000</v>
      </c>
      <c r="BR139" s="9">
        <v>700</v>
      </c>
      <c r="BS139" s="9">
        <v>100</v>
      </c>
      <c r="BT139" s="9"/>
      <c r="BU139" s="9"/>
      <c r="BV139" s="9"/>
      <c r="BW139" s="9"/>
      <c r="BX139" s="9"/>
      <c r="BY139" s="9"/>
      <c r="BZ139" s="10" t="s">
        <v>401</v>
      </c>
      <c r="CA139" s="9"/>
      <c r="CB139" s="9"/>
      <c r="CC139" s="10">
        <f t="shared" si="56"/>
        <v>5.5999993164063335</v>
      </c>
      <c r="CD139" s="10">
        <f t="shared" si="57"/>
        <v>255.9999687500038</v>
      </c>
      <c r="CE139" s="10">
        <f t="shared" si="66"/>
        <v>716799.91250001069</v>
      </c>
      <c r="CF139" s="10">
        <f t="shared" si="50"/>
        <v>0</v>
      </c>
      <c r="CG139" s="10">
        <f t="shared" si="51"/>
        <v>0</v>
      </c>
      <c r="CH139" s="10">
        <f t="shared" si="52"/>
        <v>1</v>
      </c>
      <c r="CI139" s="9">
        <f t="shared" si="58"/>
        <v>1</v>
      </c>
      <c r="CJ139" s="10">
        <f t="shared" si="53"/>
        <v>6</v>
      </c>
      <c r="CK139" s="10" t="b">
        <f t="shared" si="59"/>
        <v>1</v>
      </c>
      <c r="CL139" s="10" t="b">
        <f t="shared" si="60"/>
        <v>0</v>
      </c>
      <c r="CM139" s="10" t="b">
        <f t="shared" si="61"/>
        <v>0</v>
      </c>
      <c r="CN139" s="9">
        <f t="shared" si="62"/>
        <v>1</v>
      </c>
      <c r="CO139" s="10">
        <f t="shared" si="65"/>
        <v>1</v>
      </c>
      <c r="CP139" s="10" t="b">
        <f t="shared" si="63"/>
        <v>0</v>
      </c>
      <c r="CQ139" s="10" t="b">
        <f t="shared" si="64"/>
        <v>0</v>
      </c>
      <c r="CR139" s="10" cm="1">
        <f t="array" ref="CR139">_xlfn.IFS(AND($CI139=0, CK139=FALSE), NA(), AND($CI139=1, CK139=FALSE), 0, CK139=TRUE, 1)</f>
        <v>1</v>
      </c>
      <c r="CS139" s="10" cm="1">
        <f t="array" ref="CS139">_xlfn.IFS(AND($CI139=0, CL139=FALSE), NA(), AND($CI139=1, CL139=FALSE), 0, CL139=TRUE, 1)</f>
        <v>0</v>
      </c>
      <c r="CT139" s="10" cm="1">
        <f t="array" ref="CT139">_xlfn.IFS(AND($CI139=0, CM139=FALSE), NA(), AND($CI139=1, CM139=FALSE), 0, CM139=TRUE, 1)</f>
        <v>0</v>
      </c>
      <c r="CU139" s="10" cm="1">
        <f t="array" ref="CU139">_xlfn.IFS(AND($CN139=0, CP139=FALSE), NA(), AND($CN139=1, CP139=FALSE), 0, CP139=TRUE, 1)</f>
        <v>0</v>
      </c>
      <c r="CV139" s="10" cm="1">
        <f t="array" ref="CV139">_xlfn.IFS(AND($CN139=0, CQ139=FALSE), NA(), AND($CN139=1, CQ139=FALSE), 0, CQ139=TRUE, 1)</f>
        <v>0</v>
      </c>
    </row>
    <row r="140" spans="1:100" ht="15.75" x14ac:dyDescent="0.25">
      <c r="A140" s="8">
        <v>139</v>
      </c>
      <c r="B140" s="9">
        <v>514</v>
      </c>
      <c r="C140" s="10" t="s">
        <v>33</v>
      </c>
      <c r="D140" s="11" t="s">
        <v>380</v>
      </c>
      <c r="E140" s="12">
        <v>19354</v>
      </c>
      <c r="F140" s="13">
        <v>1</v>
      </c>
      <c r="G140" s="9">
        <v>57.472965240478516</v>
      </c>
      <c r="H140" s="12">
        <v>40346</v>
      </c>
      <c r="I140" s="9">
        <v>1</v>
      </c>
      <c r="J140" s="12">
        <v>40387</v>
      </c>
      <c r="K140" s="9">
        <v>0</v>
      </c>
      <c r="L140" s="9">
        <v>1</v>
      </c>
      <c r="M140" s="10" t="s">
        <v>401</v>
      </c>
      <c r="N140" s="9">
        <v>1</v>
      </c>
      <c r="O140" s="10" t="s">
        <v>401</v>
      </c>
      <c r="P140" s="9">
        <v>1</v>
      </c>
      <c r="Q140" s="10" t="s">
        <v>401</v>
      </c>
      <c r="R140" s="12">
        <v>41591</v>
      </c>
      <c r="S140" s="10" t="s">
        <v>145</v>
      </c>
      <c r="T140" s="9">
        <v>2</v>
      </c>
      <c r="U140" s="10" t="s">
        <v>517</v>
      </c>
      <c r="V140" s="10" t="s">
        <v>401</v>
      </c>
      <c r="W140" s="9"/>
      <c r="X140" s="9"/>
      <c r="Y140" s="9">
        <v>4</v>
      </c>
      <c r="Z140" s="16"/>
      <c r="AA140" s="17">
        <v>13</v>
      </c>
      <c r="AB140" s="18">
        <v>94</v>
      </c>
      <c r="AC140" s="18">
        <v>15</v>
      </c>
      <c r="AD140" s="9">
        <v>1</v>
      </c>
      <c r="AE140" s="9">
        <v>1</v>
      </c>
      <c r="AF140" s="9">
        <v>1</v>
      </c>
      <c r="AG140" s="9">
        <v>1</v>
      </c>
      <c r="AH140" s="9">
        <v>1</v>
      </c>
      <c r="AI140" s="9">
        <v>0</v>
      </c>
      <c r="AJ140" s="12">
        <v>43136</v>
      </c>
      <c r="AK140" s="9">
        <v>2</v>
      </c>
      <c r="AL140" s="12">
        <v>43845</v>
      </c>
      <c r="AM140" s="9">
        <v>2</v>
      </c>
      <c r="AN140" s="12">
        <v>43318</v>
      </c>
      <c r="AO140" s="12">
        <v>43784</v>
      </c>
      <c r="AP140" s="12">
        <v>43784</v>
      </c>
      <c r="AQ140" s="9">
        <v>1</v>
      </c>
      <c r="AR140" s="9">
        <f t="shared" si="54"/>
        <v>1</v>
      </c>
      <c r="AS140" s="9">
        <v>1</v>
      </c>
      <c r="AT140" s="9">
        <v>2</v>
      </c>
      <c r="AU140" s="9">
        <v>1</v>
      </c>
      <c r="AV140" s="9">
        <f t="shared" si="55"/>
        <v>0</v>
      </c>
      <c r="AW140" s="12">
        <v>43930</v>
      </c>
      <c r="AX140" s="9"/>
      <c r="AY140" s="9"/>
      <c r="AZ140" s="9"/>
      <c r="BA140" s="9">
        <v>4175.12158203125</v>
      </c>
      <c r="BB140" s="9">
        <v>1470.9173583984375</v>
      </c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10" t="s">
        <v>401</v>
      </c>
      <c r="CA140" s="9"/>
      <c r="CB140" s="9"/>
      <c r="CC140" s="10">
        <f t="shared" si="56"/>
        <v>2.8384474207151928</v>
      </c>
      <c r="CF140" s="10">
        <f t="shared" si="50"/>
        <v>1</v>
      </c>
      <c r="CG140" s="10">
        <f t="shared" si="51"/>
        <v>1</v>
      </c>
      <c r="CH140" s="10">
        <f t="shared" si="52"/>
        <v>23</v>
      </c>
      <c r="CI140" s="9">
        <f t="shared" si="58"/>
        <v>0</v>
      </c>
      <c r="CJ140" s="10">
        <f t="shared" si="53"/>
        <v>26</v>
      </c>
      <c r="CK140" s="10" t="b">
        <f t="shared" si="59"/>
        <v>1</v>
      </c>
      <c r="CL140" s="10" t="b">
        <f t="shared" si="60"/>
        <v>1</v>
      </c>
      <c r="CM140" s="10" t="b">
        <f t="shared" si="61"/>
        <v>1</v>
      </c>
      <c r="CN140" s="9">
        <f t="shared" si="62"/>
        <v>1</v>
      </c>
      <c r="CO140" s="10">
        <f t="shared" si="65"/>
        <v>21</v>
      </c>
      <c r="CP140" s="10" t="b">
        <f t="shared" si="63"/>
        <v>1</v>
      </c>
      <c r="CQ140" s="10" t="b">
        <f t="shared" si="64"/>
        <v>1</v>
      </c>
      <c r="CR140" s="10" cm="1">
        <f t="array" ref="CR140">_xlfn.IFS(AND($CI140=0, CK140=FALSE), NA(), AND($CI140=1, CK140=FALSE), 0, CK140=TRUE, 1)</f>
        <v>1</v>
      </c>
      <c r="CS140" s="10" cm="1">
        <f t="array" ref="CS140">_xlfn.IFS(AND($CI140=0, CL140=FALSE), NA(), AND($CI140=1, CL140=FALSE), 0, CL140=TRUE, 1)</f>
        <v>1</v>
      </c>
      <c r="CT140" s="10" cm="1">
        <f t="array" ref="CT140">_xlfn.IFS(AND($CI140=0, CM140=FALSE), NA(), AND($CI140=1, CM140=FALSE), 0, CM140=TRUE, 1)</f>
        <v>1</v>
      </c>
      <c r="CU140" s="10" cm="1">
        <f t="array" ref="CU140">_xlfn.IFS(AND($CN140=0, CP140=FALSE), NA(), AND($CN140=1, CP140=FALSE), 0, CP140=TRUE, 1)</f>
        <v>1</v>
      </c>
      <c r="CV140" s="10" cm="1">
        <f t="array" ref="CV140">_xlfn.IFS(AND($CN140=0, CQ140=FALSE), NA(), AND($CN140=1, CQ140=FALSE), 0, CQ140=TRUE, 1)</f>
        <v>1</v>
      </c>
    </row>
    <row r="141" spans="1:100" ht="15.75" x14ac:dyDescent="0.25">
      <c r="A141" s="8">
        <v>140</v>
      </c>
      <c r="B141" s="9">
        <v>51</v>
      </c>
      <c r="C141" s="10" t="s">
        <v>7</v>
      </c>
      <c r="D141" s="11" t="s">
        <v>84</v>
      </c>
      <c r="E141" s="12">
        <v>15491</v>
      </c>
      <c r="F141" s="13">
        <v>1</v>
      </c>
      <c r="G141" s="9">
        <v>68.052017211914063</v>
      </c>
      <c r="H141" s="12">
        <v>40347</v>
      </c>
      <c r="I141" s="9">
        <v>1</v>
      </c>
      <c r="J141" s="12">
        <v>40365</v>
      </c>
      <c r="K141" s="9">
        <v>1</v>
      </c>
      <c r="L141" s="9">
        <v>1</v>
      </c>
      <c r="M141" s="10" t="s">
        <v>401</v>
      </c>
      <c r="N141" s="9">
        <v>2</v>
      </c>
      <c r="O141" s="10" t="s">
        <v>145</v>
      </c>
      <c r="P141" s="9">
        <v>2</v>
      </c>
      <c r="Q141" s="10" t="s">
        <v>145</v>
      </c>
      <c r="R141" s="12">
        <v>40363</v>
      </c>
      <c r="S141" s="10" t="s">
        <v>146</v>
      </c>
      <c r="T141" s="9"/>
      <c r="U141" s="10" t="s">
        <v>401</v>
      </c>
      <c r="V141" s="10" t="s">
        <v>401</v>
      </c>
      <c r="W141" s="9"/>
      <c r="X141" s="9"/>
      <c r="Y141" s="9">
        <v>2</v>
      </c>
      <c r="Z141" s="14">
        <v>2</v>
      </c>
      <c r="AA141" s="21">
        <v>10.8</v>
      </c>
      <c r="AB141" s="22">
        <v>106</v>
      </c>
      <c r="AC141" s="22">
        <v>12.8</v>
      </c>
      <c r="AD141" s="9">
        <v>1</v>
      </c>
      <c r="AE141" s="9">
        <v>1</v>
      </c>
      <c r="AF141" s="9">
        <v>1</v>
      </c>
      <c r="AG141" s="9">
        <v>1</v>
      </c>
      <c r="AH141" s="9">
        <v>1</v>
      </c>
      <c r="AI141" s="9">
        <v>1</v>
      </c>
      <c r="AJ141" s="12">
        <v>43111</v>
      </c>
      <c r="AK141" s="9">
        <v>2</v>
      </c>
      <c r="AL141" s="12">
        <v>43228</v>
      </c>
      <c r="AM141" s="9">
        <v>4</v>
      </c>
      <c r="AN141" s="12">
        <v>43217</v>
      </c>
      <c r="AO141" s="12">
        <v>43217</v>
      </c>
      <c r="AP141" s="12">
        <v>43217</v>
      </c>
      <c r="AQ141" s="9">
        <v>1</v>
      </c>
      <c r="AR141" s="9">
        <f t="shared" si="54"/>
        <v>1</v>
      </c>
      <c r="AS141" s="9">
        <v>1</v>
      </c>
      <c r="AT141" s="9">
        <v>2</v>
      </c>
      <c r="AU141" s="9">
        <v>1</v>
      </c>
      <c r="AV141" s="9">
        <f t="shared" si="55"/>
        <v>0</v>
      </c>
      <c r="AW141" s="12">
        <v>44482</v>
      </c>
      <c r="AX141" s="9">
        <v>3770</v>
      </c>
      <c r="AY141" s="9">
        <v>2380</v>
      </c>
      <c r="AZ141" s="9">
        <v>810</v>
      </c>
      <c r="BA141" s="9">
        <v>2380</v>
      </c>
      <c r="BB141" s="9">
        <v>810.00006103515625</v>
      </c>
      <c r="BC141" s="9">
        <v>142000</v>
      </c>
      <c r="BD141" s="9">
        <v>470</v>
      </c>
      <c r="BE141" s="9">
        <v>90</v>
      </c>
      <c r="BF141" s="9">
        <v>213</v>
      </c>
      <c r="BG141" s="9">
        <v>4970</v>
      </c>
      <c r="BH141" s="9">
        <v>3330</v>
      </c>
      <c r="BI141" s="9">
        <v>810</v>
      </c>
      <c r="BJ141" s="9">
        <v>285000</v>
      </c>
      <c r="BK141" s="9">
        <v>760</v>
      </c>
      <c r="BL141" s="9">
        <v>60</v>
      </c>
      <c r="BM141" s="9"/>
      <c r="BN141" s="9">
        <v>4620</v>
      </c>
      <c r="BO141" s="9">
        <v>3290</v>
      </c>
      <c r="BP141" s="9">
        <v>580</v>
      </c>
      <c r="BQ141" s="9">
        <v>217000</v>
      </c>
      <c r="BR141" s="9">
        <v>650</v>
      </c>
      <c r="BS141" s="9">
        <v>70</v>
      </c>
      <c r="BT141" s="9"/>
      <c r="BU141" s="9">
        <v>7270</v>
      </c>
      <c r="BV141" s="9">
        <v>5490</v>
      </c>
      <c r="BW141" s="9">
        <v>670</v>
      </c>
      <c r="BX141" s="9">
        <v>271000</v>
      </c>
      <c r="BY141" s="9">
        <v>910</v>
      </c>
      <c r="BZ141" s="10" t="s">
        <v>536</v>
      </c>
      <c r="CA141" s="9">
        <v>160</v>
      </c>
      <c r="CB141" s="9"/>
      <c r="CC141" s="10">
        <f t="shared" si="56"/>
        <v>2.938271383533515</v>
      </c>
      <c r="CD141" s="10">
        <f t="shared" si="57"/>
        <v>175.30862876544501</v>
      </c>
      <c r="CE141" s="10">
        <f t="shared" ref="CE141:CE163" si="67">BC141*CC141</f>
        <v>417234.53646175913</v>
      </c>
      <c r="CF141" s="10">
        <f t="shared" si="50"/>
        <v>0</v>
      </c>
      <c r="CG141" s="10">
        <f t="shared" si="51"/>
        <v>0</v>
      </c>
      <c r="CH141" s="10">
        <f t="shared" si="52"/>
        <v>4</v>
      </c>
      <c r="CI141" s="9">
        <f t="shared" si="58"/>
        <v>0</v>
      </c>
      <c r="CJ141" s="10">
        <f t="shared" si="53"/>
        <v>45</v>
      </c>
      <c r="CK141" s="10" t="b">
        <f t="shared" si="59"/>
        <v>1</v>
      </c>
      <c r="CL141" s="10" t="b">
        <f t="shared" si="60"/>
        <v>1</v>
      </c>
      <c r="CM141" s="10" t="b">
        <f t="shared" si="61"/>
        <v>1</v>
      </c>
      <c r="CN141" s="9">
        <f t="shared" si="62"/>
        <v>1</v>
      </c>
      <c r="CO141" s="10">
        <f t="shared" si="65"/>
        <v>3</v>
      </c>
      <c r="CP141" s="10" t="b">
        <f t="shared" si="63"/>
        <v>1</v>
      </c>
      <c r="CQ141" s="10" t="b">
        <f t="shared" si="64"/>
        <v>0</v>
      </c>
      <c r="CR141" s="10" cm="1">
        <f t="array" ref="CR141">_xlfn.IFS(AND($CI141=0, CK141=FALSE), NA(), AND($CI141=1, CK141=FALSE), 0, CK141=TRUE, 1)</f>
        <v>1</v>
      </c>
      <c r="CS141" s="10" cm="1">
        <f t="array" ref="CS141">_xlfn.IFS(AND($CI141=0, CL141=FALSE), NA(), AND($CI141=1, CL141=FALSE), 0, CL141=TRUE, 1)</f>
        <v>1</v>
      </c>
      <c r="CT141" s="10" cm="1">
        <f t="array" ref="CT141">_xlfn.IFS(AND($CI141=0, CM141=FALSE), NA(), AND($CI141=1, CM141=FALSE), 0, CM141=TRUE, 1)</f>
        <v>1</v>
      </c>
      <c r="CU141" s="10" cm="1">
        <f t="array" ref="CU141">_xlfn.IFS(AND($CN141=0, CP141=FALSE), NA(), AND($CN141=1, CP141=FALSE), 0, CP141=TRUE, 1)</f>
        <v>1</v>
      </c>
      <c r="CV141" s="10" cm="1">
        <f t="array" ref="CV141">_xlfn.IFS(AND($CN141=0, CQ141=FALSE), NA(), AND($CN141=1, CQ141=FALSE), 0, CQ141=TRUE, 1)</f>
        <v>0</v>
      </c>
    </row>
    <row r="142" spans="1:100" ht="15.75" x14ac:dyDescent="0.25">
      <c r="A142" s="8">
        <v>141</v>
      </c>
      <c r="B142" s="9">
        <v>208</v>
      </c>
      <c r="C142" s="10" t="s">
        <v>18</v>
      </c>
      <c r="D142" s="11" t="s">
        <v>91</v>
      </c>
      <c r="E142" s="12">
        <v>14790</v>
      </c>
      <c r="F142" s="13">
        <v>1</v>
      </c>
      <c r="G142" s="9">
        <v>70.064338684082031</v>
      </c>
      <c r="H142" s="12">
        <v>40381</v>
      </c>
      <c r="I142" s="9">
        <v>1</v>
      </c>
      <c r="J142" s="12">
        <v>40381</v>
      </c>
      <c r="K142" s="9">
        <v>0</v>
      </c>
      <c r="L142" s="9">
        <v>1</v>
      </c>
      <c r="M142" s="10" t="s">
        <v>401</v>
      </c>
      <c r="N142" s="9"/>
      <c r="O142" s="10" t="s">
        <v>401</v>
      </c>
      <c r="P142" s="9"/>
      <c r="Q142" s="10" t="s">
        <v>401</v>
      </c>
      <c r="R142" s="12">
        <v>40599</v>
      </c>
      <c r="S142" s="10" t="s">
        <v>145</v>
      </c>
      <c r="T142" s="9"/>
      <c r="U142" s="10" t="s">
        <v>401</v>
      </c>
      <c r="V142" s="10" t="s">
        <v>401</v>
      </c>
      <c r="W142" s="9"/>
      <c r="X142" s="9"/>
      <c r="Y142" s="9">
        <v>2</v>
      </c>
      <c r="Z142" s="14">
        <v>1</v>
      </c>
      <c r="AA142" s="15">
        <v>14.8</v>
      </c>
      <c r="AB142" s="16">
        <v>13.9</v>
      </c>
      <c r="AC142" s="16">
        <v>14</v>
      </c>
      <c r="AD142" s="9">
        <v>1</v>
      </c>
      <c r="AE142" s="9">
        <v>1</v>
      </c>
      <c r="AF142" s="9">
        <v>1</v>
      </c>
      <c r="AG142" s="9">
        <v>1</v>
      </c>
      <c r="AH142" s="9">
        <v>1</v>
      </c>
      <c r="AI142" s="9">
        <v>0</v>
      </c>
      <c r="AJ142" s="12">
        <v>43314</v>
      </c>
      <c r="AK142" s="9">
        <v>2</v>
      </c>
      <c r="AL142" s="12">
        <v>44089</v>
      </c>
      <c r="AM142" s="9">
        <v>2</v>
      </c>
      <c r="AN142" s="12">
        <v>43392</v>
      </c>
      <c r="AO142" s="12">
        <v>44119</v>
      </c>
      <c r="AP142" s="12">
        <v>44119</v>
      </c>
      <c r="AQ142" s="9">
        <v>1</v>
      </c>
      <c r="AR142" s="9">
        <f t="shared" si="54"/>
        <v>1</v>
      </c>
      <c r="AS142" s="9">
        <v>1</v>
      </c>
      <c r="AT142" s="9">
        <v>2</v>
      </c>
      <c r="AU142" s="9">
        <v>2</v>
      </c>
      <c r="AV142" s="9">
        <f t="shared" si="55"/>
        <v>1</v>
      </c>
      <c r="AW142" s="12">
        <v>44162</v>
      </c>
      <c r="AX142" s="9">
        <v>6160</v>
      </c>
      <c r="AY142" s="9">
        <v>3760</v>
      </c>
      <c r="AZ142" s="9">
        <v>1940</v>
      </c>
      <c r="BA142" s="9">
        <v>3760</v>
      </c>
      <c r="BB142" s="9">
        <v>1939.999755859375</v>
      </c>
      <c r="BC142" s="9">
        <v>187000</v>
      </c>
      <c r="BD142" s="9">
        <v>300</v>
      </c>
      <c r="BE142" s="9">
        <v>110</v>
      </c>
      <c r="BF142" s="9">
        <v>178</v>
      </c>
      <c r="BG142" s="9">
        <v>6880</v>
      </c>
      <c r="BH142" s="9">
        <v>4960</v>
      </c>
      <c r="BI142" s="9">
        <v>1360</v>
      </c>
      <c r="BJ142" s="9">
        <v>167000</v>
      </c>
      <c r="BK142" s="9">
        <v>370</v>
      </c>
      <c r="BL142" s="9">
        <v>150</v>
      </c>
      <c r="BM142" s="9">
        <v>190</v>
      </c>
      <c r="BN142" s="9">
        <v>6220</v>
      </c>
      <c r="BO142" s="9">
        <v>3940</v>
      </c>
      <c r="BP142" s="9">
        <v>1460</v>
      </c>
      <c r="BQ142" s="9">
        <v>194</v>
      </c>
      <c r="BR142" s="9">
        <v>340</v>
      </c>
      <c r="BS142" s="9">
        <v>440</v>
      </c>
      <c r="BT142" s="9">
        <v>289</v>
      </c>
      <c r="BU142" s="9">
        <v>6880</v>
      </c>
      <c r="BV142" s="9">
        <v>4050</v>
      </c>
      <c r="BW142" s="9">
        <v>1850</v>
      </c>
      <c r="BX142" s="9">
        <v>210000</v>
      </c>
      <c r="BY142" s="9">
        <v>410</v>
      </c>
      <c r="BZ142" s="10" t="s">
        <v>559</v>
      </c>
      <c r="CA142" s="9">
        <v>520</v>
      </c>
      <c r="CB142" s="9">
        <v>183</v>
      </c>
      <c r="CC142" s="10">
        <f t="shared" si="56"/>
        <v>1.9381445738040348</v>
      </c>
      <c r="CD142" s="10">
        <f t="shared" si="57"/>
        <v>96.391764707807056</v>
      </c>
      <c r="CE142" s="10">
        <f t="shared" si="67"/>
        <v>362433.03530135454</v>
      </c>
      <c r="CF142" s="10">
        <f t="shared" si="50"/>
        <v>1</v>
      </c>
      <c r="CG142" s="10">
        <f t="shared" si="51"/>
        <v>1</v>
      </c>
      <c r="CH142" s="10">
        <f t="shared" si="52"/>
        <v>25</v>
      </c>
      <c r="CI142" s="9">
        <f t="shared" si="58"/>
        <v>1</v>
      </c>
      <c r="CJ142" s="10">
        <f t="shared" si="53"/>
        <v>27</v>
      </c>
      <c r="CK142" s="10" t="b">
        <f t="shared" si="59"/>
        <v>1</v>
      </c>
      <c r="CL142" s="10" t="b">
        <f t="shared" si="60"/>
        <v>1</v>
      </c>
      <c r="CM142" s="10" t="b">
        <f t="shared" si="61"/>
        <v>1</v>
      </c>
      <c r="CN142" s="9">
        <f t="shared" si="62"/>
        <v>1</v>
      </c>
      <c r="CO142" s="10">
        <f t="shared" si="65"/>
        <v>26</v>
      </c>
      <c r="CP142" s="10" t="b">
        <f t="shared" si="63"/>
        <v>1</v>
      </c>
      <c r="CQ142" s="10" t="b">
        <f t="shared" si="64"/>
        <v>1</v>
      </c>
      <c r="CR142" s="10" cm="1">
        <f t="array" ref="CR142">_xlfn.IFS(AND($CI142=0, CK142=FALSE), NA(), AND($CI142=1, CK142=FALSE), 0, CK142=TRUE, 1)</f>
        <v>1</v>
      </c>
      <c r="CS142" s="10" cm="1">
        <f t="array" ref="CS142">_xlfn.IFS(AND($CI142=0, CL142=FALSE), NA(), AND($CI142=1, CL142=FALSE), 0, CL142=TRUE, 1)</f>
        <v>1</v>
      </c>
      <c r="CT142" s="10" cm="1">
        <f t="array" ref="CT142">_xlfn.IFS(AND($CI142=0, CM142=FALSE), NA(), AND($CI142=1, CM142=FALSE), 0, CM142=TRUE, 1)</f>
        <v>1</v>
      </c>
      <c r="CU142" s="10" cm="1">
        <f t="array" ref="CU142">_xlfn.IFS(AND($CN142=0, CP142=FALSE), NA(), AND($CN142=1, CP142=FALSE), 0, CP142=TRUE, 1)</f>
        <v>1</v>
      </c>
      <c r="CV142" s="10" cm="1">
        <f t="array" ref="CV142">_xlfn.IFS(AND($CN142=0, CQ142=FALSE), NA(), AND($CN142=1, CQ142=FALSE), 0, CQ142=TRUE, 1)</f>
        <v>1</v>
      </c>
    </row>
    <row r="143" spans="1:100" ht="15.75" x14ac:dyDescent="0.25">
      <c r="A143" s="8">
        <v>142</v>
      </c>
      <c r="B143" s="9">
        <v>430</v>
      </c>
      <c r="C143" s="10" t="s">
        <v>29</v>
      </c>
      <c r="D143" s="11" t="s">
        <v>341</v>
      </c>
      <c r="E143" s="12">
        <v>22499</v>
      </c>
      <c r="F143" s="13">
        <v>2</v>
      </c>
      <c r="G143" s="9">
        <v>49.133468627929688</v>
      </c>
      <c r="H143" s="12">
        <v>40445</v>
      </c>
      <c r="I143" s="9">
        <v>1</v>
      </c>
      <c r="J143" s="12">
        <v>40445</v>
      </c>
      <c r="K143" s="9">
        <v>0</v>
      </c>
      <c r="L143" s="9">
        <v>3</v>
      </c>
      <c r="M143" s="10" t="s">
        <v>401</v>
      </c>
      <c r="N143" s="9">
        <v>1</v>
      </c>
      <c r="O143" s="10" t="s">
        <v>401</v>
      </c>
      <c r="P143" s="9">
        <v>1</v>
      </c>
      <c r="Q143" s="10" t="s">
        <v>401</v>
      </c>
      <c r="R143" s="12">
        <v>42240</v>
      </c>
      <c r="S143" s="10" t="s">
        <v>145</v>
      </c>
      <c r="T143" s="9"/>
      <c r="U143" s="10" t="s">
        <v>401</v>
      </c>
      <c r="V143" s="10" t="s">
        <v>401</v>
      </c>
      <c r="W143" s="9"/>
      <c r="X143" s="9"/>
      <c r="Y143" s="9">
        <v>2</v>
      </c>
      <c r="Z143" s="14">
        <v>1</v>
      </c>
      <c r="AA143" s="17">
        <v>11.5</v>
      </c>
      <c r="AB143" s="18">
        <v>102</v>
      </c>
      <c r="AC143" s="18">
        <v>13</v>
      </c>
      <c r="AD143" s="9">
        <v>1</v>
      </c>
      <c r="AE143" s="9">
        <v>1</v>
      </c>
      <c r="AF143" s="9">
        <v>1</v>
      </c>
      <c r="AG143" s="9">
        <v>0</v>
      </c>
      <c r="AH143" s="9">
        <v>1</v>
      </c>
      <c r="AI143" s="9">
        <v>0</v>
      </c>
      <c r="AJ143" s="12">
        <v>42493</v>
      </c>
      <c r="AK143" s="9">
        <v>2</v>
      </c>
      <c r="AL143" s="12">
        <v>43236</v>
      </c>
      <c r="AM143" s="9">
        <v>3</v>
      </c>
      <c r="AN143" s="12">
        <v>42689</v>
      </c>
      <c r="AO143" s="12">
        <v>43250</v>
      </c>
      <c r="AP143" s="12">
        <v>43250</v>
      </c>
      <c r="AQ143" s="9">
        <v>1</v>
      </c>
      <c r="AR143" s="9">
        <f t="shared" si="54"/>
        <v>1</v>
      </c>
      <c r="AS143" s="9">
        <v>1</v>
      </c>
      <c r="AT143" s="9">
        <v>2</v>
      </c>
      <c r="AU143" s="9">
        <v>2</v>
      </c>
      <c r="AV143" s="9">
        <f t="shared" si="55"/>
        <v>1</v>
      </c>
      <c r="AW143" s="12">
        <v>44186</v>
      </c>
      <c r="AX143" s="9">
        <v>3660</v>
      </c>
      <c r="AY143" s="9">
        <v>2190</v>
      </c>
      <c r="AZ143" s="9">
        <v>790</v>
      </c>
      <c r="BA143" s="9">
        <v>2190</v>
      </c>
      <c r="BB143" s="9">
        <v>789.99993896484375</v>
      </c>
      <c r="BC143" s="9">
        <v>112000</v>
      </c>
      <c r="BD143" s="9">
        <v>590</v>
      </c>
      <c r="BE143" s="9">
        <v>40</v>
      </c>
      <c r="BF143" s="9"/>
      <c r="BG143" s="9">
        <v>5590</v>
      </c>
      <c r="BH143" s="9">
        <v>3610</v>
      </c>
      <c r="BI143" s="9">
        <v>2100</v>
      </c>
      <c r="BJ143" s="9">
        <v>125000</v>
      </c>
      <c r="BK143" s="9">
        <v>600</v>
      </c>
      <c r="BL143" s="9">
        <v>75</v>
      </c>
      <c r="BM143" s="9"/>
      <c r="BN143" s="9">
        <v>5430</v>
      </c>
      <c r="BO143" s="9">
        <v>2690</v>
      </c>
      <c r="BP143" s="9">
        <v>2000</v>
      </c>
      <c r="BQ143" s="9">
        <v>270000</v>
      </c>
      <c r="BR143" s="9">
        <v>630</v>
      </c>
      <c r="BS143" s="9">
        <v>90</v>
      </c>
      <c r="BT143" s="9"/>
      <c r="BU143" s="9">
        <v>4640</v>
      </c>
      <c r="BV143" s="9">
        <v>2250</v>
      </c>
      <c r="BW143" s="9">
        <v>1780</v>
      </c>
      <c r="BX143" s="9">
        <v>273000</v>
      </c>
      <c r="BY143" s="9">
        <v>460</v>
      </c>
      <c r="BZ143" s="10" t="s">
        <v>527</v>
      </c>
      <c r="CA143" s="9">
        <v>120</v>
      </c>
      <c r="CB143" s="9"/>
      <c r="CC143" s="10">
        <f t="shared" si="56"/>
        <v>2.7721521129097941</v>
      </c>
      <c r="CD143" s="10">
        <f t="shared" si="57"/>
        <v>141.77216285200774</v>
      </c>
      <c r="CE143" s="10">
        <f t="shared" si="67"/>
        <v>310481.03664589697</v>
      </c>
      <c r="CF143" s="10">
        <f t="shared" si="50"/>
        <v>1</v>
      </c>
      <c r="CG143" s="10">
        <f t="shared" si="51"/>
        <v>0</v>
      </c>
      <c r="CH143" s="10">
        <f t="shared" si="52"/>
        <v>24</v>
      </c>
      <c r="CI143" s="9">
        <f t="shared" si="58"/>
        <v>1</v>
      </c>
      <c r="CJ143" s="10">
        <f t="shared" si="53"/>
        <v>55</v>
      </c>
      <c r="CK143" s="10" t="b">
        <f t="shared" si="59"/>
        <v>1</v>
      </c>
      <c r="CL143" s="10" t="b">
        <f t="shared" si="60"/>
        <v>1</v>
      </c>
      <c r="CM143" s="10" t="b">
        <f t="shared" si="61"/>
        <v>1</v>
      </c>
      <c r="CN143" s="9">
        <f t="shared" si="62"/>
        <v>1</v>
      </c>
      <c r="CO143" s="10">
        <f t="shared" si="65"/>
        <v>24</v>
      </c>
      <c r="CP143" s="10" t="b">
        <f t="shared" si="63"/>
        <v>1</v>
      </c>
      <c r="CQ143" s="10" t="b">
        <f t="shared" si="64"/>
        <v>1</v>
      </c>
      <c r="CR143" s="10" cm="1">
        <f t="array" ref="CR143">_xlfn.IFS(AND($CI143=0, CK143=FALSE), NA(), AND($CI143=1, CK143=FALSE), 0, CK143=TRUE, 1)</f>
        <v>1</v>
      </c>
      <c r="CS143" s="10" cm="1">
        <f t="array" ref="CS143">_xlfn.IFS(AND($CI143=0, CL143=FALSE), NA(), AND($CI143=1, CL143=FALSE), 0, CL143=TRUE, 1)</f>
        <v>1</v>
      </c>
      <c r="CT143" s="10" cm="1">
        <f t="array" ref="CT143">_xlfn.IFS(AND($CI143=0, CM143=FALSE), NA(), AND($CI143=1, CM143=FALSE), 0, CM143=TRUE, 1)</f>
        <v>1</v>
      </c>
      <c r="CU143" s="10" cm="1">
        <f t="array" ref="CU143">_xlfn.IFS(AND($CN143=0, CP143=FALSE), NA(), AND($CN143=1, CP143=FALSE), 0, CP143=TRUE, 1)</f>
        <v>1</v>
      </c>
      <c r="CV143" s="10" cm="1">
        <f t="array" ref="CV143">_xlfn.IFS(AND($CN143=0, CQ143=FALSE), NA(), AND($CN143=1, CQ143=FALSE), 0, CQ143=TRUE, 1)</f>
        <v>1</v>
      </c>
    </row>
    <row r="144" spans="1:100" ht="15.75" x14ac:dyDescent="0.25">
      <c r="A144" s="8">
        <v>143</v>
      </c>
      <c r="B144" s="9">
        <v>255</v>
      </c>
      <c r="C144" s="10" t="s">
        <v>21</v>
      </c>
      <c r="D144" s="11" t="s">
        <v>40</v>
      </c>
      <c r="E144" s="12">
        <v>24438</v>
      </c>
      <c r="F144" s="13">
        <v>2</v>
      </c>
      <c r="G144" s="9">
        <v>43.843940734863281</v>
      </c>
      <c r="H144" s="12">
        <v>40452</v>
      </c>
      <c r="I144" s="9">
        <v>1</v>
      </c>
      <c r="J144" s="12">
        <v>40468</v>
      </c>
      <c r="K144" s="9">
        <v>1</v>
      </c>
      <c r="L144" s="9">
        <v>1</v>
      </c>
      <c r="M144" s="10" t="s">
        <v>401</v>
      </c>
      <c r="N144" s="9"/>
      <c r="O144" s="10" t="s">
        <v>401</v>
      </c>
      <c r="P144" s="9"/>
      <c r="Q144" s="10" t="s">
        <v>401</v>
      </c>
      <c r="R144" s="12">
        <v>40452</v>
      </c>
      <c r="S144" s="10" t="s">
        <v>145</v>
      </c>
      <c r="T144" s="9">
        <v>4</v>
      </c>
      <c r="U144" s="10" t="s">
        <v>150</v>
      </c>
      <c r="V144" s="10" t="s">
        <v>401</v>
      </c>
      <c r="W144" s="9"/>
      <c r="X144" s="9"/>
      <c r="Y144" s="9">
        <v>4</v>
      </c>
      <c r="Z144" s="14">
        <v>1</v>
      </c>
      <c r="AA144" s="15">
        <v>11</v>
      </c>
      <c r="AB144" s="16">
        <v>88</v>
      </c>
      <c r="AC144" s="16">
        <v>17</v>
      </c>
      <c r="AD144" s="9">
        <v>3</v>
      </c>
      <c r="AE144" s="9">
        <v>3</v>
      </c>
      <c r="AF144" s="9">
        <v>1</v>
      </c>
      <c r="AG144" s="9">
        <v>1</v>
      </c>
      <c r="AH144" s="9">
        <v>1</v>
      </c>
      <c r="AI144" s="9">
        <v>0</v>
      </c>
      <c r="AJ144" s="12">
        <v>42409</v>
      </c>
      <c r="AK144" s="9">
        <v>2</v>
      </c>
      <c r="AL144" s="12">
        <v>42573</v>
      </c>
      <c r="AM144" s="9">
        <v>4</v>
      </c>
      <c r="AN144" s="12">
        <v>42579</v>
      </c>
      <c r="AO144" s="12">
        <v>42579</v>
      </c>
      <c r="AP144" s="12">
        <v>42579</v>
      </c>
      <c r="AQ144" s="9">
        <v>1</v>
      </c>
      <c r="AR144" s="9">
        <f t="shared" si="54"/>
        <v>1</v>
      </c>
      <c r="AS144" s="9">
        <v>1</v>
      </c>
      <c r="AT144" s="9">
        <v>2</v>
      </c>
      <c r="AU144" s="9">
        <v>2</v>
      </c>
      <c r="AV144" s="9">
        <f t="shared" si="55"/>
        <v>1</v>
      </c>
      <c r="AW144" s="12">
        <v>42656</v>
      </c>
      <c r="AX144" s="9">
        <v>12710</v>
      </c>
      <c r="AY144" s="9">
        <v>8310</v>
      </c>
      <c r="AZ144" s="9">
        <v>2380</v>
      </c>
      <c r="BA144" s="9">
        <v>8310</v>
      </c>
      <c r="BB144" s="9">
        <v>2379.999755859375</v>
      </c>
      <c r="BC144" s="9">
        <v>404000</v>
      </c>
      <c r="BD144" s="9">
        <v>1610</v>
      </c>
      <c r="BE144" s="9">
        <v>290</v>
      </c>
      <c r="BF144" s="9">
        <v>301</v>
      </c>
      <c r="BG144" s="9">
        <v>14350</v>
      </c>
      <c r="BH144" s="9">
        <v>9440</v>
      </c>
      <c r="BI144" s="9">
        <v>3130</v>
      </c>
      <c r="BJ144" s="9">
        <v>306000</v>
      </c>
      <c r="BK144" s="9">
        <v>1560</v>
      </c>
      <c r="BL144" s="9">
        <v>160</v>
      </c>
      <c r="BM144" s="9">
        <v>254</v>
      </c>
      <c r="BN144" s="9">
        <v>6890</v>
      </c>
      <c r="BO144" s="9">
        <v>4030</v>
      </c>
      <c r="BP144" s="9">
        <v>1830</v>
      </c>
      <c r="BQ144" s="9">
        <v>304000</v>
      </c>
      <c r="BR144" s="9">
        <v>670</v>
      </c>
      <c r="BS144" s="9">
        <v>300</v>
      </c>
      <c r="BT144" s="9">
        <v>178</v>
      </c>
      <c r="BU144" s="9">
        <v>9210</v>
      </c>
      <c r="BV144" s="9">
        <v>5140</v>
      </c>
      <c r="BW144" s="9">
        <v>2220</v>
      </c>
      <c r="BX144" s="9">
        <v>325000</v>
      </c>
      <c r="BY144" s="9">
        <v>1480</v>
      </c>
      <c r="BZ144" s="10" t="s">
        <v>548</v>
      </c>
      <c r="CA144" s="9">
        <v>290</v>
      </c>
      <c r="CB144" s="9">
        <v>201</v>
      </c>
      <c r="CC144" s="10">
        <f t="shared" si="56"/>
        <v>3.4915969968238123</v>
      </c>
      <c r="CD144" s="10">
        <f t="shared" si="57"/>
        <v>169.74791657242119</v>
      </c>
      <c r="CE144" s="10">
        <f t="shared" si="67"/>
        <v>1410605.1867168201</v>
      </c>
      <c r="CF144" s="10">
        <f t="shared" si="50"/>
        <v>0</v>
      </c>
      <c r="CG144" s="10">
        <f t="shared" si="51"/>
        <v>0</v>
      </c>
      <c r="CH144" s="10">
        <f t="shared" si="52"/>
        <v>5</v>
      </c>
      <c r="CI144" s="9">
        <f t="shared" si="58"/>
        <v>1</v>
      </c>
      <c r="CJ144" s="10">
        <f t="shared" si="53"/>
        <v>8</v>
      </c>
      <c r="CK144" s="10" t="b">
        <f t="shared" si="59"/>
        <v>1</v>
      </c>
      <c r="CL144" s="10" t="b">
        <f t="shared" si="60"/>
        <v>0</v>
      </c>
      <c r="CM144" s="10" t="b">
        <f t="shared" si="61"/>
        <v>0</v>
      </c>
      <c r="CN144" s="9">
        <f t="shared" si="62"/>
        <v>1</v>
      </c>
      <c r="CO144" s="10">
        <f t="shared" si="65"/>
        <v>5</v>
      </c>
      <c r="CP144" s="10" t="b">
        <f t="shared" si="63"/>
        <v>1</v>
      </c>
      <c r="CQ144" s="10" t="b">
        <f t="shared" si="64"/>
        <v>0</v>
      </c>
      <c r="CR144" s="10" cm="1">
        <f t="array" ref="CR144">_xlfn.IFS(AND($CI144=0, CK144=FALSE), NA(), AND($CI144=1, CK144=FALSE), 0, CK144=TRUE, 1)</f>
        <v>1</v>
      </c>
      <c r="CS144" s="10" cm="1">
        <f t="array" ref="CS144">_xlfn.IFS(AND($CI144=0, CL144=FALSE), NA(), AND($CI144=1, CL144=FALSE), 0, CL144=TRUE, 1)</f>
        <v>0</v>
      </c>
      <c r="CT144" s="10" cm="1">
        <f t="array" ref="CT144">_xlfn.IFS(AND($CI144=0, CM144=FALSE), NA(), AND($CI144=1, CM144=FALSE), 0, CM144=TRUE, 1)</f>
        <v>0</v>
      </c>
      <c r="CU144" s="10" cm="1">
        <f t="array" ref="CU144">_xlfn.IFS(AND($CN144=0, CP144=FALSE), NA(), AND($CN144=1, CP144=FALSE), 0, CP144=TRUE, 1)</f>
        <v>1</v>
      </c>
      <c r="CV144" s="10" cm="1">
        <f t="array" ref="CV144">_xlfn.IFS(AND($CN144=0, CQ144=FALSE), NA(), AND($CN144=1, CQ144=FALSE), 0, CQ144=TRUE, 1)</f>
        <v>0</v>
      </c>
    </row>
    <row r="145" spans="1:100" ht="15.75" x14ac:dyDescent="0.25">
      <c r="A145" s="8">
        <v>144</v>
      </c>
      <c r="B145" s="9">
        <v>534</v>
      </c>
      <c r="C145" s="10" t="s">
        <v>34</v>
      </c>
      <c r="D145" s="11" t="s">
        <v>176</v>
      </c>
      <c r="E145" s="12">
        <v>17054</v>
      </c>
      <c r="F145" s="13">
        <v>1</v>
      </c>
      <c r="G145" s="9">
        <v>64.093086242675781</v>
      </c>
      <c r="H145" s="12">
        <v>40464</v>
      </c>
      <c r="I145" s="9">
        <v>1</v>
      </c>
      <c r="J145" s="12">
        <v>40464</v>
      </c>
      <c r="K145" s="9">
        <v>0</v>
      </c>
      <c r="L145" s="9">
        <v>1</v>
      </c>
      <c r="M145" s="10" t="s">
        <v>401</v>
      </c>
      <c r="N145" s="9">
        <v>1</v>
      </c>
      <c r="O145" s="10" t="s">
        <v>401</v>
      </c>
      <c r="P145" s="9">
        <v>1</v>
      </c>
      <c r="Q145" s="10" t="s">
        <v>401</v>
      </c>
      <c r="R145" s="12">
        <v>41995</v>
      </c>
      <c r="S145" s="10" t="s">
        <v>146</v>
      </c>
      <c r="T145" s="9"/>
      <c r="U145" s="10" t="s">
        <v>401</v>
      </c>
      <c r="V145" s="10" t="s">
        <v>401</v>
      </c>
      <c r="W145" s="9"/>
      <c r="X145" s="9"/>
      <c r="Y145" s="9">
        <v>2</v>
      </c>
      <c r="Z145" s="14">
        <v>2</v>
      </c>
      <c r="AA145" s="17">
        <v>13.2</v>
      </c>
      <c r="AB145" s="18">
        <v>114</v>
      </c>
      <c r="AC145" s="18">
        <v>15</v>
      </c>
      <c r="AD145" s="9">
        <v>1</v>
      </c>
      <c r="AE145" s="9">
        <v>1</v>
      </c>
      <c r="AF145" s="9">
        <v>1</v>
      </c>
      <c r="AG145" s="9">
        <v>1</v>
      </c>
      <c r="AH145" s="9">
        <v>1</v>
      </c>
      <c r="AI145" s="9">
        <v>0</v>
      </c>
      <c r="AJ145" s="12">
        <v>43052</v>
      </c>
      <c r="AK145" s="9">
        <v>2</v>
      </c>
      <c r="AL145" s="12">
        <v>43207</v>
      </c>
      <c r="AM145" s="9">
        <v>3</v>
      </c>
      <c r="AN145" s="12">
        <v>43130</v>
      </c>
      <c r="AO145" s="12">
        <v>43216</v>
      </c>
      <c r="AP145" s="12">
        <v>43216</v>
      </c>
      <c r="AQ145" s="9">
        <v>1</v>
      </c>
      <c r="AR145" s="9">
        <f t="shared" si="54"/>
        <v>1</v>
      </c>
      <c r="AS145" s="9">
        <v>1</v>
      </c>
      <c r="AT145" s="9">
        <v>2</v>
      </c>
      <c r="AU145" s="9">
        <v>2</v>
      </c>
      <c r="AV145" s="9">
        <f t="shared" si="55"/>
        <v>1</v>
      </c>
      <c r="AW145" s="12">
        <v>43974</v>
      </c>
      <c r="AX145" s="9">
        <v>5010</v>
      </c>
      <c r="AY145" s="9">
        <v>2140</v>
      </c>
      <c r="AZ145" s="9">
        <v>2500</v>
      </c>
      <c r="BA145" s="9">
        <v>2140</v>
      </c>
      <c r="BB145" s="9">
        <v>2500.000244140625</v>
      </c>
      <c r="BC145" s="9">
        <v>156000</v>
      </c>
      <c r="BD145" s="9"/>
      <c r="BE145" s="9"/>
      <c r="BF145" s="9">
        <v>191</v>
      </c>
      <c r="BG145" s="9">
        <v>7800</v>
      </c>
      <c r="BH145" s="9">
        <v>4030</v>
      </c>
      <c r="BI145" s="9">
        <v>3200</v>
      </c>
      <c r="BJ145" s="9">
        <v>225000</v>
      </c>
      <c r="BK145" s="9"/>
      <c r="BL145" s="9"/>
      <c r="BM145" s="9">
        <v>195</v>
      </c>
      <c r="BN145" s="9">
        <v>6850</v>
      </c>
      <c r="BO145" s="9">
        <v>3140</v>
      </c>
      <c r="BP145" s="9">
        <v>3100</v>
      </c>
      <c r="BQ145" s="9">
        <v>227000</v>
      </c>
      <c r="BR145" s="9"/>
      <c r="BS145" s="9"/>
      <c r="BT145" s="9">
        <v>198</v>
      </c>
      <c r="BU145" s="9">
        <v>7770</v>
      </c>
      <c r="BV145" s="9">
        <v>4380</v>
      </c>
      <c r="BW145" s="9">
        <v>2900</v>
      </c>
      <c r="BX145" s="9">
        <v>226000</v>
      </c>
      <c r="BY145" s="9"/>
      <c r="BZ145" s="10" t="s">
        <v>401</v>
      </c>
      <c r="CA145" s="9"/>
      <c r="CB145" s="9">
        <v>212</v>
      </c>
      <c r="CC145" s="10">
        <f t="shared" si="56"/>
        <v>0.85599991640625817</v>
      </c>
      <c r="CD145" s="10">
        <f t="shared" si="57"/>
        <v>62.399993906250593</v>
      </c>
      <c r="CE145" s="10">
        <f t="shared" si="67"/>
        <v>133535.98695937629</v>
      </c>
      <c r="CF145" s="10">
        <f t="shared" si="50"/>
        <v>1</v>
      </c>
      <c r="CG145" s="10">
        <f t="shared" si="51"/>
        <v>0</v>
      </c>
      <c r="CH145" s="10">
        <f t="shared" si="52"/>
        <v>5</v>
      </c>
      <c r="CI145" s="9">
        <f t="shared" si="58"/>
        <v>1</v>
      </c>
      <c r="CJ145" s="10">
        <f t="shared" si="53"/>
        <v>30</v>
      </c>
      <c r="CK145" s="10" t="b">
        <f t="shared" si="59"/>
        <v>1</v>
      </c>
      <c r="CL145" s="10" t="b">
        <f t="shared" si="60"/>
        <v>1</v>
      </c>
      <c r="CM145" s="10" t="b">
        <f t="shared" si="61"/>
        <v>1</v>
      </c>
      <c r="CN145" s="9">
        <f t="shared" si="62"/>
        <v>1</v>
      </c>
      <c r="CO145" s="10">
        <f t="shared" si="65"/>
        <v>5</v>
      </c>
      <c r="CP145" s="10" t="b">
        <f t="shared" si="63"/>
        <v>1</v>
      </c>
      <c r="CQ145" s="10" t="b">
        <f t="shared" si="64"/>
        <v>0</v>
      </c>
      <c r="CR145" s="10" cm="1">
        <f t="array" ref="CR145">_xlfn.IFS(AND($CI145=0, CK145=FALSE), NA(), AND($CI145=1, CK145=FALSE), 0, CK145=TRUE, 1)</f>
        <v>1</v>
      </c>
      <c r="CS145" s="10" cm="1">
        <f t="array" ref="CS145">_xlfn.IFS(AND($CI145=0, CL145=FALSE), NA(), AND($CI145=1, CL145=FALSE), 0, CL145=TRUE, 1)</f>
        <v>1</v>
      </c>
      <c r="CT145" s="10" cm="1">
        <f t="array" ref="CT145">_xlfn.IFS(AND($CI145=0, CM145=FALSE), NA(), AND($CI145=1, CM145=FALSE), 0, CM145=TRUE, 1)</f>
        <v>1</v>
      </c>
      <c r="CU145" s="10" cm="1">
        <f t="array" ref="CU145">_xlfn.IFS(AND($CN145=0, CP145=FALSE), NA(), AND($CN145=1, CP145=FALSE), 0, CP145=TRUE, 1)</f>
        <v>1</v>
      </c>
      <c r="CV145" s="10" cm="1">
        <f t="array" ref="CV145">_xlfn.IFS(AND($CN145=0, CQ145=FALSE), NA(), AND($CN145=1, CQ145=FALSE), 0, CQ145=TRUE, 1)</f>
        <v>0</v>
      </c>
    </row>
    <row r="146" spans="1:100" ht="15.75" x14ac:dyDescent="0.25">
      <c r="A146" s="8">
        <v>145</v>
      </c>
      <c r="B146" s="9">
        <v>175</v>
      </c>
      <c r="C146" s="10" t="s">
        <v>15</v>
      </c>
      <c r="D146" s="11" t="s">
        <v>168</v>
      </c>
      <c r="E146" s="12">
        <v>19746</v>
      </c>
      <c r="F146" s="13">
        <v>2</v>
      </c>
      <c r="G146" s="9">
        <v>56.774810791015625</v>
      </c>
      <c r="H146" s="12">
        <v>40483</v>
      </c>
      <c r="I146" s="9">
        <v>1</v>
      </c>
      <c r="J146" s="12">
        <v>40500</v>
      </c>
      <c r="K146" s="9">
        <v>1</v>
      </c>
      <c r="L146" s="9">
        <v>1</v>
      </c>
      <c r="M146" s="10" t="s">
        <v>401</v>
      </c>
      <c r="N146" s="9">
        <v>2</v>
      </c>
      <c r="O146" s="10" t="s">
        <v>145</v>
      </c>
      <c r="P146" s="9">
        <v>2</v>
      </c>
      <c r="Q146" s="10" t="s">
        <v>145</v>
      </c>
      <c r="R146" s="12">
        <v>40498</v>
      </c>
      <c r="S146" s="10" t="s">
        <v>146</v>
      </c>
      <c r="T146" s="9">
        <v>6</v>
      </c>
      <c r="U146" s="10" t="s">
        <v>401</v>
      </c>
      <c r="V146" s="10" t="s">
        <v>401</v>
      </c>
      <c r="W146" s="9"/>
      <c r="X146" s="9"/>
      <c r="Y146" s="9">
        <v>3</v>
      </c>
      <c r="Z146" s="14">
        <v>2</v>
      </c>
      <c r="AA146" s="15">
        <v>10.1</v>
      </c>
      <c r="AB146" s="16">
        <v>72</v>
      </c>
      <c r="AC146" s="16">
        <v>16</v>
      </c>
      <c r="AD146" s="9">
        <v>2</v>
      </c>
      <c r="AE146" s="9">
        <v>2</v>
      </c>
      <c r="AF146" s="9">
        <v>1</v>
      </c>
      <c r="AG146" s="9">
        <v>0</v>
      </c>
      <c r="AH146" s="9">
        <v>1</v>
      </c>
      <c r="AI146" s="9">
        <v>0</v>
      </c>
      <c r="AJ146" s="12">
        <v>42957</v>
      </c>
      <c r="AK146" s="9">
        <v>2</v>
      </c>
      <c r="AL146" s="12">
        <v>43201</v>
      </c>
      <c r="AM146" s="9">
        <v>3</v>
      </c>
      <c r="AN146" s="12">
        <v>43136</v>
      </c>
      <c r="AO146" s="12">
        <v>43199</v>
      </c>
      <c r="AP146" s="12">
        <v>43199</v>
      </c>
      <c r="AQ146" s="9">
        <v>1</v>
      </c>
      <c r="AR146" s="9">
        <f t="shared" si="54"/>
        <v>1</v>
      </c>
      <c r="AS146" s="9">
        <v>1</v>
      </c>
      <c r="AT146" s="9">
        <v>2</v>
      </c>
      <c r="AU146" s="9">
        <v>2</v>
      </c>
      <c r="AV146" s="9">
        <f t="shared" si="55"/>
        <v>1</v>
      </c>
      <c r="AW146" s="12">
        <v>44596</v>
      </c>
      <c r="AX146" s="9">
        <v>5200</v>
      </c>
      <c r="AY146" s="9">
        <v>2700</v>
      </c>
      <c r="AZ146" s="9"/>
      <c r="BA146" s="9">
        <v>2700</v>
      </c>
      <c r="BB146" s="9">
        <v>1652.3402099609375</v>
      </c>
      <c r="BC146" s="9">
        <v>275000</v>
      </c>
      <c r="BD146" s="9"/>
      <c r="BE146" s="9"/>
      <c r="BF146" s="9">
        <v>179</v>
      </c>
      <c r="BG146" s="9">
        <v>6720</v>
      </c>
      <c r="BH146" s="9">
        <v>3100</v>
      </c>
      <c r="BI146" s="9"/>
      <c r="BJ146" s="9">
        <v>244000</v>
      </c>
      <c r="BK146" s="9"/>
      <c r="BL146" s="9"/>
      <c r="BM146" s="9">
        <v>181</v>
      </c>
      <c r="BN146" s="9">
        <v>5570</v>
      </c>
      <c r="BO146" s="9">
        <v>3360</v>
      </c>
      <c r="BP146" s="9">
        <v>1690</v>
      </c>
      <c r="BQ146" s="9">
        <v>286000</v>
      </c>
      <c r="BR146" s="9">
        <v>340</v>
      </c>
      <c r="BS146" s="9">
        <v>90</v>
      </c>
      <c r="BT146" s="9">
        <v>163</v>
      </c>
      <c r="BU146" s="9">
        <v>5830</v>
      </c>
      <c r="BV146" s="9">
        <v>3340</v>
      </c>
      <c r="BW146" s="9">
        <v>1940</v>
      </c>
      <c r="BX146" s="9">
        <v>309000</v>
      </c>
      <c r="BY146" s="9">
        <v>330</v>
      </c>
      <c r="BZ146" s="10" t="s">
        <v>549</v>
      </c>
      <c r="CA146" s="9">
        <v>110</v>
      </c>
      <c r="CB146" s="9">
        <v>166</v>
      </c>
      <c r="CC146" s="10">
        <f t="shared" si="56"/>
        <v>1.6340460540289279</v>
      </c>
      <c r="CD146" s="10">
        <f t="shared" si="57"/>
        <v>166.43061661405747</v>
      </c>
      <c r="CE146" s="10">
        <f t="shared" si="67"/>
        <v>449362.66485795518</v>
      </c>
      <c r="CF146" s="10">
        <f t="shared" si="50"/>
        <v>1</v>
      </c>
      <c r="CG146" s="10">
        <f t="shared" si="51"/>
        <v>0</v>
      </c>
      <c r="CH146" s="10">
        <f t="shared" si="52"/>
        <v>8</v>
      </c>
      <c r="CI146" s="9">
        <f t="shared" si="58"/>
        <v>1</v>
      </c>
      <c r="CJ146" s="10">
        <f t="shared" si="53"/>
        <v>54</v>
      </c>
      <c r="CK146" s="10" t="b">
        <f t="shared" si="59"/>
        <v>1</v>
      </c>
      <c r="CL146" s="10" t="b">
        <f t="shared" si="60"/>
        <v>1</v>
      </c>
      <c r="CM146" s="10" t="b">
        <f t="shared" si="61"/>
        <v>1</v>
      </c>
      <c r="CN146" s="9">
        <f t="shared" si="62"/>
        <v>1</v>
      </c>
      <c r="CO146" s="10">
        <f t="shared" si="65"/>
        <v>8</v>
      </c>
      <c r="CP146" s="10" t="b">
        <f t="shared" si="63"/>
        <v>1</v>
      </c>
      <c r="CQ146" s="10" t="b">
        <f t="shared" si="64"/>
        <v>0</v>
      </c>
      <c r="CR146" s="10" cm="1">
        <f t="array" ref="CR146">_xlfn.IFS(AND($CI146=0, CK146=FALSE), NA(), AND($CI146=1, CK146=FALSE), 0, CK146=TRUE, 1)</f>
        <v>1</v>
      </c>
      <c r="CS146" s="10" cm="1">
        <f t="array" ref="CS146">_xlfn.IFS(AND($CI146=0, CL146=FALSE), NA(), AND($CI146=1, CL146=FALSE), 0, CL146=TRUE, 1)</f>
        <v>1</v>
      </c>
      <c r="CT146" s="10" cm="1">
        <f t="array" ref="CT146">_xlfn.IFS(AND($CI146=0, CM146=FALSE), NA(), AND($CI146=1, CM146=FALSE), 0, CM146=TRUE, 1)</f>
        <v>1</v>
      </c>
      <c r="CU146" s="10" cm="1">
        <f t="array" ref="CU146">_xlfn.IFS(AND($CN146=0, CP146=FALSE), NA(), AND($CN146=1, CP146=FALSE), 0, CP146=TRUE, 1)</f>
        <v>1</v>
      </c>
      <c r="CV146" s="10" cm="1">
        <f t="array" ref="CV146">_xlfn.IFS(AND($CN146=0, CQ146=FALSE), NA(), AND($CN146=1, CQ146=FALSE), 0, CQ146=TRUE, 1)</f>
        <v>0</v>
      </c>
    </row>
    <row r="147" spans="1:100" ht="15.75" x14ac:dyDescent="0.25">
      <c r="A147" s="8">
        <v>146</v>
      </c>
      <c r="B147" s="9">
        <v>422</v>
      </c>
      <c r="C147" s="10" t="s">
        <v>29</v>
      </c>
      <c r="D147" s="11" t="s">
        <v>334</v>
      </c>
      <c r="E147" s="12">
        <v>13366</v>
      </c>
      <c r="F147" s="13">
        <v>1</v>
      </c>
      <c r="G147" s="9">
        <v>74.242301940917969</v>
      </c>
      <c r="H147" s="12">
        <v>40483</v>
      </c>
      <c r="I147" s="9">
        <v>1</v>
      </c>
      <c r="J147" s="12">
        <v>40483</v>
      </c>
      <c r="K147" s="9">
        <v>0</v>
      </c>
      <c r="L147" s="9">
        <v>1</v>
      </c>
      <c r="M147" s="10" t="s">
        <v>401</v>
      </c>
      <c r="N147" s="9">
        <v>1</v>
      </c>
      <c r="O147" s="10" t="s">
        <v>401</v>
      </c>
      <c r="P147" s="9">
        <v>1</v>
      </c>
      <c r="Q147" s="10" t="s">
        <v>401</v>
      </c>
      <c r="R147" s="12">
        <v>42523</v>
      </c>
      <c r="S147" s="10" t="s">
        <v>146</v>
      </c>
      <c r="T147" s="9"/>
      <c r="U147" s="10" t="s">
        <v>401</v>
      </c>
      <c r="V147" s="10" t="s">
        <v>401</v>
      </c>
      <c r="W147" s="9"/>
      <c r="X147" s="9"/>
      <c r="Y147" s="9">
        <v>2</v>
      </c>
      <c r="Z147" s="14">
        <v>2</v>
      </c>
      <c r="AA147" s="17">
        <v>14.7</v>
      </c>
      <c r="AB147" s="18">
        <v>106</v>
      </c>
      <c r="AC147" s="18"/>
      <c r="AD147" s="9">
        <v>2</v>
      </c>
      <c r="AE147" s="9">
        <v>2</v>
      </c>
      <c r="AF147" s="9">
        <v>1</v>
      </c>
      <c r="AG147" s="9">
        <v>0</v>
      </c>
      <c r="AH147" s="9">
        <v>1</v>
      </c>
      <c r="AI147" s="9">
        <v>0</v>
      </c>
      <c r="AJ147" s="12">
        <v>43208</v>
      </c>
      <c r="AK147" s="9">
        <v>2</v>
      </c>
      <c r="AL147" s="12">
        <v>43404</v>
      </c>
      <c r="AM147" s="9">
        <v>3</v>
      </c>
      <c r="AN147" s="12">
        <v>43292</v>
      </c>
      <c r="AO147" s="12">
        <v>43419</v>
      </c>
      <c r="AP147" s="12">
        <v>43419</v>
      </c>
      <c r="AQ147" s="9">
        <v>1</v>
      </c>
      <c r="AR147" s="9">
        <f t="shared" si="54"/>
        <v>1</v>
      </c>
      <c r="AS147" s="9">
        <v>1</v>
      </c>
      <c r="AT147" s="9">
        <v>2</v>
      </c>
      <c r="AU147" s="9">
        <v>2</v>
      </c>
      <c r="AV147" s="9">
        <f t="shared" si="55"/>
        <v>1</v>
      </c>
      <c r="AW147" s="12">
        <v>43474</v>
      </c>
      <c r="AX147" s="9">
        <v>6500</v>
      </c>
      <c r="AY147" s="9">
        <v>4800</v>
      </c>
      <c r="AZ147" s="9">
        <v>1140</v>
      </c>
      <c r="BA147" s="9">
        <v>4800</v>
      </c>
      <c r="BB147" s="9">
        <v>1140</v>
      </c>
      <c r="BC147" s="9">
        <v>196000</v>
      </c>
      <c r="BD147" s="9">
        <v>290</v>
      </c>
      <c r="BE147" s="9">
        <v>50</v>
      </c>
      <c r="BF147" s="9"/>
      <c r="BG147" s="9">
        <v>6600</v>
      </c>
      <c r="BH147" s="9">
        <v>2950</v>
      </c>
      <c r="BI147" s="9">
        <v>1480</v>
      </c>
      <c r="BJ147" s="9">
        <v>172000</v>
      </c>
      <c r="BK147" s="9">
        <v>320</v>
      </c>
      <c r="BL147" s="9">
        <v>20</v>
      </c>
      <c r="BM147" s="9"/>
      <c r="BN147" s="9">
        <v>5040</v>
      </c>
      <c r="BO147" s="9">
        <v>2920</v>
      </c>
      <c r="BP147" s="9">
        <v>1600</v>
      </c>
      <c r="BQ147" s="9">
        <v>142000</v>
      </c>
      <c r="BR147" s="9">
        <v>330</v>
      </c>
      <c r="BS147" s="9">
        <v>250</v>
      </c>
      <c r="BT147" s="9"/>
      <c r="BU147" s="9">
        <v>4830</v>
      </c>
      <c r="BV147" s="9">
        <v>3090</v>
      </c>
      <c r="BW147" s="9">
        <v>1150</v>
      </c>
      <c r="BX147" s="9">
        <v>131000</v>
      </c>
      <c r="BY147" s="9">
        <v>300</v>
      </c>
      <c r="BZ147" s="10" t="s">
        <v>560</v>
      </c>
      <c r="CA147" s="9">
        <v>170</v>
      </c>
      <c r="CB147" s="9"/>
      <c r="CC147" s="10">
        <f t="shared" si="56"/>
        <v>4.2105263157894735</v>
      </c>
      <c r="CD147" s="10">
        <f t="shared" si="57"/>
        <v>171.92982456140351</v>
      </c>
      <c r="CE147" s="10">
        <f t="shared" si="67"/>
        <v>825263.15789473685</v>
      </c>
      <c r="CF147" s="10">
        <f t="shared" si="50"/>
        <v>1</v>
      </c>
      <c r="CG147" s="10">
        <f t="shared" si="51"/>
        <v>0</v>
      </c>
      <c r="CH147" s="10">
        <f t="shared" si="52"/>
        <v>6</v>
      </c>
      <c r="CI147" s="9">
        <f t="shared" si="58"/>
        <v>1</v>
      </c>
      <c r="CJ147" s="10">
        <f t="shared" si="53"/>
        <v>9</v>
      </c>
      <c r="CK147" s="10" t="b">
        <f t="shared" si="59"/>
        <v>1</v>
      </c>
      <c r="CL147" s="10" t="b">
        <f t="shared" si="60"/>
        <v>0</v>
      </c>
      <c r="CM147" s="10" t="b">
        <f t="shared" si="61"/>
        <v>0</v>
      </c>
      <c r="CN147" s="9">
        <f t="shared" si="62"/>
        <v>1</v>
      </c>
      <c r="CO147" s="10">
        <f t="shared" si="65"/>
        <v>7</v>
      </c>
      <c r="CP147" s="10" t="b">
        <f t="shared" si="63"/>
        <v>1</v>
      </c>
      <c r="CQ147" s="10" t="b">
        <f t="shared" si="64"/>
        <v>0</v>
      </c>
      <c r="CR147" s="10" cm="1">
        <f t="array" ref="CR147">_xlfn.IFS(AND($CI147=0, CK147=FALSE), NA(), AND($CI147=1, CK147=FALSE), 0, CK147=TRUE, 1)</f>
        <v>1</v>
      </c>
      <c r="CS147" s="10" cm="1">
        <f t="array" ref="CS147">_xlfn.IFS(AND($CI147=0, CL147=FALSE), NA(), AND($CI147=1, CL147=FALSE), 0, CL147=TRUE, 1)</f>
        <v>0</v>
      </c>
      <c r="CT147" s="10" cm="1">
        <f t="array" ref="CT147">_xlfn.IFS(AND($CI147=0, CM147=FALSE), NA(), AND($CI147=1, CM147=FALSE), 0, CM147=TRUE, 1)</f>
        <v>0</v>
      </c>
      <c r="CU147" s="10" cm="1">
        <f t="array" ref="CU147">_xlfn.IFS(AND($CN147=0, CP147=FALSE), NA(), AND($CN147=1, CP147=FALSE), 0, CP147=TRUE, 1)</f>
        <v>1</v>
      </c>
      <c r="CV147" s="10" cm="1">
        <f t="array" ref="CV147">_xlfn.IFS(AND($CN147=0, CQ147=FALSE), NA(), AND($CN147=1, CQ147=FALSE), 0, CQ147=TRUE, 1)</f>
        <v>0</v>
      </c>
    </row>
    <row r="148" spans="1:100" ht="15.75" x14ac:dyDescent="0.25">
      <c r="A148" s="8">
        <v>147</v>
      </c>
      <c r="B148" s="9">
        <v>21</v>
      </c>
      <c r="C148" s="10" t="s">
        <v>4</v>
      </c>
      <c r="D148" s="11" t="s">
        <v>57</v>
      </c>
      <c r="E148" s="12">
        <v>14548</v>
      </c>
      <c r="F148" s="13">
        <v>1</v>
      </c>
      <c r="G148" s="9">
        <v>71.121147155761719</v>
      </c>
      <c r="H148" s="12">
        <v>40525</v>
      </c>
      <c r="I148" s="9">
        <v>1</v>
      </c>
      <c r="J148" s="12">
        <v>40525</v>
      </c>
      <c r="K148" s="9">
        <v>0</v>
      </c>
      <c r="L148" s="9">
        <v>1</v>
      </c>
      <c r="M148" s="10" t="s">
        <v>401</v>
      </c>
      <c r="N148" s="9">
        <v>1</v>
      </c>
      <c r="O148" s="10" t="s">
        <v>401</v>
      </c>
      <c r="P148" s="9">
        <v>1</v>
      </c>
      <c r="Q148" s="10" t="s">
        <v>401</v>
      </c>
      <c r="R148" s="12">
        <v>41940</v>
      </c>
      <c r="S148" s="10" t="s">
        <v>145</v>
      </c>
      <c r="T148" s="9"/>
      <c r="U148" s="10" t="s">
        <v>401</v>
      </c>
      <c r="V148" s="10" t="s">
        <v>401</v>
      </c>
      <c r="W148" s="9"/>
      <c r="X148" s="9"/>
      <c r="Y148" s="9">
        <v>2</v>
      </c>
      <c r="Z148" s="14">
        <v>1</v>
      </c>
      <c r="AA148" s="17">
        <v>15.7</v>
      </c>
      <c r="AB148" s="18">
        <v>104</v>
      </c>
      <c r="AC148" s="9"/>
      <c r="AD148" s="9">
        <v>1</v>
      </c>
      <c r="AE148" s="9">
        <v>1</v>
      </c>
      <c r="AF148" s="9">
        <v>1</v>
      </c>
      <c r="AG148" s="9">
        <v>1</v>
      </c>
      <c r="AH148" s="9">
        <v>1</v>
      </c>
      <c r="AI148" s="9">
        <v>0</v>
      </c>
      <c r="AJ148" s="12">
        <v>43042</v>
      </c>
      <c r="AK148" s="9">
        <v>1</v>
      </c>
      <c r="AL148" s="12">
        <v>44973</v>
      </c>
      <c r="AM148" s="9">
        <v>2</v>
      </c>
      <c r="AN148" s="12">
        <v>43640</v>
      </c>
      <c r="AO148" s="12">
        <v>43740</v>
      </c>
      <c r="AP148" s="12">
        <v>43887</v>
      </c>
      <c r="AQ148" s="9">
        <v>1</v>
      </c>
      <c r="AR148" s="9">
        <f t="shared" si="54"/>
        <v>1</v>
      </c>
      <c r="AS148" s="9">
        <v>1</v>
      </c>
      <c r="AT148" s="9">
        <v>1</v>
      </c>
      <c r="AU148" s="9">
        <v>1</v>
      </c>
      <c r="AV148" s="9">
        <f t="shared" si="55"/>
        <v>0</v>
      </c>
      <c r="AW148" s="12">
        <v>44973</v>
      </c>
      <c r="AX148" s="9">
        <v>5220</v>
      </c>
      <c r="AY148" s="9">
        <v>3100</v>
      </c>
      <c r="AZ148" s="9">
        <v>1400</v>
      </c>
      <c r="BA148" s="9">
        <v>3100</v>
      </c>
      <c r="BB148" s="9">
        <v>1399.9998779296875</v>
      </c>
      <c r="BC148" s="9">
        <v>162000</v>
      </c>
      <c r="BD148" s="9">
        <v>500</v>
      </c>
      <c r="BE148" s="9">
        <v>200</v>
      </c>
      <c r="BF148" s="9">
        <v>231</v>
      </c>
      <c r="BG148" s="9">
        <v>5980</v>
      </c>
      <c r="BH148" s="9">
        <v>3700</v>
      </c>
      <c r="BI148" s="9">
        <v>1500</v>
      </c>
      <c r="BJ148" s="9">
        <v>171000</v>
      </c>
      <c r="BK148" s="9">
        <v>500</v>
      </c>
      <c r="BL148" s="9">
        <v>200</v>
      </c>
      <c r="BM148" s="9">
        <v>193</v>
      </c>
      <c r="BN148" s="9">
        <v>5270</v>
      </c>
      <c r="BO148" s="9">
        <v>3500</v>
      </c>
      <c r="BP148" s="9">
        <v>1100</v>
      </c>
      <c r="BQ148" s="9">
        <v>180000</v>
      </c>
      <c r="BR148" s="9">
        <v>500</v>
      </c>
      <c r="BS148" s="9">
        <v>200</v>
      </c>
      <c r="BT148" s="9">
        <v>232</v>
      </c>
      <c r="BU148" s="9">
        <v>6510</v>
      </c>
      <c r="BV148" s="9">
        <v>4200</v>
      </c>
      <c r="BW148" s="9">
        <v>1500</v>
      </c>
      <c r="BX148" s="9">
        <v>170000</v>
      </c>
      <c r="BY148" s="9">
        <v>700</v>
      </c>
      <c r="BZ148" s="10" t="s">
        <v>525</v>
      </c>
      <c r="CA148" s="9">
        <v>100</v>
      </c>
      <c r="CB148" s="9">
        <v>193</v>
      </c>
      <c r="CC148" s="10">
        <f t="shared" si="56"/>
        <v>2.2142859073561234</v>
      </c>
      <c r="CD148" s="10">
        <f t="shared" si="57"/>
        <v>115.71429580377161</v>
      </c>
      <c r="CE148" s="10">
        <f t="shared" si="67"/>
        <v>358714.316991692</v>
      </c>
      <c r="CF148" s="10">
        <f t="shared" si="50"/>
        <v>1</v>
      </c>
      <c r="CG148" s="10">
        <f t="shared" si="51"/>
        <v>1</v>
      </c>
      <c r="CH148" s="10">
        <f t="shared" si="52"/>
        <v>63</v>
      </c>
      <c r="CI148" s="9">
        <f t="shared" si="58"/>
        <v>0</v>
      </c>
      <c r="CJ148" s="10">
        <f t="shared" si="53"/>
        <v>63</v>
      </c>
      <c r="CK148" s="10" t="b">
        <f t="shared" si="59"/>
        <v>1</v>
      </c>
      <c r="CL148" s="10" t="b">
        <f t="shared" si="60"/>
        <v>1</v>
      </c>
      <c r="CM148" s="10" t="b">
        <f t="shared" si="61"/>
        <v>1</v>
      </c>
      <c r="CN148" s="9">
        <f t="shared" si="62"/>
        <v>1</v>
      </c>
      <c r="CO148" s="10">
        <f t="shared" si="65"/>
        <v>23</v>
      </c>
      <c r="CP148" s="10" t="b">
        <f t="shared" si="63"/>
        <v>1</v>
      </c>
      <c r="CQ148" s="10" t="b">
        <f t="shared" si="64"/>
        <v>1</v>
      </c>
      <c r="CR148" s="10" cm="1">
        <f t="array" ref="CR148">_xlfn.IFS(AND($CI148=0, CK148=FALSE), NA(), AND($CI148=1, CK148=FALSE), 0, CK148=TRUE, 1)</f>
        <v>1</v>
      </c>
      <c r="CS148" s="10" cm="1">
        <f t="array" ref="CS148">_xlfn.IFS(AND($CI148=0, CL148=FALSE), NA(), AND($CI148=1, CL148=FALSE), 0, CL148=TRUE, 1)</f>
        <v>1</v>
      </c>
      <c r="CT148" s="10" cm="1">
        <f t="array" ref="CT148">_xlfn.IFS(AND($CI148=0, CM148=FALSE), NA(), AND($CI148=1, CM148=FALSE), 0, CM148=TRUE, 1)</f>
        <v>1</v>
      </c>
      <c r="CU148" s="10" cm="1">
        <f t="array" ref="CU148">_xlfn.IFS(AND($CN148=0, CP148=FALSE), NA(), AND($CN148=1, CP148=FALSE), 0, CP148=TRUE, 1)</f>
        <v>1</v>
      </c>
      <c r="CV148" s="10" cm="1">
        <f t="array" ref="CV148">_xlfn.IFS(AND($CN148=0, CQ148=FALSE), NA(), AND($CN148=1, CQ148=FALSE), 0, CQ148=TRUE, 1)</f>
        <v>1</v>
      </c>
    </row>
    <row r="149" spans="1:100" ht="15.75" x14ac:dyDescent="0.25">
      <c r="A149" s="8">
        <v>148</v>
      </c>
      <c r="B149" s="9">
        <v>551</v>
      </c>
      <c r="C149" s="10" t="s">
        <v>35</v>
      </c>
      <c r="D149" s="11" t="s">
        <v>391</v>
      </c>
      <c r="E149" s="12">
        <v>17145</v>
      </c>
      <c r="F149" s="13">
        <v>1</v>
      </c>
      <c r="G149" s="9">
        <v>64.038330078125</v>
      </c>
      <c r="H149" s="12">
        <v>40535</v>
      </c>
      <c r="I149" s="9">
        <v>1</v>
      </c>
      <c r="J149" s="12">
        <v>40535</v>
      </c>
      <c r="K149" s="9">
        <v>0</v>
      </c>
      <c r="L149" s="9">
        <v>1</v>
      </c>
      <c r="M149" s="10" t="s">
        <v>401</v>
      </c>
      <c r="N149" s="9">
        <v>1</v>
      </c>
      <c r="O149" s="10" t="s">
        <v>401</v>
      </c>
      <c r="P149" s="9">
        <v>1</v>
      </c>
      <c r="Q149" s="10" t="s">
        <v>401</v>
      </c>
      <c r="R149" s="12">
        <v>43071</v>
      </c>
      <c r="S149" s="10" t="s">
        <v>146</v>
      </c>
      <c r="T149" s="9"/>
      <c r="U149" s="10" t="s">
        <v>401</v>
      </c>
      <c r="V149" s="10" t="s">
        <v>401</v>
      </c>
      <c r="W149" s="9"/>
      <c r="X149" s="9"/>
      <c r="Y149" s="9">
        <v>2</v>
      </c>
      <c r="Z149" s="14">
        <v>2</v>
      </c>
      <c r="AA149" s="17">
        <v>15.8</v>
      </c>
      <c r="AB149" s="18">
        <v>108</v>
      </c>
      <c r="AC149" s="9"/>
      <c r="AD149" s="9">
        <v>1</v>
      </c>
      <c r="AE149" s="9">
        <v>1</v>
      </c>
      <c r="AF149" s="9">
        <v>1</v>
      </c>
      <c r="AG149" s="9">
        <v>0</v>
      </c>
      <c r="AH149" s="9">
        <v>1</v>
      </c>
      <c r="AI149" s="9">
        <v>0</v>
      </c>
      <c r="AJ149" s="12">
        <v>43480</v>
      </c>
      <c r="AK149" s="9">
        <v>2</v>
      </c>
      <c r="AL149" s="12">
        <v>43844</v>
      </c>
      <c r="AM149" s="9">
        <v>3</v>
      </c>
      <c r="AN149" s="12">
        <v>43661</v>
      </c>
      <c r="AO149" s="12">
        <v>43538</v>
      </c>
      <c r="AP149" s="12">
        <v>43859</v>
      </c>
      <c r="AQ149" s="9">
        <v>1</v>
      </c>
      <c r="AR149" s="9">
        <f t="shared" si="54"/>
        <v>1</v>
      </c>
      <c r="AS149" s="9">
        <v>1</v>
      </c>
      <c r="AT149" s="9">
        <v>1</v>
      </c>
      <c r="AU149" s="9">
        <v>2</v>
      </c>
      <c r="AV149" s="9">
        <f t="shared" si="55"/>
        <v>1</v>
      </c>
      <c r="AW149" s="12">
        <v>44000</v>
      </c>
      <c r="AX149" s="9">
        <v>4700</v>
      </c>
      <c r="AY149" s="9">
        <v>1780</v>
      </c>
      <c r="AZ149" s="9">
        <v>1960</v>
      </c>
      <c r="BA149" s="9">
        <v>1780</v>
      </c>
      <c r="BB149" s="9">
        <v>1960.0003662109375</v>
      </c>
      <c r="BC149" s="9">
        <v>209000</v>
      </c>
      <c r="BD149" s="9">
        <v>390</v>
      </c>
      <c r="BE149" s="9">
        <v>500</v>
      </c>
      <c r="BF149" s="9"/>
      <c r="BG149" s="9">
        <v>4500</v>
      </c>
      <c r="BH149" s="9">
        <v>2340</v>
      </c>
      <c r="BI149" s="9">
        <v>1320</v>
      </c>
      <c r="BJ149" s="9">
        <v>275000</v>
      </c>
      <c r="BK149" s="9">
        <v>520</v>
      </c>
      <c r="BL149" s="9">
        <v>310</v>
      </c>
      <c r="BM149" s="9">
        <v>163</v>
      </c>
      <c r="BN149" s="9">
        <v>5600</v>
      </c>
      <c r="BO149" s="9">
        <v>2990</v>
      </c>
      <c r="BP149" s="9">
        <v>1340</v>
      </c>
      <c r="BQ149" s="9">
        <v>294000</v>
      </c>
      <c r="BR149" s="9">
        <v>490</v>
      </c>
      <c r="BS149" s="9">
        <v>700</v>
      </c>
      <c r="BT149" s="9"/>
      <c r="BU149" s="9">
        <v>5900</v>
      </c>
      <c r="BV149" s="9">
        <v>3110</v>
      </c>
      <c r="BW149" s="9">
        <v>1430</v>
      </c>
      <c r="BX149" s="9">
        <v>294000</v>
      </c>
      <c r="BY149" s="9">
        <v>620</v>
      </c>
      <c r="BZ149" s="10" t="s">
        <v>561</v>
      </c>
      <c r="CA149" s="9">
        <v>640</v>
      </c>
      <c r="CB149" s="9"/>
      <c r="CC149" s="10">
        <f t="shared" si="56"/>
        <v>0.90816309562282727</v>
      </c>
      <c r="CD149" s="10">
        <f t="shared" si="57"/>
        <v>106.63263313773645</v>
      </c>
      <c r="CE149" s="10">
        <f t="shared" si="67"/>
        <v>189806.0869851709</v>
      </c>
      <c r="CF149" s="10">
        <f t="shared" si="50"/>
        <v>1</v>
      </c>
      <c r="CG149" s="10">
        <f t="shared" si="51"/>
        <v>0</v>
      </c>
      <c r="CH149" s="10">
        <f t="shared" si="52"/>
        <v>12</v>
      </c>
      <c r="CI149" s="9">
        <f t="shared" si="58"/>
        <v>1</v>
      </c>
      <c r="CJ149" s="10">
        <f t="shared" si="53"/>
        <v>17</v>
      </c>
      <c r="CK149" s="10" t="b">
        <f t="shared" si="59"/>
        <v>1</v>
      </c>
      <c r="CL149" s="10" t="b">
        <f t="shared" si="60"/>
        <v>0</v>
      </c>
      <c r="CM149" s="10" t="b">
        <f t="shared" si="61"/>
        <v>0</v>
      </c>
      <c r="CN149" s="9">
        <f t="shared" si="62"/>
        <v>1</v>
      </c>
      <c r="CO149" s="10">
        <f t="shared" si="65"/>
        <v>2</v>
      </c>
      <c r="CP149" s="10" t="b">
        <f t="shared" si="63"/>
        <v>0</v>
      </c>
      <c r="CQ149" s="10" t="b">
        <f t="shared" si="64"/>
        <v>0</v>
      </c>
      <c r="CR149" s="10" cm="1">
        <f t="array" ref="CR149">_xlfn.IFS(AND($CI149=0, CK149=FALSE), NA(), AND($CI149=1, CK149=FALSE), 0, CK149=TRUE, 1)</f>
        <v>1</v>
      </c>
      <c r="CS149" s="10" cm="1">
        <f t="array" ref="CS149">_xlfn.IFS(AND($CI149=0, CL149=FALSE), NA(), AND($CI149=1, CL149=FALSE), 0, CL149=TRUE, 1)</f>
        <v>0</v>
      </c>
      <c r="CT149" s="10" cm="1">
        <f t="array" ref="CT149">_xlfn.IFS(AND($CI149=0, CM149=FALSE), NA(), AND($CI149=1, CM149=FALSE), 0, CM149=TRUE, 1)</f>
        <v>0</v>
      </c>
      <c r="CU149" s="10" cm="1">
        <f t="array" ref="CU149">_xlfn.IFS(AND($CN149=0, CP149=FALSE), NA(), AND($CN149=1, CP149=FALSE), 0, CP149=TRUE, 1)</f>
        <v>0</v>
      </c>
      <c r="CV149" s="10" cm="1">
        <f t="array" ref="CV149">_xlfn.IFS(AND($CN149=0, CQ149=FALSE), NA(), AND($CN149=1, CQ149=FALSE), 0, CQ149=TRUE, 1)</f>
        <v>0</v>
      </c>
    </row>
    <row r="150" spans="1:100" ht="15.75" x14ac:dyDescent="0.25">
      <c r="A150" s="8">
        <v>149</v>
      </c>
      <c r="B150" s="9">
        <v>420</v>
      </c>
      <c r="C150" s="10" t="s">
        <v>29</v>
      </c>
      <c r="D150" s="11" t="s">
        <v>332</v>
      </c>
      <c r="E150" s="12">
        <v>17716</v>
      </c>
      <c r="F150" s="13">
        <v>2</v>
      </c>
      <c r="G150" s="9">
        <v>62.510608673095703</v>
      </c>
      <c r="H150" s="12">
        <v>40548</v>
      </c>
      <c r="I150" s="9">
        <v>1</v>
      </c>
      <c r="J150" s="12">
        <v>40548</v>
      </c>
      <c r="K150" s="9">
        <v>0</v>
      </c>
      <c r="L150" s="9">
        <v>1</v>
      </c>
      <c r="M150" s="10" t="s">
        <v>401</v>
      </c>
      <c r="N150" s="9">
        <v>2</v>
      </c>
      <c r="O150" s="10" t="s">
        <v>145</v>
      </c>
      <c r="P150" s="9">
        <v>2</v>
      </c>
      <c r="Q150" s="10" t="s">
        <v>145</v>
      </c>
      <c r="R150" s="12">
        <v>40860</v>
      </c>
      <c r="S150" s="10" t="s">
        <v>145</v>
      </c>
      <c r="T150" s="9"/>
      <c r="U150" s="10" t="s">
        <v>401</v>
      </c>
      <c r="V150" s="10" t="s">
        <v>401</v>
      </c>
      <c r="W150" s="9"/>
      <c r="X150" s="9"/>
      <c r="Y150" s="9">
        <v>2</v>
      </c>
      <c r="Z150" s="14">
        <v>1</v>
      </c>
      <c r="AA150" s="17">
        <v>11.4</v>
      </c>
      <c r="AB150" s="18">
        <v>89</v>
      </c>
      <c r="AC150" s="18">
        <v>20</v>
      </c>
      <c r="AD150" s="9">
        <v>2</v>
      </c>
      <c r="AE150" s="9">
        <v>2</v>
      </c>
      <c r="AF150" s="9">
        <v>1</v>
      </c>
      <c r="AG150" s="9">
        <v>1</v>
      </c>
      <c r="AH150" s="9">
        <v>1</v>
      </c>
      <c r="AI150" s="9">
        <v>0</v>
      </c>
      <c r="AJ150" s="12">
        <v>43711</v>
      </c>
      <c r="AK150" s="9">
        <v>2</v>
      </c>
      <c r="AL150" s="12">
        <v>43823</v>
      </c>
      <c r="AM150" s="9">
        <v>3</v>
      </c>
      <c r="AN150" s="12">
        <v>43795</v>
      </c>
      <c r="AO150" s="12">
        <v>43851</v>
      </c>
      <c r="AP150" s="12">
        <v>43851</v>
      </c>
      <c r="AQ150" s="9">
        <v>1</v>
      </c>
      <c r="AR150" s="9">
        <f t="shared" si="54"/>
        <v>1</v>
      </c>
      <c r="AS150" s="9">
        <v>1</v>
      </c>
      <c r="AT150" s="9">
        <v>2</v>
      </c>
      <c r="AU150" s="9">
        <v>2</v>
      </c>
      <c r="AV150" s="9">
        <f t="shared" si="55"/>
        <v>1</v>
      </c>
      <c r="AW150" s="12">
        <v>43954</v>
      </c>
      <c r="AX150" s="9">
        <v>4300</v>
      </c>
      <c r="AY150" s="9">
        <v>2520</v>
      </c>
      <c r="AZ150" s="9">
        <v>1120</v>
      </c>
      <c r="BA150" s="9">
        <v>2520</v>
      </c>
      <c r="BB150" s="9">
        <v>1119.9998779296875</v>
      </c>
      <c r="BC150" s="9">
        <v>292000</v>
      </c>
      <c r="BD150" s="9">
        <v>550</v>
      </c>
      <c r="BE150" s="9">
        <v>90</v>
      </c>
      <c r="BF150" s="9"/>
      <c r="BG150" s="9">
        <v>6390</v>
      </c>
      <c r="BH150" s="9">
        <v>4345</v>
      </c>
      <c r="BI150" s="9">
        <v>1278</v>
      </c>
      <c r="BJ150" s="9">
        <v>358000</v>
      </c>
      <c r="BK150" s="9">
        <v>500</v>
      </c>
      <c r="BL150" s="9">
        <v>60</v>
      </c>
      <c r="BM150" s="9"/>
      <c r="BN150" s="9">
        <v>8130</v>
      </c>
      <c r="BO150" s="9">
        <v>5691</v>
      </c>
      <c r="BP150" s="9">
        <v>1210</v>
      </c>
      <c r="BQ150" s="9">
        <v>375000</v>
      </c>
      <c r="BR150" s="9">
        <v>500</v>
      </c>
      <c r="BS150" s="9">
        <v>30</v>
      </c>
      <c r="BT150" s="9"/>
      <c r="BU150" s="9">
        <v>7630</v>
      </c>
      <c r="BV150" s="9">
        <v>5140</v>
      </c>
      <c r="BW150" s="9">
        <v>1280</v>
      </c>
      <c r="BX150" s="9">
        <v>332000</v>
      </c>
      <c r="BY150" s="9">
        <v>91</v>
      </c>
      <c r="BZ150" s="10" t="s">
        <v>312</v>
      </c>
      <c r="CA150" s="9">
        <v>25</v>
      </c>
      <c r="CB150" s="9"/>
      <c r="CC150" s="10">
        <f t="shared" si="56"/>
        <v>2.2500002452305652</v>
      </c>
      <c r="CD150" s="10">
        <f t="shared" si="57"/>
        <v>260.71431412989091</v>
      </c>
      <c r="CE150" s="10">
        <f t="shared" si="67"/>
        <v>657000.07160732499</v>
      </c>
      <c r="CF150" s="10">
        <f t="shared" si="50"/>
        <v>1</v>
      </c>
      <c r="CG150" s="10">
        <f t="shared" si="51"/>
        <v>0</v>
      </c>
      <c r="CH150" s="10">
        <f t="shared" si="52"/>
        <v>3</v>
      </c>
      <c r="CI150" s="9">
        <f t="shared" si="58"/>
        <v>1</v>
      </c>
      <c r="CJ150" s="10">
        <f t="shared" si="53"/>
        <v>8</v>
      </c>
      <c r="CK150" s="10" t="b">
        <f t="shared" si="59"/>
        <v>1</v>
      </c>
      <c r="CL150" s="10" t="b">
        <f t="shared" si="60"/>
        <v>0</v>
      </c>
      <c r="CM150" s="10" t="b">
        <f t="shared" si="61"/>
        <v>0</v>
      </c>
      <c r="CN150" s="9">
        <f t="shared" si="62"/>
        <v>1</v>
      </c>
      <c r="CO150" s="10">
        <f t="shared" si="65"/>
        <v>4</v>
      </c>
      <c r="CP150" s="10" t="b">
        <f t="shared" si="63"/>
        <v>1</v>
      </c>
      <c r="CQ150" s="10" t="b">
        <f t="shared" si="64"/>
        <v>0</v>
      </c>
      <c r="CR150" s="10" cm="1">
        <f t="array" ref="CR150">_xlfn.IFS(AND($CI150=0, CK150=FALSE), NA(), AND($CI150=1, CK150=FALSE), 0, CK150=TRUE, 1)</f>
        <v>1</v>
      </c>
      <c r="CS150" s="10" cm="1">
        <f t="array" ref="CS150">_xlfn.IFS(AND($CI150=0, CL150=FALSE), NA(), AND($CI150=1, CL150=FALSE), 0, CL150=TRUE, 1)</f>
        <v>0</v>
      </c>
      <c r="CT150" s="10" cm="1">
        <f t="array" ref="CT150">_xlfn.IFS(AND($CI150=0, CM150=FALSE), NA(), AND($CI150=1, CM150=FALSE), 0, CM150=TRUE, 1)</f>
        <v>0</v>
      </c>
      <c r="CU150" s="10" cm="1">
        <f t="array" ref="CU150">_xlfn.IFS(AND($CN150=0, CP150=FALSE), NA(), AND($CN150=1, CP150=FALSE), 0, CP150=TRUE, 1)</f>
        <v>1</v>
      </c>
      <c r="CV150" s="10" cm="1">
        <f t="array" ref="CV150">_xlfn.IFS(AND($CN150=0, CQ150=FALSE), NA(), AND($CN150=1, CQ150=FALSE), 0, CQ150=TRUE, 1)</f>
        <v>0</v>
      </c>
    </row>
    <row r="151" spans="1:100" ht="15.75" x14ac:dyDescent="0.25">
      <c r="A151" s="8">
        <v>150</v>
      </c>
      <c r="B151" s="9">
        <v>346</v>
      </c>
      <c r="C151" s="10" t="s">
        <v>27</v>
      </c>
      <c r="D151" s="11" t="s">
        <v>282</v>
      </c>
      <c r="E151" s="12">
        <v>16966</v>
      </c>
      <c r="F151" s="13">
        <v>1</v>
      </c>
      <c r="G151" s="9">
        <v>64.596855163574219</v>
      </c>
      <c r="H151" s="12">
        <v>40560</v>
      </c>
      <c r="I151" s="9">
        <v>1</v>
      </c>
      <c r="J151" s="12">
        <v>40560</v>
      </c>
      <c r="K151" s="9">
        <v>0</v>
      </c>
      <c r="L151" s="9">
        <v>1</v>
      </c>
      <c r="M151" s="10" t="s">
        <v>401</v>
      </c>
      <c r="N151" s="9">
        <v>1</v>
      </c>
      <c r="O151" s="10" t="s">
        <v>401</v>
      </c>
      <c r="P151" s="9">
        <v>1</v>
      </c>
      <c r="Q151" s="10" t="s">
        <v>401</v>
      </c>
      <c r="R151" s="12">
        <v>41982</v>
      </c>
      <c r="S151" s="10" t="s">
        <v>145</v>
      </c>
      <c r="T151" s="9">
        <v>5</v>
      </c>
      <c r="U151" s="10" t="s">
        <v>401</v>
      </c>
      <c r="V151" s="10" t="s">
        <v>401</v>
      </c>
      <c r="W151" s="9"/>
      <c r="X151" s="9"/>
      <c r="Y151" s="9">
        <v>3</v>
      </c>
      <c r="Z151" s="14">
        <v>1</v>
      </c>
      <c r="AA151" s="21">
        <v>15.7</v>
      </c>
      <c r="AB151" s="22">
        <v>95</v>
      </c>
      <c r="AC151" s="22">
        <v>17</v>
      </c>
      <c r="AD151" s="9">
        <v>1</v>
      </c>
      <c r="AE151" s="9">
        <v>1</v>
      </c>
      <c r="AF151" s="9">
        <v>1</v>
      </c>
      <c r="AG151" s="9">
        <v>0</v>
      </c>
      <c r="AH151" s="9">
        <v>0</v>
      </c>
      <c r="AI151" s="9">
        <v>1</v>
      </c>
      <c r="AJ151" s="12">
        <v>43423</v>
      </c>
      <c r="AK151" s="9">
        <v>2</v>
      </c>
      <c r="AL151" s="12">
        <v>43965</v>
      </c>
      <c r="AM151" s="9">
        <v>3</v>
      </c>
      <c r="AN151" s="12">
        <v>43525</v>
      </c>
      <c r="AO151" s="12">
        <v>43952</v>
      </c>
      <c r="AP151" s="12">
        <v>44126</v>
      </c>
      <c r="AQ151" s="9">
        <v>1</v>
      </c>
      <c r="AR151" s="9">
        <f t="shared" si="54"/>
        <v>1</v>
      </c>
      <c r="AS151" s="9">
        <v>1</v>
      </c>
      <c r="AT151" s="9">
        <v>1</v>
      </c>
      <c r="AU151" s="9">
        <v>2</v>
      </c>
      <c r="AV151" s="9">
        <f t="shared" si="55"/>
        <v>1</v>
      </c>
      <c r="AW151" s="12">
        <v>44126</v>
      </c>
      <c r="AX151" s="9">
        <v>6260</v>
      </c>
      <c r="AY151" s="9">
        <v>4500</v>
      </c>
      <c r="AZ151" s="9">
        <v>1000</v>
      </c>
      <c r="BA151" s="9">
        <v>4500</v>
      </c>
      <c r="BB151" s="9">
        <v>1000.0001220703125</v>
      </c>
      <c r="BC151" s="9">
        <v>177000</v>
      </c>
      <c r="BD151" s="9">
        <v>600</v>
      </c>
      <c r="BE151" s="9">
        <v>100</v>
      </c>
      <c r="BF151" s="9">
        <v>139</v>
      </c>
      <c r="BG151" s="9">
        <v>7740</v>
      </c>
      <c r="BH151" s="9">
        <v>6600</v>
      </c>
      <c r="BI151" s="9">
        <v>600</v>
      </c>
      <c r="BJ151" s="9">
        <v>212000</v>
      </c>
      <c r="BK151" s="9">
        <v>400</v>
      </c>
      <c r="BL151" s="9">
        <v>100</v>
      </c>
      <c r="BM151" s="9">
        <v>258</v>
      </c>
      <c r="BN151" s="9">
        <v>7670</v>
      </c>
      <c r="BO151" s="9">
        <v>6400</v>
      </c>
      <c r="BP151" s="9">
        <v>600</v>
      </c>
      <c r="BQ151" s="9">
        <v>228000</v>
      </c>
      <c r="BR151" s="9">
        <v>500</v>
      </c>
      <c r="BS151" s="9">
        <v>1000</v>
      </c>
      <c r="BT151" s="9">
        <v>217</v>
      </c>
      <c r="BU151" s="9">
        <v>7500</v>
      </c>
      <c r="BV151" s="9">
        <v>6400</v>
      </c>
      <c r="BW151" s="9">
        <v>500</v>
      </c>
      <c r="BX151" s="9">
        <v>211000</v>
      </c>
      <c r="BY151" s="9">
        <v>500</v>
      </c>
      <c r="BZ151" s="10" t="s">
        <v>525</v>
      </c>
      <c r="CA151" s="9">
        <v>100</v>
      </c>
      <c r="CB151" s="9"/>
      <c r="CC151" s="10">
        <f t="shared" si="56"/>
        <v>4.4999994506836609</v>
      </c>
      <c r="CD151" s="10">
        <f t="shared" si="57"/>
        <v>176.99997839355731</v>
      </c>
      <c r="CE151" s="10">
        <f t="shared" si="67"/>
        <v>796499.90277100797</v>
      </c>
      <c r="CF151" s="10">
        <f t="shared" si="50"/>
        <v>1</v>
      </c>
      <c r="CG151" s="10">
        <f t="shared" si="51"/>
        <v>0</v>
      </c>
      <c r="CH151" s="10">
        <f t="shared" si="52"/>
        <v>18</v>
      </c>
      <c r="CI151" s="9">
        <f t="shared" si="58"/>
        <v>1</v>
      </c>
      <c r="CJ151" s="10">
        <f t="shared" si="53"/>
        <v>23</v>
      </c>
      <c r="CK151" s="10" t="b">
        <f t="shared" si="59"/>
        <v>1</v>
      </c>
      <c r="CL151" s="10" t="b">
        <f t="shared" si="60"/>
        <v>1</v>
      </c>
      <c r="CM151" s="10" t="b">
        <f t="shared" si="61"/>
        <v>0</v>
      </c>
      <c r="CN151" s="9">
        <f t="shared" si="62"/>
        <v>1</v>
      </c>
      <c r="CO151" s="10">
        <f t="shared" si="65"/>
        <v>18</v>
      </c>
      <c r="CP151" s="10" t="b">
        <f t="shared" si="63"/>
        <v>1</v>
      </c>
      <c r="CQ151" s="10" t="b">
        <f t="shared" si="64"/>
        <v>1</v>
      </c>
      <c r="CR151" s="10" cm="1">
        <f t="array" ref="CR151">_xlfn.IFS(AND($CI151=0, CK151=FALSE), NA(), AND($CI151=1, CK151=FALSE), 0, CK151=TRUE, 1)</f>
        <v>1</v>
      </c>
      <c r="CS151" s="10" cm="1">
        <f t="array" ref="CS151">_xlfn.IFS(AND($CI151=0, CL151=FALSE), NA(), AND($CI151=1, CL151=FALSE), 0, CL151=TRUE, 1)</f>
        <v>1</v>
      </c>
      <c r="CT151" s="10" cm="1">
        <f t="array" ref="CT151">_xlfn.IFS(AND($CI151=0, CM151=FALSE), NA(), AND($CI151=1, CM151=FALSE), 0, CM151=TRUE, 1)</f>
        <v>0</v>
      </c>
      <c r="CU151" s="10" cm="1">
        <f t="array" ref="CU151">_xlfn.IFS(AND($CN151=0, CP151=FALSE), NA(), AND($CN151=1, CP151=FALSE), 0, CP151=TRUE, 1)</f>
        <v>1</v>
      </c>
      <c r="CV151" s="10" cm="1">
        <f t="array" ref="CV151">_xlfn.IFS(AND($CN151=0, CQ151=FALSE), NA(), AND($CN151=1, CQ151=FALSE), 0, CQ151=TRUE, 1)</f>
        <v>1</v>
      </c>
    </row>
    <row r="152" spans="1:100" ht="15.75" x14ac:dyDescent="0.25">
      <c r="A152" s="8">
        <v>151</v>
      </c>
      <c r="B152" s="9">
        <v>359</v>
      </c>
      <c r="C152" s="10" t="s">
        <v>28</v>
      </c>
      <c r="D152" s="11" t="s">
        <v>281</v>
      </c>
      <c r="E152" s="12">
        <v>19772</v>
      </c>
      <c r="F152" s="13">
        <v>1</v>
      </c>
      <c r="G152" s="9">
        <v>56.947296142578125</v>
      </c>
      <c r="H152" s="12">
        <v>40572</v>
      </c>
      <c r="I152" s="9">
        <v>1</v>
      </c>
      <c r="J152" s="12">
        <v>40572</v>
      </c>
      <c r="K152" s="9">
        <v>0</v>
      </c>
      <c r="L152" s="9">
        <v>4</v>
      </c>
      <c r="M152" s="10" t="s">
        <v>404</v>
      </c>
      <c r="N152" s="9">
        <v>1</v>
      </c>
      <c r="O152" s="10" t="s">
        <v>401</v>
      </c>
      <c r="P152" s="9">
        <v>1</v>
      </c>
      <c r="Q152" s="10" t="s">
        <v>401</v>
      </c>
      <c r="R152" s="12">
        <v>41348</v>
      </c>
      <c r="S152" s="10" t="s">
        <v>145</v>
      </c>
      <c r="T152" s="9"/>
      <c r="U152" s="10" t="s">
        <v>401</v>
      </c>
      <c r="V152" s="10" t="s">
        <v>401</v>
      </c>
      <c r="W152" s="9"/>
      <c r="X152" s="9"/>
      <c r="Y152" s="9">
        <v>2</v>
      </c>
      <c r="Z152" s="14">
        <v>1</v>
      </c>
      <c r="AA152" s="35"/>
      <c r="AB152" s="36"/>
      <c r="AC152" s="36"/>
      <c r="AD152" s="9">
        <v>3</v>
      </c>
      <c r="AE152" s="9">
        <v>2</v>
      </c>
      <c r="AF152" s="9">
        <v>1</v>
      </c>
      <c r="AG152" s="9">
        <v>1</v>
      </c>
      <c r="AH152" s="9">
        <v>1</v>
      </c>
      <c r="AI152" s="9">
        <v>1</v>
      </c>
      <c r="AJ152" s="12">
        <v>42398</v>
      </c>
      <c r="AK152" s="9">
        <v>2</v>
      </c>
      <c r="AL152" s="12">
        <v>42429</v>
      </c>
      <c r="AM152" s="9">
        <v>4</v>
      </c>
      <c r="AN152" s="12">
        <v>42452</v>
      </c>
      <c r="AO152" s="12">
        <v>42452</v>
      </c>
      <c r="AP152" s="12">
        <v>42452</v>
      </c>
      <c r="AQ152" s="9">
        <v>1</v>
      </c>
      <c r="AR152" s="9">
        <f t="shared" si="54"/>
        <v>1</v>
      </c>
      <c r="AS152" s="9">
        <v>1</v>
      </c>
      <c r="AT152" s="9">
        <v>2</v>
      </c>
      <c r="AU152" s="9">
        <v>2</v>
      </c>
      <c r="AV152" s="9">
        <f t="shared" si="55"/>
        <v>1</v>
      </c>
      <c r="AW152" s="12">
        <v>42452</v>
      </c>
      <c r="AX152" s="9">
        <v>11810</v>
      </c>
      <c r="AY152" s="9">
        <v>8410</v>
      </c>
      <c r="AZ152" s="9">
        <v>2350</v>
      </c>
      <c r="BA152" s="9">
        <v>8410</v>
      </c>
      <c r="BB152" s="9">
        <v>2350.00048828125</v>
      </c>
      <c r="BC152" s="9">
        <v>537000</v>
      </c>
      <c r="BD152" s="9">
        <v>810</v>
      </c>
      <c r="BE152" s="9">
        <v>200</v>
      </c>
      <c r="BF152" s="9">
        <v>290</v>
      </c>
      <c r="BG152" s="9">
        <v>6040</v>
      </c>
      <c r="BH152" s="9">
        <v>4090</v>
      </c>
      <c r="BI152" s="9">
        <v>850</v>
      </c>
      <c r="BJ152" s="9">
        <v>590000</v>
      </c>
      <c r="BK152" s="9">
        <v>770</v>
      </c>
      <c r="BL152" s="9">
        <v>110</v>
      </c>
      <c r="BM152" s="9">
        <v>283</v>
      </c>
      <c r="BN152" s="9">
        <v>8000</v>
      </c>
      <c r="BO152" s="9">
        <v>5710</v>
      </c>
      <c r="BP152" s="9">
        <v>1270</v>
      </c>
      <c r="BQ152" s="9">
        <v>753000</v>
      </c>
      <c r="BR152" s="9">
        <v>840</v>
      </c>
      <c r="BS152" s="9">
        <v>40</v>
      </c>
      <c r="BT152" s="9">
        <v>357</v>
      </c>
      <c r="BU152" s="9"/>
      <c r="BV152" s="9"/>
      <c r="BW152" s="9"/>
      <c r="BX152" s="9"/>
      <c r="BY152" s="9"/>
      <c r="BZ152" s="10" t="s">
        <v>401</v>
      </c>
      <c r="CA152" s="9"/>
      <c r="CB152" s="9"/>
      <c r="CC152" s="10">
        <f t="shared" si="56"/>
        <v>3.5787226606709899</v>
      </c>
      <c r="CD152" s="10">
        <f t="shared" si="57"/>
        <v>228.51059081811195</v>
      </c>
      <c r="CE152" s="10">
        <f t="shared" si="67"/>
        <v>1921774.0687803216</v>
      </c>
      <c r="CF152" s="10">
        <f t="shared" si="50"/>
        <v>0</v>
      </c>
      <c r="CG152" s="10">
        <f t="shared" si="51"/>
        <v>0</v>
      </c>
      <c r="CH152" s="10">
        <f t="shared" si="52"/>
        <v>1</v>
      </c>
      <c r="CI152" s="9">
        <f t="shared" si="58"/>
        <v>1</v>
      </c>
      <c r="CJ152" s="10">
        <f t="shared" si="53"/>
        <v>2</v>
      </c>
      <c r="CK152" s="10" t="b">
        <f t="shared" si="59"/>
        <v>0</v>
      </c>
      <c r="CL152" s="10" t="b">
        <f t="shared" si="60"/>
        <v>0</v>
      </c>
      <c r="CM152" s="10" t="b">
        <f t="shared" si="61"/>
        <v>0</v>
      </c>
      <c r="CN152" s="9">
        <f t="shared" si="62"/>
        <v>1</v>
      </c>
      <c r="CO152" s="10">
        <f t="shared" si="65"/>
        <v>2</v>
      </c>
      <c r="CP152" s="10" t="b">
        <f t="shared" si="63"/>
        <v>0</v>
      </c>
      <c r="CQ152" s="10" t="b">
        <f t="shared" si="64"/>
        <v>0</v>
      </c>
      <c r="CR152" s="10" cm="1">
        <f t="array" ref="CR152">_xlfn.IFS(AND($CI152=0, CK152=FALSE), NA(), AND($CI152=1, CK152=FALSE), 0, CK152=TRUE, 1)</f>
        <v>0</v>
      </c>
      <c r="CS152" s="10" cm="1">
        <f t="array" ref="CS152">_xlfn.IFS(AND($CI152=0, CL152=FALSE), NA(), AND($CI152=1, CL152=FALSE), 0, CL152=TRUE, 1)</f>
        <v>0</v>
      </c>
      <c r="CT152" s="10" cm="1">
        <f t="array" ref="CT152">_xlfn.IFS(AND($CI152=0, CM152=FALSE), NA(), AND($CI152=1, CM152=FALSE), 0, CM152=TRUE, 1)</f>
        <v>0</v>
      </c>
      <c r="CU152" s="10" cm="1">
        <f t="array" ref="CU152">_xlfn.IFS(AND($CN152=0, CP152=FALSE), NA(), AND($CN152=1, CP152=FALSE), 0, CP152=TRUE, 1)</f>
        <v>0</v>
      </c>
      <c r="CV152" s="10" cm="1">
        <f t="array" ref="CV152">_xlfn.IFS(AND($CN152=0, CQ152=FALSE), NA(), AND($CN152=1, CQ152=FALSE), 0, CQ152=TRUE, 1)</f>
        <v>0</v>
      </c>
    </row>
    <row r="153" spans="1:100" x14ac:dyDescent="0.25">
      <c r="A153" s="8">
        <v>152</v>
      </c>
      <c r="B153" s="9">
        <v>96</v>
      </c>
      <c r="C153" s="10" t="s">
        <v>10</v>
      </c>
      <c r="D153" s="11" t="s">
        <v>123</v>
      </c>
      <c r="E153" s="12">
        <v>19699</v>
      </c>
      <c r="F153" s="13">
        <v>1</v>
      </c>
      <c r="G153" s="9">
        <v>57.232032775878906</v>
      </c>
      <c r="H153" s="12">
        <v>40603</v>
      </c>
      <c r="I153" s="9">
        <v>1</v>
      </c>
      <c r="J153" s="12">
        <v>40603</v>
      </c>
      <c r="K153" s="9">
        <v>0</v>
      </c>
      <c r="L153" s="9">
        <v>1</v>
      </c>
      <c r="M153" s="10" t="s">
        <v>401</v>
      </c>
      <c r="N153" s="9">
        <v>1</v>
      </c>
      <c r="O153" s="10" t="s">
        <v>401</v>
      </c>
      <c r="P153" s="9">
        <v>1</v>
      </c>
      <c r="Q153" s="10" t="s">
        <v>401</v>
      </c>
      <c r="R153" s="12">
        <v>42291</v>
      </c>
      <c r="S153" s="10" t="s">
        <v>145</v>
      </c>
      <c r="T153" s="9">
        <v>5</v>
      </c>
      <c r="U153" s="10" t="s">
        <v>401</v>
      </c>
      <c r="V153" s="10" t="s">
        <v>401</v>
      </c>
      <c r="W153" s="9"/>
      <c r="X153" s="9"/>
      <c r="Y153" s="9">
        <v>3</v>
      </c>
      <c r="Z153" s="19">
        <v>1</v>
      </c>
      <c r="AB153" s="9"/>
      <c r="AC153" s="9"/>
      <c r="AD153" s="9">
        <v>1</v>
      </c>
      <c r="AE153" s="9">
        <v>1</v>
      </c>
      <c r="AF153" s="9">
        <v>1</v>
      </c>
      <c r="AG153" s="9">
        <v>0</v>
      </c>
      <c r="AH153" s="9">
        <v>1</v>
      </c>
      <c r="AI153" s="9">
        <v>0</v>
      </c>
      <c r="AJ153" s="12">
        <v>42839</v>
      </c>
      <c r="AK153" s="9">
        <v>1</v>
      </c>
      <c r="AL153" s="12">
        <v>44944</v>
      </c>
      <c r="AM153" s="9">
        <v>2</v>
      </c>
      <c r="AN153" s="12">
        <v>42933</v>
      </c>
      <c r="AO153" s="12"/>
      <c r="AP153" s="12"/>
      <c r="AQ153" s="9">
        <v>2</v>
      </c>
      <c r="AR153" s="9">
        <f t="shared" si="54"/>
        <v>0</v>
      </c>
      <c r="AS153" s="9">
        <v>2</v>
      </c>
      <c r="AT153" s="9"/>
      <c r="AU153" s="9">
        <v>1</v>
      </c>
      <c r="AV153" s="9">
        <f t="shared" si="55"/>
        <v>0</v>
      </c>
      <c r="AW153" s="12">
        <v>44944</v>
      </c>
      <c r="AX153" s="9"/>
      <c r="AY153" s="9">
        <v>3900</v>
      </c>
      <c r="AZ153" s="9">
        <v>1500</v>
      </c>
      <c r="BA153" s="9">
        <v>3900</v>
      </c>
      <c r="BB153" s="9">
        <v>1500.0001220703125</v>
      </c>
      <c r="BC153" s="9">
        <v>179000</v>
      </c>
      <c r="BD153" s="9">
        <v>500</v>
      </c>
      <c r="BE153" s="9">
        <v>600</v>
      </c>
      <c r="BF153" s="9">
        <v>240</v>
      </c>
      <c r="BG153" s="9"/>
      <c r="BH153" s="9">
        <v>3700</v>
      </c>
      <c r="BI153" s="9">
        <v>1670</v>
      </c>
      <c r="BJ153" s="9">
        <v>200000</v>
      </c>
      <c r="BK153" s="9">
        <v>500</v>
      </c>
      <c r="BL153" s="9">
        <v>100</v>
      </c>
      <c r="BM153" s="9">
        <v>230</v>
      </c>
      <c r="BN153" s="9"/>
      <c r="BO153" s="9">
        <v>3800</v>
      </c>
      <c r="BP153" s="9">
        <v>1600</v>
      </c>
      <c r="BQ153" s="9">
        <v>220000</v>
      </c>
      <c r="BR153" s="9">
        <v>500</v>
      </c>
      <c r="BS153" s="9">
        <v>100</v>
      </c>
      <c r="BT153" s="9">
        <v>208</v>
      </c>
      <c r="BU153" s="9"/>
      <c r="BV153" s="9">
        <v>3800</v>
      </c>
      <c r="BW153" s="9">
        <v>1500</v>
      </c>
      <c r="BX153" s="9">
        <v>200000</v>
      </c>
      <c r="BY153" s="9">
        <v>500</v>
      </c>
      <c r="BZ153" s="10" t="s">
        <v>525</v>
      </c>
      <c r="CA153" s="9">
        <v>100</v>
      </c>
      <c r="CB153" s="9">
        <v>200</v>
      </c>
      <c r="CC153" s="10">
        <f t="shared" si="56"/>
        <v>2.5999997884114756</v>
      </c>
      <c r="CD153" s="10">
        <f t="shared" si="57"/>
        <v>119.33332362196259</v>
      </c>
      <c r="CE153" s="10">
        <f t="shared" si="67"/>
        <v>465399.96212565416</v>
      </c>
      <c r="CF153" s="10">
        <f t="shared" si="50"/>
        <v>1</v>
      </c>
      <c r="CG153" s="10">
        <f t="shared" si="51"/>
        <v>1</v>
      </c>
      <c r="CH153" s="10">
        <f t="shared" si="52"/>
        <v>69</v>
      </c>
      <c r="CI153" s="9">
        <f t="shared" si="58"/>
        <v>0</v>
      </c>
      <c r="CJ153" s="10">
        <f t="shared" si="53"/>
        <v>69</v>
      </c>
      <c r="CK153" s="10" t="b">
        <f t="shared" si="59"/>
        <v>1</v>
      </c>
      <c r="CL153" s="10" t="b">
        <f t="shared" si="60"/>
        <v>1</v>
      </c>
      <c r="CM153" s="10" t="b">
        <f t="shared" si="61"/>
        <v>1</v>
      </c>
      <c r="CN153" s="9">
        <f t="shared" si="62"/>
        <v>0</v>
      </c>
      <c r="CO153" s="10">
        <f>CJ153</f>
        <v>69</v>
      </c>
      <c r="CP153" s="10" t="b">
        <f t="shared" si="63"/>
        <v>1</v>
      </c>
      <c r="CQ153" s="10" t="b">
        <f t="shared" si="64"/>
        <v>1</v>
      </c>
      <c r="CR153" s="10" cm="1">
        <f t="array" ref="CR153">_xlfn.IFS(AND($CI153=0, CK153=FALSE), NA(), AND($CI153=1, CK153=FALSE), 0, CK153=TRUE, 1)</f>
        <v>1</v>
      </c>
      <c r="CS153" s="10" cm="1">
        <f t="array" ref="CS153">_xlfn.IFS(AND($CI153=0, CL153=FALSE), NA(), AND($CI153=1, CL153=FALSE), 0, CL153=TRUE, 1)</f>
        <v>1</v>
      </c>
      <c r="CT153" s="10" cm="1">
        <f t="array" ref="CT153">_xlfn.IFS(AND($CI153=0, CM153=FALSE), NA(), AND($CI153=1, CM153=FALSE), 0, CM153=TRUE, 1)</f>
        <v>1</v>
      </c>
      <c r="CU153" s="10" cm="1">
        <f t="array" ref="CU153">_xlfn.IFS(AND($CN153=0, CP153=FALSE), NA(), AND($CN153=1, CP153=FALSE), 0, CP153=TRUE, 1)</f>
        <v>1</v>
      </c>
      <c r="CV153" s="10" cm="1">
        <f t="array" ref="CV153">_xlfn.IFS(AND($CN153=0, CQ153=FALSE), NA(), AND($CN153=1, CQ153=FALSE), 0, CQ153=TRUE, 1)</f>
        <v>1</v>
      </c>
    </row>
    <row r="154" spans="1:100" ht="15.75" x14ac:dyDescent="0.25">
      <c r="A154" s="8">
        <v>153</v>
      </c>
      <c r="B154" s="9">
        <v>341</v>
      </c>
      <c r="C154" s="10" t="s">
        <v>26</v>
      </c>
      <c r="D154" s="11" t="s">
        <v>66</v>
      </c>
      <c r="E154" s="12">
        <v>13233</v>
      </c>
      <c r="F154" s="13">
        <v>1</v>
      </c>
      <c r="G154" s="9">
        <v>74.934974670410156</v>
      </c>
      <c r="H154" s="12">
        <v>40603</v>
      </c>
      <c r="I154" s="9">
        <v>1</v>
      </c>
      <c r="J154" s="12">
        <v>40623</v>
      </c>
      <c r="K154" s="9">
        <v>0</v>
      </c>
      <c r="L154" s="9">
        <v>1</v>
      </c>
      <c r="M154" s="10" t="s">
        <v>401</v>
      </c>
      <c r="N154" s="9">
        <v>1</v>
      </c>
      <c r="O154" s="10" t="s">
        <v>401</v>
      </c>
      <c r="P154" s="9">
        <v>1</v>
      </c>
      <c r="Q154" s="10" t="s">
        <v>401</v>
      </c>
      <c r="R154" s="12">
        <v>40909</v>
      </c>
      <c r="S154" s="10" t="s">
        <v>146</v>
      </c>
      <c r="T154" s="9">
        <v>6</v>
      </c>
      <c r="U154" s="10" t="s">
        <v>401</v>
      </c>
      <c r="V154" s="10" t="s">
        <v>401</v>
      </c>
      <c r="W154" s="9"/>
      <c r="X154" s="9"/>
      <c r="Y154" s="9">
        <v>3</v>
      </c>
      <c r="Z154" s="14">
        <v>2</v>
      </c>
      <c r="AA154" s="15">
        <v>13.9</v>
      </c>
      <c r="AB154" s="16" t="s">
        <v>497</v>
      </c>
      <c r="AC154" s="16" t="s">
        <v>480</v>
      </c>
      <c r="AD154" s="9">
        <v>1</v>
      </c>
      <c r="AE154" s="9">
        <v>2</v>
      </c>
      <c r="AF154" s="9">
        <v>1</v>
      </c>
      <c r="AG154" s="9">
        <v>1</v>
      </c>
      <c r="AH154" s="9">
        <v>1</v>
      </c>
      <c r="AI154" s="9">
        <v>0</v>
      </c>
      <c r="AJ154" s="12">
        <v>43553</v>
      </c>
      <c r="AK154" s="9">
        <v>2</v>
      </c>
      <c r="AL154" s="12">
        <v>43899</v>
      </c>
      <c r="AM154" s="9">
        <v>2</v>
      </c>
      <c r="AN154" s="12">
        <v>43704</v>
      </c>
      <c r="AO154" s="12">
        <v>43991</v>
      </c>
      <c r="AP154" s="12">
        <v>43991</v>
      </c>
      <c r="AQ154" s="9">
        <v>1</v>
      </c>
      <c r="AR154" s="9">
        <f t="shared" si="54"/>
        <v>1</v>
      </c>
      <c r="AS154" s="9">
        <v>1</v>
      </c>
      <c r="AT154" s="9">
        <v>2</v>
      </c>
      <c r="AU154" s="9">
        <v>1</v>
      </c>
      <c r="AV154" s="9">
        <f t="shared" si="55"/>
        <v>0</v>
      </c>
      <c r="AW154" s="12">
        <v>44634</v>
      </c>
      <c r="AX154" s="9">
        <v>5710</v>
      </c>
      <c r="AY154" s="9">
        <v>4050</v>
      </c>
      <c r="AZ154" s="9">
        <v>780</v>
      </c>
      <c r="BA154" s="9">
        <v>4050</v>
      </c>
      <c r="BB154" s="9">
        <v>780.00018310546875</v>
      </c>
      <c r="BC154" s="9">
        <v>227000</v>
      </c>
      <c r="BD154" s="9">
        <v>720</v>
      </c>
      <c r="BE154" s="9">
        <v>110</v>
      </c>
      <c r="BF154" s="9">
        <v>361</v>
      </c>
      <c r="BG154" s="9">
        <v>6990</v>
      </c>
      <c r="BH154" s="9">
        <v>4540</v>
      </c>
      <c r="BI154" s="9">
        <v>1150</v>
      </c>
      <c r="BJ154" s="9">
        <v>233000</v>
      </c>
      <c r="BK154" s="9">
        <v>1120</v>
      </c>
      <c r="BL154" s="9">
        <v>120</v>
      </c>
      <c r="BM154" s="9"/>
      <c r="BN154" s="9">
        <v>6070</v>
      </c>
      <c r="BO154" s="9">
        <v>4190</v>
      </c>
      <c r="BP154" s="9">
        <v>920</v>
      </c>
      <c r="BQ154" s="9">
        <v>243000</v>
      </c>
      <c r="BR154" s="9">
        <v>820</v>
      </c>
      <c r="BS154" s="9">
        <v>90</v>
      </c>
      <c r="BT154" s="9"/>
      <c r="BU154" s="9">
        <v>6440</v>
      </c>
      <c r="BV154" s="9">
        <v>4430</v>
      </c>
      <c r="BW154" s="9">
        <v>810</v>
      </c>
      <c r="BX154" s="9">
        <v>220000</v>
      </c>
      <c r="BY154" s="9">
        <v>920</v>
      </c>
      <c r="BZ154" s="10" t="s">
        <v>534</v>
      </c>
      <c r="CA154" s="9">
        <v>220</v>
      </c>
      <c r="CB154" s="9"/>
      <c r="CC154" s="10">
        <f t="shared" si="56"/>
        <v>5.1923064734106275</v>
      </c>
      <c r="CD154" s="10">
        <f t="shared" si="57"/>
        <v>291.02557270721292</v>
      </c>
      <c r="CE154" s="10">
        <f t="shared" si="67"/>
        <v>1178653.5694642125</v>
      </c>
      <c r="CF154" s="10">
        <f t="shared" si="50"/>
        <v>1</v>
      </c>
      <c r="CG154" s="10">
        <f t="shared" si="51"/>
        <v>1</v>
      </c>
      <c r="CH154" s="10">
        <f t="shared" si="52"/>
        <v>12</v>
      </c>
      <c r="CI154" s="9">
        <f t="shared" si="58"/>
        <v>0</v>
      </c>
      <c r="CJ154" s="10">
        <f t="shared" si="53"/>
        <v>36</v>
      </c>
      <c r="CK154" s="10" t="b">
        <f t="shared" si="59"/>
        <v>1</v>
      </c>
      <c r="CL154" s="10" t="b">
        <f t="shared" si="60"/>
        <v>1</v>
      </c>
      <c r="CM154" s="10" t="b">
        <f t="shared" si="61"/>
        <v>1</v>
      </c>
      <c r="CN154" s="9">
        <f t="shared" si="62"/>
        <v>1</v>
      </c>
      <c r="CO154" s="10">
        <f>(YEAR(AO154)-YEAR(AJ154))*12+MONTH(AO154)-MONTH(AJ154)</f>
        <v>15</v>
      </c>
      <c r="CP154" s="10" t="b">
        <f t="shared" si="63"/>
        <v>1</v>
      </c>
      <c r="CQ154" s="10" t="b">
        <f t="shared" si="64"/>
        <v>1</v>
      </c>
      <c r="CR154" s="10" cm="1">
        <f t="array" ref="CR154">_xlfn.IFS(AND($CI154=0, CK154=FALSE), NA(), AND($CI154=1, CK154=FALSE), 0, CK154=TRUE, 1)</f>
        <v>1</v>
      </c>
      <c r="CS154" s="10" cm="1">
        <f t="array" ref="CS154">_xlfn.IFS(AND($CI154=0, CL154=FALSE), NA(), AND($CI154=1, CL154=FALSE), 0, CL154=TRUE, 1)</f>
        <v>1</v>
      </c>
      <c r="CT154" s="10" cm="1">
        <f t="array" ref="CT154">_xlfn.IFS(AND($CI154=0, CM154=FALSE), NA(), AND($CI154=1, CM154=FALSE), 0, CM154=TRUE, 1)</f>
        <v>1</v>
      </c>
      <c r="CU154" s="10" cm="1">
        <f t="array" ref="CU154">_xlfn.IFS(AND($CN154=0, CP154=FALSE), NA(), AND($CN154=1, CP154=FALSE), 0, CP154=TRUE, 1)</f>
        <v>1</v>
      </c>
      <c r="CV154" s="10" cm="1">
        <f t="array" ref="CV154">_xlfn.IFS(AND($CN154=0, CQ154=FALSE), NA(), AND($CN154=1, CQ154=FALSE), 0, CQ154=TRUE, 1)</f>
        <v>1</v>
      </c>
    </row>
    <row r="155" spans="1:100" ht="15.75" x14ac:dyDescent="0.25">
      <c r="A155" s="8">
        <v>154</v>
      </c>
      <c r="B155" s="9">
        <v>194</v>
      </c>
      <c r="C155" s="10" t="s">
        <v>17</v>
      </c>
      <c r="D155" s="11" t="s">
        <v>201</v>
      </c>
      <c r="E155" s="12">
        <v>21760</v>
      </c>
      <c r="F155" s="13">
        <v>2</v>
      </c>
      <c r="G155" s="9">
        <v>51.649555206298828</v>
      </c>
      <c r="H155" s="12">
        <v>40625</v>
      </c>
      <c r="I155" s="9">
        <v>1</v>
      </c>
      <c r="J155" s="12">
        <v>40625</v>
      </c>
      <c r="K155" s="9">
        <v>1</v>
      </c>
      <c r="L155" s="9">
        <v>1</v>
      </c>
      <c r="M155" s="10" t="s">
        <v>401</v>
      </c>
      <c r="N155" s="9">
        <v>3</v>
      </c>
      <c r="O155" s="10" t="s">
        <v>417</v>
      </c>
      <c r="P155" s="9">
        <v>3</v>
      </c>
      <c r="Q155" s="10" t="s">
        <v>417</v>
      </c>
      <c r="R155" s="12">
        <v>40625</v>
      </c>
      <c r="S155" s="10" t="s">
        <v>146</v>
      </c>
      <c r="T155" s="9"/>
      <c r="U155" s="10" t="s">
        <v>401</v>
      </c>
      <c r="V155" s="10" t="s">
        <v>401</v>
      </c>
      <c r="W155" s="9"/>
      <c r="X155" s="9"/>
      <c r="Y155" s="9">
        <v>2</v>
      </c>
      <c r="Z155" s="14">
        <v>2</v>
      </c>
      <c r="AA155" s="15">
        <v>12.1</v>
      </c>
      <c r="AB155" s="16">
        <v>109.2</v>
      </c>
      <c r="AC155" s="16">
        <v>15.9</v>
      </c>
      <c r="AD155" s="9">
        <v>2</v>
      </c>
      <c r="AE155" s="9">
        <v>2</v>
      </c>
      <c r="AF155" s="9">
        <v>1</v>
      </c>
      <c r="AG155" s="9">
        <v>0</v>
      </c>
      <c r="AH155" s="9">
        <v>1</v>
      </c>
      <c r="AI155" s="9">
        <v>0</v>
      </c>
      <c r="AJ155" s="12">
        <v>43000</v>
      </c>
      <c r="AK155" s="9">
        <v>1</v>
      </c>
      <c r="AL155" s="12">
        <v>44953</v>
      </c>
      <c r="AM155" s="9">
        <v>2</v>
      </c>
      <c r="AN155" s="12">
        <v>43209</v>
      </c>
      <c r="AO155" s="12"/>
      <c r="AP155" s="12"/>
      <c r="AQ155" s="9">
        <v>2</v>
      </c>
      <c r="AR155" s="9">
        <f t="shared" si="54"/>
        <v>0</v>
      </c>
      <c r="AS155" s="9">
        <v>2</v>
      </c>
      <c r="AT155" s="9"/>
      <c r="AU155" s="9">
        <v>1</v>
      </c>
      <c r="AV155" s="9">
        <f t="shared" si="55"/>
        <v>0</v>
      </c>
      <c r="AW155" s="12">
        <v>44953</v>
      </c>
      <c r="AX155" s="9">
        <v>5720</v>
      </c>
      <c r="AY155" s="9">
        <v>3100</v>
      </c>
      <c r="AZ155" s="9">
        <v>1800</v>
      </c>
      <c r="BA155" s="9">
        <v>3100</v>
      </c>
      <c r="BB155" s="9">
        <v>1800.000244140625</v>
      </c>
      <c r="BC155" s="9">
        <v>406000</v>
      </c>
      <c r="BD155" s="9">
        <v>700</v>
      </c>
      <c r="BE155" s="9">
        <v>100</v>
      </c>
      <c r="BF155" s="9"/>
      <c r="BG155" s="9">
        <v>6390</v>
      </c>
      <c r="BH155" s="9">
        <v>3800</v>
      </c>
      <c r="BI155" s="9">
        <v>1400</v>
      </c>
      <c r="BJ155" s="9">
        <v>398000</v>
      </c>
      <c r="BK155" s="9">
        <v>900</v>
      </c>
      <c r="BL155" s="9">
        <v>200</v>
      </c>
      <c r="BM155" s="9"/>
      <c r="BN155" s="9">
        <v>4740</v>
      </c>
      <c r="BO155" s="9">
        <v>2300</v>
      </c>
      <c r="BP155" s="9">
        <v>1600</v>
      </c>
      <c r="BQ155" s="9">
        <v>408000</v>
      </c>
      <c r="BR155" s="9">
        <v>600</v>
      </c>
      <c r="BS155" s="9">
        <v>200</v>
      </c>
      <c r="BT155" s="9"/>
      <c r="BU155" s="9">
        <v>5300</v>
      </c>
      <c r="BV155" s="9">
        <v>3100</v>
      </c>
      <c r="BW155" s="9">
        <v>1300</v>
      </c>
      <c r="BX155" s="9">
        <v>366000</v>
      </c>
      <c r="BY155" s="9">
        <v>600</v>
      </c>
      <c r="BZ155" s="10" t="s">
        <v>524</v>
      </c>
      <c r="CA155" s="9">
        <v>200</v>
      </c>
      <c r="CB155" s="9"/>
      <c r="CC155" s="10">
        <f t="shared" si="56"/>
        <v>1.7222219886309151</v>
      </c>
      <c r="CD155" s="10">
        <f t="shared" si="57"/>
        <v>225.55552496262953</v>
      </c>
      <c r="CE155" s="10">
        <f t="shared" si="67"/>
        <v>699222.12738415156</v>
      </c>
      <c r="CF155" s="10">
        <f t="shared" si="50"/>
        <v>1</v>
      </c>
      <c r="CG155" s="10">
        <f t="shared" si="51"/>
        <v>1</v>
      </c>
      <c r="CH155" s="10">
        <f t="shared" si="52"/>
        <v>64</v>
      </c>
      <c r="CI155" s="9">
        <f t="shared" si="58"/>
        <v>0</v>
      </c>
      <c r="CJ155" s="10">
        <f t="shared" si="53"/>
        <v>64</v>
      </c>
      <c r="CK155" s="10" t="b">
        <f t="shared" si="59"/>
        <v>1</v>
      </c>
      <c r="CL155" s="10" t="b">
        <f t="shared" si="60"/>
        <v>1</v>
      </c>
      <c r="CM155" s="10" t="b">
        <f t="shared" si="61"/>
        <v>1</v>
      </c>
      <c r="CN155" s="9">
        <f t="shared" si="62"/>
        <v>0</v>
      </c>
      <c r="CO155" s="10">
        <f>CJ155</f>
        <v>64</v>
      </c>
      <c r="CP155" s="10" t="b">
        <f t="shared" si="63"/>
        <v>1</v>
      </c>
      <c r="CQ155" s="10" t="b">
        <f t="shared" si="64"/>
        <v>1</v>
      </c>
      <c r="CR155" s="10" cm="1">
        <f t="array" ref="CR155">_xlfn.IFS(AND($CI155=0, CK155=FALSE), NA(), AND($CI155=1, CK155=FALSE), 0, CK155=TRUE, 1)</f>
        <v>1</v>
      </c>
      <c r="CS155" s="10" cm="1">
        <f t="array" ref="CS155">_xlfn.IFS(AND($CI155=0, CL155=FALSE), NA(), AND($CI155=1, CL155=FALSE), 0, CL155=TRUE, 1)</f>
        <v>1</v>
      </c>
      <c r="CT155" s="10" cm="1">
        <f t="array" ref="CT155">_xlfn.IFS(AND($CI155=0, CM155=FALSE), NA(), AND($CI155=1, CM155=FALSE), 0, CM155=TRUE, 1)</f>
        <v>1</v>
      </c>
      <c r="CU155" s="10" cm="1">
        <f t="array" ref="CU155">_xlfn.IFS(AND($CN155=0, CP155=FALSE), NA(), AND($CN155=1, CP155=FALSE), 0, CP155=TRUE, 1)</f>
        <v>1</v>
      </c>
      <c r="CV155" s="10" cm="1">
        <f t="array" ref="CV155">_xlfn.IFS(AND($CN155=0, CQ155=FALSE), NA(), AND($CN155=1, CQ155=FALSE), 0, CQ155=TRUE, 1)</f>
        <v>1</v>
      </c>
    </row>
    <row r="156" spans="1:100" x14ac:dyDescent="0.25">
      <c r="A156" s="8">
        <v>155</v>
      </c>
      <c r="B156" s="9">
        <v>487</v>
      </c>
      <c r="C156" s="10" t="s">
        <v>31</v>
      </c>
      <c r="D156" s="11" t="s">
        <v>366</v>
      </c>
      <c r="E156" s="12"/>
      <c r="F156" s="13">
        <v>1</v>
      </c>
      <c r="G156" s="9">
        <v>70</v>
      </c>
      <c r="H156" s="12">
        <v>40634</v>
      </c>
      <c r="I156" s="9">
        <v>1</v>
      </c>
      <c r="J156" s="12">
        <v>40634</v>
      </c>
      <c r="K156" s="9">
        <v>0</v>
      </c>
      <c r="L156" s="9">
        <v>1</v>
      </c>
      <c r="M156" s="10" t="s">
        <v>401</v>
      </c>
      <c r="N156" s="9">
        <v>1</v>
      </c>
      <c r="O156" s="10" t="s">
        <v>401</v>
      </c>
      <c r="P156" s="9">
        <v>1</v>
      </c>
      <c r="Q156" s="10" t="s">
        <v>401</v>
      </c>
      <c r="R156" s="12">
        <v>41149</v>
      </c>
      <c r="S156" s="10" t="s">
        <v>146</v>
      </c>
      <c r="T156" s="9">
        <v>6</v>
      </c>
      <c r="U156" s="10" t="s">
        <v>147</v>
      </c>
      <c r="V156" s="10" t="s">
        <v>401</v>
      </c>
      <c r="W156" s="9"/>
      <c r="X156" s="9"/>
      <c r="Y156" s="9">
        <v>3</v>
      </c>
      <c r="Z156" s="19">
        <v>2</v>
      </c>
      <c r="AB156" s="9"/>
      <c r="AC156" s="9"/>
      <c r="AD156" s="9">
        <v>1</v>
      </c>
      <c r="AE156" s="9">
        <v>1</v>
      </c>
      <c r="AF156" s="9">
        <v>1</v>
      </c>
      <c r="AG156" s="9">
        <v>0</v>
      </c>
      <c r="AH156" s="9">
        <v>1</v>
      </c>
      <c r="AI156" s="9">
        <v>0</v>
      </c>
      <c r="AJ156" s="12">
        <v>42773</v>
      </c>
      <c r="AK156" s="9">
        <v>2</v>
      </c>
      <c r="AL156" s="12">
        <v>43062</v>
      </c>
      <c r="AM156" s="9">
        <v>3</v>
      </c>
      <c r="AN156" s="12">
        <v>42985</v>
      </c>
      <c r="AO156" s="12">
        <v>43077</v>
      </c>
      <c r="AP156" s="12">
        <v>43077</v>
      </c>
      <c r="AQ156" s="9">
        <v>1</v>
      </c>
      <c r="AR156" s="9">
        <f t="shared" si="54"/>
        <v>1</v>
      </c>
      <c r="AS156" s="9">
        <v>1</v>
      </c>
      <c r="AT156" s="9">
        <v>2</v>
      </c>
      <c r="AU156" s="9">
        <v>2</v>
      </c>
      <c r="AV156" s="9">
        <f t="shared" si="55"/>
        <v>1</v>
      </c>
      <c r="AW156" s="12">
        <v>43077</v>
      </c>
      <c r="AX156" s="9">
        <v>4730</v>
      </c>
      <c r="AY156" s="9">
        <v>2600</v>
      </c>
      <c r="AZ156" s="9">
        <v>1430</v>
      </c>
      <c r="BA156" s="9">
        <v>2600</v>
      </c>
      <c r="BB156" s="9">
        <v>1429.9996337890625</v>
      </c>
      <c r="BC156" s="9">
        <v>201000</v>
      </c>
      <c r="BD156" s="9">
        <v>380</v>
      </c>
      <c r="BE156" s="9">
        <v>250</v>
      </c>
      <c r="BF156" s="9">
        <v>207</v>
      </c>
      <c r="BG156" s="9">
        <v>4450</v>
      </c>
      <c r="BH156" s="9">
        <v>2660</v>
      </c>
      <c r="BI156" s="9">
        <v>1170</v>
      </c>
      <c r="BJ156" s="9">
        <v>244000</v>
      </c>
      <c r="BK156" s="9">
        <v>340</v>
      </c>
      <c r="BL156" s="9">
        <v>200</v>
      </c>
      <c r="BM156" s="9">
        <v>298</v>
      </c>
      <c r="BN156" s="9">
        <v>3880</v>
      </c>
      <c r="BO156" s="9">
        <v>1870</v>
      </c>
      <c r="BP156" s="9">
        <v>1130</v>
      </c>
      <c r="BQ156" s="9">
        <v>202000</v>
      </c>
      <c r="BR156" s="9">
        <v>450</v>
      </c>
      <c r="BS156" s="9">
        <v>370</v>
      </c>
      <c r="BT156" s="9">
        <v>225</v>
      </c>
      <c r="BU156" s="9">
        <v>5160</v>
      </c>
      <c r="BV156" s="9">
        <v>3190</v>
      </c>
      <c r="BW156" s="9">
        <v>1110</v>
      </c>
      <c r="BX156" s="9">
        <v>195000</v>
      </c>
      <c r="BY156" s="9">
        <v>440</v>
      </c>
      <c r="BZ156" s="10" t="s">
        <v>562</v>
      </c>
      <c r="CA156" s="9">
        <v>340</v>
      </c>
      <c r="CB156" s="9">
        <v>239</v>
      </c>
      <c r="CC156" s="10">
        <f t="shared" si="56"/>
        <v>1.8181822838029642</v>
      </c>
      <c r="CD156" s="10">
        <f t="shared" si="57"/>
        <v>140.55947655553683</v>
      </c>
      <c r="CE156" s="10">
        <f t="shared" si="67"/>
        <v>365454.63904439582</v>
      </c>
      <c r="CF156" s="10">
        <f t="shared" si="50"/>
        <v>1</v>
      </c>
      <c r="CG156" s="10">
        <f t="shared" si="51"/>
        <v>0</v>
      </c>
      <c r="CH156" s="10">
        <f t="shared" si="52"/>
        <v>9</v>
      </c>
      <c r="CI156" s="9">
        <f t="shared" si="58"/>
        <v>1</v>
      </c>
      <c r="CJ156" s="10">
        <f t="shared" si="53"/>
        <v>10</v>
      </c>
      <c r="CK156" s="10" t="b">
        <f t="shared" si="59"/>
        <v>1</v>
      </c>
      <c r="CL156" s="10" t="b">
        <f t="shared" si="60"/>
        <v>0</v>
      </c>
      <c r="CM156" s="10" t="b">
        <f t="shared" si="61"/>
        <v>0</v>
      </c>
      <c r="CN156" s="9">
        <f t="shared" si="62"/>
        <v>1</v>
      </c>
      <c r="CO156" s="10">
        <f>(YEAR(AO156)-YEAR(AJ156))*12+MONTH(AO156)-MONTH(AJ156)</f>
        <v>10</v>
      </c>
      <c r="CP156" s="10" t="b">
        <f t="shared" si="63"/>
        <v>1</v>
      </c>
      <c r="CQ156" s="10" t="b">
        <f t="shared" si="64"/>
        <v>1</v>
      </c>
      <c r="CR156" s="10" cm="1">
        <f t="array" ref="CR156">_xlfn.IFS(AND($CI156=0, CK156=FALSE), NA(), AND($CI156=1, CK156=FALSE), 0, CK156=TRUE, 1)</f>
        <v>1</v>
      </c>
      <c r="CS156" s="10" cm="1">
        <f t="array" ref="CS156">_xlfn.IFS(AND($CI156=0, CL156=FALSE), NA(), AND($CI156=1, CL156=FALSE), 0, CL156=TRUE, 1)</f>
        <v>0</v>
      </c>
      <c r="CT156" s="10" cm="1">
        <f t="array" ref="CT156">_xlfn.IFS(AND($CI156=0, CM156=FALSE), NA(), AND($CI156=1, CM156=FALSE), 0, CM156=TRUE, 1)</f>
        <v>0</v>
      </c>
      <c r="CU156" s="10" cm="1">
        <f t="array" ref="CU156">_xlfn.IFS(AND($CN156=0, CP156=FALSE), NA(), AND($CN156=1, CP156=FALSE), 0, CP156=TRUE, 1)</f>
        <v>1</v>
      </c>
      <c r="CV156" s="10" cm="1">
        <f t="array" ref="CV156">_xlfn.IFS(AND($CN156=0, CQ156=FALSE), NA(), AND($CN156=1, CQ156=FALSE), 0, CQ156=TRUE, 1)</f>
        <v>1</v>
      </c>
    </row>
    <row r="157" spans="1:100" ht="15.75" x14ac:dyDescent="0.25">
      <c r="A157" s="8">
        <v>156</v>
      </c>
      <c r="B157" s="9">
        <v>257</v>
      </c>
      <c r="C157" s="10" t="s">
        <v>21</v>
      </c>
      <c r="D157" s="11" t="s">
        <v>79</v>
      </c>
      <c r="E157" s="12">
        <v>16599</v>
      </c>
      <c r="F157" s="13">
        <v>1</v>
      </c>
      <c r="G157" s="9">
        <v>65.81793212890625</v>
      </c>
      <c r="H157" s="12">
        <v>40639</v>
      </c>
      <c r="I157" s="9">
        <v>1</v>
      </c>
      <c r="J157" s="12">
        <v>40639</v>
      </c>
      <c r="K157" s="9">
        <v>0</v>
      </c>
      <c r="L157" s="9">
        <v>1</v>
      </c>
      <c r="M157" s="10" t="s">
        <v>401</v>
      </c>
      <c r="N157" s="9"/>
      <c r="O157" s="10" t="s">
        <v>401</v>
      </c>
      <c r="P157" s="9"/>
      <c r="Q157" s="10" t="s">
        <v>401</v>
      </c>
      <c r="R157" s="12">
        <v>41173</v>
      </c>
      <c r="S157" s="10" t="s">
        <v>146</v>
      </c>
      <c r="T157" s="9">
        <v>3</v>
      </c>
      <c r="U157" s="10" t="s">
        <v>150</v>
      </c>
      <c r="V157" s="10" t="s">
        <v>401</v>
      </c>
      <c r="W157" s="9"/>
      <c r="X157" s="9"/>
      <c r="Y157" s="9">
        <v>4</v>
      </c>
      <c r="Z157" s="14">
        <v>2</v>
      </c>
      <c r="AA157" s="15">
        <v>11.6</v>
      </c>
      <c r="AB157" s="16">
        <v>84</v>
      </c>
      <c r="AC157" s="16">
        <v>15</v>
      </c>
      <c r="AD157" s="9">
        <v>1</v>
      </c>
      <c r="AE157" s="9">
        <v>1</v>
      </c>
      <c r="AF157" s="9">
        <v>1</v>
      </c>
      <c r="AG157" s="9">
        <v>0</v>
      </c>
      <c r="AH157" s="9">
        <v>1</v>
      </c>
      <c r="AI157" s="9">
        <v>1</v>
      </c>
      <c r="AJ157" s="12">
        <v>42871</v>
      </c>
      <c r="AK157" s="9">
        <v>2</v>
      </c>
      <c r="AL157" s="12">
        <v>43396</v>
      </c>
      <c r="AM157" s="9">
        <v>2</v>
      </c>
      <c r="AN157" s="12">
        <v>43174</v>
      </c>
      <c r="AO157" s="12">
        <v>43402</v>
      </c>
      <c r="AP157" s="12">
        <v>43402</v>
      </c>
      <c r="AQ157" s="9">
        <v>1</v>
      </c>
      <c r="AR157" s="9">
        <f t="shared" si="54"/>
        <v>1</v>
      </c>
      <c r="AS157" s="9">
        <v>1</v>
      </c>
      <c r="AT157" s="9">
        <v>2</v>
      </c>
      <c r="AU157" s="9">
        <v>2</v>
      </c>
      <c r="AV157" s="9">
        <f t="shared" si="55"/>
        <v>1</v>
      </c>
      <c r="AW157" s="12">
        <v>44237</v>
      </c>
      <c r="AX157" s="9">
        <v>7930</v>
      </c>
      <c r="AY157" s="9">
        <v>6050</v>
      </c>
      <c r="AZ157" s="9">
        <v>1280</v>
      </c>
      <c r="BA157" s="9">
        <v>6050</v>
      </c>
      <c r="BB157" s="9">
        <v>1280</v>
      </c>
      <c r="BC157" s="9">
        <v>264000</v>
      </c>
      <c r="BD157" s="9">
        <v>550</v>
      </c>
      <c r="BE157" s="9">
        <v>40</v>
      </c>
      <c r="BF157" s="9">
        <v>187</v>
      </c>
      <c r="BG157" s="9">
        <v>6080</v>
      </c>
      <c r="BH157" s="9">
        <v>3870</v>
      </c>
      <c r="BI157" s="9">
        <v>1650</v>
      </c>
      <c r="BJ157" s="9">
        <v>209000</v>
      </c>
      <c r="BK157" s="9">
        <v>500</v>
      </c>
      <c r="BL157" s="9">
        <v>40</v>
      </c>
      <c r="BM157" s="9">
        <v>193</v>
      </c>
      <c r="BN157" s="9">
        <v>7150</v>
      </c>
      <c r="BO157" s="9">
        <v>4580</v>
      </c>
      <c r="BP157" s="9">
        <v>1750</v>
      </c>
      <c r="BQ157" s="9">
        <v>267000</v>
      </c>
      <c r="BR157" s="9">
        <v>760</v>
      </c>
      <c r="BS157" s="9">
        <v>50</v>
      </c>
      <c r="BT157" s="9">
        <v>196</v>
      </c>
      <c r="BU157" s="9">
        <v>6810</v>
      </c>
      <c r="BV157" s="9">
        <v>4240</v>
      </c>
      <c r="BW157" s="9">
        <v>1730</v>
      </c>
      <c r="BX157" s="9">
        <v>252000</v>
      </c>
      <c r="BY157" s="9">
        <v>740</v>
      </c>
      <c r="BZ157" s="10" t="s">
        <v>554</v>
      </c>
      <c r="CA157" s="9">
        <v>70</v>
      </c>
      <c r="CB157" s="9">
        <v>172</v>
      </c>
      <c r="CC157" s="10">
        <f t="shared" si="56"/>
        <v>4.7265625</v>
      </c>
      <c r="CD157" s="10">
        <f t="shared" si="57"/>
        <v>206.25</v>
      </c>
      <c r="CE157" s="10">
        <f t="shared" si="67"/>
        <v>1247812.5</v>
      </c>
      <c r="CF157" s="10">
        <f t="shared" si="50"/>
        <v>1</v>
      </c>
      <c r="CG157" s="10">
        <f t="shared" si="51"/>
        <v>1</v>
      </c>
      <c r="CH157" s="10">
        <f t="shared" si="52"/>
        <v>17</v>
      </c>
      <c r="CI157" s="9">
        <f t="shared" si="58"/>
        <v>1</v>
      </c>
      <c r="CJ157" s="10">
        <f t="shared" si="53"/>
        <v>45</v>
      </c>
      <c r="CK157" s="10" t="b">
        <f t="shared" si="59"/>
        <v>1</v>
      </c>
      <c r="CL157" s="10" t="b">
        <f t="shared" si="60"/>
        <v>1</v>
      </c>
      <c r="CM157" s="10" t="b">
        <f t="shared" si="61"/>
        <v>1</v>
      </c>
      <c r="CN157" s="9">
        <f t="shared" si="62"/>
        <v>1</v>
      </c>
      <c r="CO157" s="10">
        <f>(YEAR(AO157)-YEAR(AJ157))*12+MONTH(AO157)-MONTH(AJ157)</f>
        <v>17</v>
      </c>
      <c r="CP157" s="10" t="b">
        <f t="shared" si="63"/>
        <v>1</v>
      </c>
      <c r="CQ157" s="10" t="b">
        <f t="shared" si="64"/>
        <v>1</v>
      </c>
      <c r="CR157" s="10" cm="1">
        <f t="array" ref="CR157">_xlfn.IFS(AND($CI157=0, CK157=FALSE), NA(), AND($CI157=1, CK157=FALSE), 0, CK157=TRUE, 1)</f>
        <v>1</v>
      </c>
      <c r="CS157" s="10" cm="1">
        <f t="array" ref="CS157">_xlfn.IFS(AND($CI157=0, CL157=FALSE), NA(), AND($CI157=1, CL157=FALSE), 0, CL157=TRUE, 1)</f>
        <v>1</v>
      </c>
      <c r="CT157" s="10" cm="1">
        <f t="array" ref="CT157">_xlfn.IFS(AND($CI157=0, CM157=FALSE), NA(), AND($CI157=1, CM157=FALSE), 0, CM157=TRUE, 1)</f>
        <v>1</v>
      </c>
      <c r="CU157" s="10" cm="1">
        <f t="array" ref="CU157">_xlfn.IFS(AND($CN157=0, CP157=FALSE), NA(), AND($CN157=1, CP157=FALSE), 0, CP157=TRUE, 1)</f>
        <v>1</v>
      </c>
      <c r="CV157" s="10" cm="1">
        <f t="array" ref="CV157">_xlfn.IFS(AND($CN157=0, CQ157=FALSE), NA(), AND($CN157=1, CQ157=FALSE), 0, CQ157=TRUE, 1)</f>
        <v>1</v>
      </c>
    </row>
    <row r="158" spans="1:100" ht="15.75" x14ac:dyDescent="0.25">
      <c r="A158" s="8">
        <v>157</v>
      </c>
      <c r="B158" s="9">
        <v>377</v>
      </c>
      <c r="C158" s="10" t="s">
        <v>28</v>
      </c>
      <c r="D158" s="11" t="s">
        <v>223</v>
      </c>
      <c r="E158" s="12">
        <v>12912</v>
      </c>
      <c r="F158" s="13">
        <v>1</v>
      </c>
      <c r="G158" s="9">
        <v>75.917861938476563</v>
      </c>
      <c r="H158" s="12">
        <v>40641</v>
      </c>
      <c r="I158" s="9">
        <v>1</v>
      </c>
      <c r="J158" s="12">
        <v>40641</v>
      </c>
      <c r="K158" s="9">
        <v>0</v>
      </c>
      <c r="L158" s="9">
        <v>4</v>
      </c>
      <c r="M158" s="10" t="s">
        <v>404</v>
      </c>
      <c r="N158" s="9">
        <v>1</v>
      </c>
      <c r="O158" s="10" t="s">
        <v>401</v>
      </c>
      <c r="P158" s="9">
        <v>1</v>
      </c>
      <c r="Q158" s="10" t="s">
        <v>401</v>
      </c>
      <c r="R158" s="12">
        <v>42266</v>
      </c>
      <c r="S158" s="10" t="s">
        <v>146</v>
      </c>
      <c r="T158" s="9"/>
      <c r="U158" s="10" t="s">
        <v>401</v>
      </c>
      <c r="V158" s="10" t="s">
        <v>401</v>
      </c>
      <c r="W158" s="9"/>
      <c r="X158" s="9"/>
      <c r="Y158" s="9">
        <v>2</v>
      </c>
      <c r="Z158" s="14">
        <v>2</v>
      </c>
      <c r="AA158" s="21">
        <v>13.3</v>
      </c>
      <c r="AB158" s="22">
        <v>111</v>
      </c>
      <c r="AC158" s="22">
        <v>13</v>
      </c>
      <c r="AD158" s="9">
        <v>1</v>
      </c>
      <c r="AE158" s="9">
        <v>1</v>
      </c>
      <c r="AF158" s="9">
        <v>1</v>
      </c>
      <c r="AG158" s="9">
        <v>1</v>
      </c>
      <c r="AH158" s="9">
        <v>1</v>
      </c>
      <c r="AI158" s="9">
        <v>0</v>
      </c>
      <c r="AJ158" s="12">
        <v>42529</v>
      </c>
      <c r="AK158" s="9">
        <v>2</v>
      </c>
      <c r="AL158" s="12">
        <v>43353</v>
      </c>
      <c r="AM158" s="9">
        <v>2</v>
      </c>
      <c r="AN158" s="12">
        <v>42584</v>
      </c>
      <c r="AO158" s="12"/>
      <c r="AP158" s="12"/>
      <c r="AQ158" s="9">
        <v>2</v>
      </c>
      <c r="AR158" s="9">
        <f t="shared" si="54"/>
        <v>0</v>
      </c>
      <c r="AS158" s="9">
        <v>2</v>
      </c>
      <c r="AT158" s="9"/>
      <c r="AU158" s="9">
        <v>1</v>
      </c>
      <c r="AV158" s="9">
        <f t="shared" si="55"/>
        <v>0</v>
      </c>
      <c r="AW158" s="12">
        <v>44790</v>
      </c>
      <c r="AX158" s="9">
        <v>6020</v>
      </c>
      <c r="AY158" s="9">
        <v>4050</v>
      </c>
      <c r="AZ158" s="9">
        <v>1260</v>
      </c>
      <c r="BA158" s="9">
        <v>4050</v>
      </c>
      <c r="BB158" s="9">
        <v>1259.9998779296875</v>
      </c>
      <c r="BC158" s="9">
        <v>175000</v>
      </c>
      <c r="BD158" s="9">
        <v>400</v>
      </c>
      <c r="BE158" s="9">
        <v>110</v>
      </c>
      <c r="BF158" s="9">
        <v>382</v>
      </c>
      <c r="BG158" s="9">
        <v>5650</v>
      </c>
      <c r="BH158" s="9">
        <v>3370</v>
      </c>
      <c r="BI158" s="9">
        <v>1580</v>
      </c>
      <c r="BJ158" s="9">
        <v>178000</v>
      </c>
      <c r="BK158" s="9">
        <v>400</v>
      </c>
      <c r="BL158" s="9">
        <v>160</v>
      </c>
      <c r="BM158" s="9">
        <v>420</v>
      </c>
      <c r="BN158" s="9">
        <v>5980</v>
      </c>
      <c r="BO158" s="9">
        <v>3710</v>
      </c>
      <c r="BP158" s="9">
        <v>1500</v>
      </c>
      <c r="BQ158" s="9">
        <v>179000</v>
      </c>
      <c r="BR158" s="9">
        <v>430</v>
      </c>
      <c r="BS158" s="9">
        <v>190</v>
      </c>
      <c r="BT158" s="9">
        <v>358</v>
      </c>
      <c r="BU158" s="9">
        <v>7020</v>
      </c>
      <c r="BV158" s="9">
        <v>4680</v>
      </c>
      <c r="BW158" s="9">
        <v>1570</v>
      </c>
      <c r="BX158" s="9">
        <v>201000</v>
      </c>
      <c r="BY158" s="9">
        <v>480</v>
      </c>
      <c r="BZ158" s="10" t="s">
        <v>563</v>
      </c>
      <c r="CA158" s="9">
        <v>130</v>
      </c>
      <c r="CB158" s="9">
        <v>336</v>
      </c>
      <c r="CC158" s="10">
        <f t="shared" si="56"/>
        <v>3.2142860256896029</v>
      </c>
      <c r="CD158" s="10">
        <f t="shared" si="57"/>
        <v>138.88890234461246</v>
      </c>
      <c r="CE158" s="10">
        <f t="shared" si="67"/>
        <v>562500.0544956805</v>
      </c>
      <c r="CF158" s="10">
        <f t="shared" si="50"/>
        <v>1</v>
      </c>
      <c r="CG158" s="10">
        <f t="shared" si="51"/>
        <v>1</v>
      </c>
      <c r="CH158" s="10">
        <f t="shared" si="52"/>
        <v>27</v>
      </c>
      <c r="CI158" s="9">
        <f t="shared" si="58"/>
        <v>0</v>
      </c>
      <c r="CJ158" s="10">
        <f t="shared" si="53"/>
        <v>74</v>
      </c>
      <c r="CK158" s="10" t="b">
        <f t="shared" si="59"/>
        <v>1</v>
      </c>
      <c r="CL158" s="10" t="b">
        <f t="shared" si="60"/>
        <v>1</v>
      </c>
      <c r="CM158" s="10" t="b">
        <f t="shared" si="61"/>
        <v>1</v>
      </c>
      <c r="CN158" s="9">
        <f t="shared" si="62"/>
        <v>0</v>
      </c>
      <c r="CO158" s="10">
        <f>CJ158</f>
        <v>74</v>
      </c>
      <c r="CP158" s="10" t="b">
        <f t="shared" si="63"/>
        <v>1</v>
      </c>
      <c r="CQ158" s="10" t="b">
        <f t="shared" si="64"/>
        <v>1</v>
      </c>
      <c r="CR158" s="10" cm="1">
        <f t="array" ref="CR158">_xlfn.IFS(AND($CI158=0, CK158=FALSE), NA(), AND($CI158=1, CK158=FALSE), 0, CK158=TRUE, 1)</f>
        <v>1</v>
      </c>
      <c r="CS158" s="10" cm="1">
        <f t="array" ref="CS158">_xlfn.IFS(AND($CI158=0, CL158=FALSE), NA(), AND($CI158=1, CL158=FALSE), 0, CL158=TRUE, 1)</f>
        <v>1</v>
      </c>
      <c r="CT158" s="10" cm="1">
        <f t="array" ref="CT158">_xlfn.IFS(AND($CI158=0, CM158=FALSE), NA(), AND($CI158=1, CM158=FALSE), 0, CM158=TRUE, 1)</f>
        <v>1</v>
      </c>
      <c r="CU158" s="10" cm="1">
        <f t="array" ref="CU158">_xlfn.IFS(AND($CN158=0, CP158=FALSE), NA(), AND($CN158=1, CP158=FALSE), 0, CP158=TRUE, 1)</f>
        <v>1</v>
      </c>
      <c r="CV158" s="10" cm="1">
        <f t="array" ref="CV158">_xlfn.IFS(AND($CN158=0, CQ158=FALSE), NA(), AND($CN158=1, CQ158=FALSE), 0, CQ158=TRUE, 1)</f>
        <v>1</v>
      </c>
    </row>
    <row r="159" spans="1:100" x14ac:dyDescent="0.25">
      <c r="A159" s="8">
        <v>158</v>
      </c>
      <c r="B159" s="9">
        <v>100</v>
      </c>
      <c r="C159" s="10" t="s">
        <v>11</v>
      </c>
      <c r="D159" s="11" t="s">
        <v>89</v>
      </c>
      <c r="E159" s="12">
        <v>15015</v>
      </c>
      <c r="F159" s="13">
        <v>1</v>
      </c>
      <c r="G159" s="9">
        <v>70.264205932617188</v>
      </c>
      <c r="H159" s="12">
        <v>40679</v>
      </c>
      <c r="I159" s="9">
        <v>1</v>
      </c>
      <c r="J159" s="12">
        <v>40787</v>
      </c>
      <c r="K159" s="9">
        <v>0</v>
      </c>
      <c r="L159" s="9">
        <v>1</v>
      </c>
      <c r="M159" s="10" t="s">
        <v>401</v>
      </c>
      <c r="N159" s="9">
        <v>1</v>
      </c>
      <c r="O159" s="10" t="s">
        <v>401</v>
      </c>
      <c r="P159" s="9">
        <v>1</v>
      </c>
      <c r="Q159" s="10" t="s">
        <v>401</v>
      </c>
      <c r="R159" s="12">
        <v>41769</v>
      </c>
      <c r="S159" s="10" t="s">
        <v>145</v>
      </c>
      <c r="T159" s="9">
        <v>6</v>
      </c>
      <c r="U159" s="10" t="s">
        <v>147</v>
      </c>
      <c r="V159" s="10" t="s">
        <v>401</v>
      </c>
      <c r="W159" s="9"/>
      <c r="X159" s="9"/>
      <c r="Y159" s="9">
        <v>4</v>
      </c>
      <c r="Z159" s="19">
        <v>1</v>
      </c>
      <c r="AB159" s="9"/>
      <c r="AC159" s="9"/>
      <c r="AD159" s="9">
        <v>1</v>
      </c>
      <c r="AE159" s="9">
        <v>1</v>
      </c>
      <c r="AF159" s="9">
        <v>1</v>
      </c>
      <c r="AG159" s="9">
        <v>1</v>
      </c>
      <c r="AH159" s="9">
        <v>1</v>
      </c>
      <c r="AI159" s="9">
        <v>0</v>
      </c>
      <c r="AJ159" s="12">
        <v>43161</v>
      </c>
      <c r="AK159" s="9">
        <v>2</v>
      </c>
      <c r="AL159" s="12">
        <v>43651</v>
      </c>
      <c r="AM159" s="9">
        <v>3</v>
      </c>
      <c r="AN159" s="12">
        <v>43306</v>
      </c>
      <c r="AO159" s="12">
        <v>43665</v>
      </c>
      <c r="AP159" s="12">
        <v>43665</v>
      </c>
      <c r="AQ159" s="9">
        <v>1</v>
      </c>
      <c r="AR159" s="9">
        <f t="shared" si="54"/>
        <v>1</v>
      </c>
      <c r="AS159" s="9">
        <v>1</v>
      </c>
      <c r="AT159" s="9">
        <v>2</v>
      </c>
      <c r="AU159" s="9">
        <v>2</v>
      </c>
      <c r="AV159" s="9">
        <f t="shared" si="55"/>
        <v>1</v>
      </c>
      <c r="AW159" s="12">
        <v>43915</v>
      </c>
      <c r="AX159" s="9">
        <v>5600</v>
      </c>
      <c r="AY159" s="9">
        <v>3100</v>
      </c>
      <c r="AZ159" s="9">
        <v>1500</v>
      </c>
      <c r="BA159" s="9">
        <v>3100</v>
      </c>
      <c r="BB159" s="9">
        <v>1500.0001220703125</v>
      </c>
      <c r="BC159" s="9">
        <v>152000</v>
      </c>
      <c r="BD159" s="9">
        <v>400</v>
      </c>
      <c r="BE159" s="9">
        <v>100</v>
      </c>
      <c r="BF159" s="9"/>
      <c r="BG159" s="9">
        <v>5300</v>
      </c>
      <c r="BH159" s="9">
        <v>3200</v>
      </c>
      <c r="BI159" s="9">
        <v>1700</v>
      </c>
      <c r="BJ159" s="9">
        <v>156000</v>
      </c>
      <c r="BK159" s="9">
        <v>400</v>
      </c>
      <c r="BL159" s="9">
        <v>100</v>
      </c>
      <c r="BM159" s="9"/>
      <c r="BN159" s="9">
        <v>5500</v>
      </c>
      <c r="BO159" s="9">
        <v>3500</v>
      </c>
      <c r="BP159" s="9">
        <v>1600</v>
      </c>
      <c r="BQ159" s="9">
        <v>149000</v>
      </c>
      <c r="BR159" s="9">
        <v>300</v>
      </c>
      <c r="BS159" s="9">
        <v>100</v>
      </c>
      <c r="BT159" s="9"/>
      <c r="BU159" s="9">
        <v>4900</v>
      </c>
      <c r="BV159" s="9">
        <v>2900</v>
      </c>
      <c r="BW159" s="9">
        <v>1600</v>
      </c>
      <c r="BX159" s="9">
        <v>146000</v>
      </c>
      <c r="BY159" s="9">
        <v>300</v>
      </c>
      <c r="BZ159" s="10" t="s">
        <v>442</v>
      </c>
      <c r="CA159" s="9">
        <v>0</v>
      </c>
      <c r="CB159" s="9"/>
      <c r="CC159" s="10">
        <f t="shared" si="56"/>
        <v>2.0666664984809167</v>
      </c>
      <c r="CD159" s="10">
        <f t="shared" si="57"/>
        <v>101.33332508680623</v>
      </c>
      <c r="CE159" s="10">
        <f t="shared" si="67"/>
        <v>314133.30776909931</v>
      </c>
      <c r="CF159" s="10">
        <f t="shared" si="50"/>
        <v>1</v>
      </c>
      <c r="CG159" s="10">
        <f t="shared" si="51"/>
        <v>0</v>
      </c>
      <c r="CH159" s="10">
        <f t="shared" si="52"/>
        <v>16</v>
      </c>
      <c r="CI159" s="9">
        <f t="shared" si="58"/>
        <v>1</v>
      </c>
      <c r="CJ159" s="10">
        <f t="shared" si="53"/>
        <v>24</v>
      </c>
      <c r="CK159" s="10" t="b">
        <f t="shared" si="59"/>
        <v>1</v>
      </c>
      <c r="CL159" s="10" t="b">
        <f t="shared" si="60"/>
        <v>1</v>
      </c>
      <c r="CM159" s="10" t="b">
        <f t="shared" si="61"/>
        <v>1</v>
      </c>
      <c r="CN159" s="9">
        <f t="shared" si="62"/>
        <v>1</v>
      </c>
      <c r="CO159" s="10">
        <f>(YEAR(AO159)-YEAR(AJ159))*12+MONTH(AO159)-MONTH(AJ159)</f>
        <v>16</v>
      </c>
      <c r="CP159" s="10" t="b">
        <f t="shared" si="63"/>
        <v>1</v>
      </c>
      <c r="CQ159" s="10" t="b">
        <f t="shared" si="64"/>
        <v>1</v>
      </c>
      <c r="CR159" s="10" cm="1">
        <f t="array" ref="CR159">_xlfn.IFS(AND($CI159=0, CK159=FALSE), NA(), AND($CI159=1, CK159=FALSE), 0, CK159=TRUE, 1)</f>
        <v>1</v>
      </c>
      <c r="CS159" s="10" cm="1">
        <f t="array" ref="CS159">_xlfn.IFS(AND($CI159=0, CL159=FALSE), NA(), AND($CI159=1, CL159=FALSE), 0, CL159=TRUE, 1)</f>
        <v>1</v>
      </c>
      <c r="CT159" s="10" cm="1">
        <f t="array" ref="CT159">_xlfn.IFS(AND($CI159=0, CM159=FALSE), NA(), AND($CI159=1, CM159=FALSE), 0, CM159=TRUE, 1)</f>
        <v>1</v>
      </c>
      <c r="CU159" s="10" cm="1">
        <f t="array" ref="CU159">_xlfn.IFS(AND($CN159=0, CP159=FALSE), NA(), AND($CN159=1, CP159=FALSE), 0, CP159=TRUE, 1)</f>
        <v>1</v>
      </c>
      <c r="CV159" s="10" cm="1">
        <f t="array" ref="CV159">_xlfn.IFS(AND($CN159=0, CQ159=FALSE), NA(), AND($CN159=1, CQ159=FALSE), 0, CQ159=TRUE, 1)</f>
        <v>1</v>
      </c>
    </row>
    <row r="160" spans="1:100" ht="15.75" x14ac:dyDescent="0.25">
      <c r="A160" s="8">
        <v>159</v>
      </c>
      <c r="B160" s="9">
        <v>165</v>
      </c>
      <c r="C160" s="10" t="s">
        <v>15</v>
      </c>
      <c r="D160" s="11" t="s">
        <v>159</v>
      </c>
      <c r="E160" s="12">
        <v>17942</v>
      </c>
      <c r="F160" s="13">
        <v>2</v>
      </c>
      <c r="G160" s="9">
        <v>62.253250122070313</v>
      </c>
      <c r="H160" s="12">
        <v>40680</v>
      </c>
      <c r="I160" s="9">
        <v>1</v>
      </c>
      <c r="J160" s="12">
        <v>40709</v>
      </c>
      <c r="K160" s="9">
        <v>0</v>
      </c>
      <c r="L160" s="9">
        <v>1</v>
      </c>
      <c r="M160" s="10" t="s">
        <v>401</v>
      </c>
      <c r="N160" s="9"/>
      <c r="O160" s="10" t="s">
        <v>401</v>
      </c>
      <c r="P160" s="9"/>
      <c r="Q160" s="10" t="s">
        <v>401</v>
      </c>
      <c r="R160" s="12">
        <v>42961</v>
      </c>
      <c r="S160" s="10" t="s">
        <v>146</v>
      </c>
      <c r="T160" s="9">
        <v>4</v>
      </c>
      <c r="U160" s="10" t="s">
        <v>401</v>
      </c>
      <c r="V160" s="10" t="s">
        <v>401</v>
      </c>
      <c r="W160" s="9"/>
      <c r="X160" s="9"/>
      <c r="Y160" s="9">
        <v>3</v>
      </c>
      <c r="Z160" s="14">
        <v>2</v>
      </c>
      <c r="AA160" s="17">
        <v>18.3</v>
      </c>
      <c r="AB160" s="18">
        <v>96</v>
      </c>
      <c r="AC160" s="18">
        <v>16</v>
      </c>
      <c r="AD160" s="9">
        <v>2</v>
      </c>
      <c r="AE160" s="9">
        <v>2</v>
      </c>
      <c r="AF160" s="9">
        <v>2</v>
      </c>
      <c r="AG160" s="9">
        <v>0</v>
      </c>
      <c r="AH160" s="9">
        <v>1</v>
      </c>
      <c r="AI160" s="9">
        <v>1</v>
      </c>
      <c r="AJ160" s="12">
        <v>43531</v>
      </c>
      <c r="AK160" s="9">
        <v>2</v>
      </c>
      <c r="AL160" s="12">
        <v>43601</v>
      </c>
      <c r="AM160" s="9">
        <v>4</v>
      </c>
      <c r="AN160" s="12">
        <v>43672</v>
      </c>
      <c r="AO160" s="12">
        <v>43554</v>
      </c>
      <c r="AP160" s="12">
        <v>43672</v>
      </c>
      <c r="AQ160" s="9">
        <v>1</v>
      </c>
      <c r="AR160" s="9">
        <f t="shared" si="54"/>
        <v>1</v>
      </c>
      <c r="AS160" s="9">
        <v>1</v>
      </c>
      <c r="AT160" s="9">
        <v>1</v>
      </c>
      <c r="AU160" s="9">
        <v>2</v>
      </c>
      <c r="AV160" s="9">
        <f t="shared" si="55"/>
        <v>1</v>
      </c>
      <c r="AW160" s="12">
        <v>43702</v>
      </c>
      <c r="AX160" s="9">
        <v>3700</v>
      </c>
      <c r="AY160" s="9">
        <v>2500</v>
      </c>
      <c r="AZ160" s="9">
        <v>720</v>
      </c>
      <c r="BA160" s="9">
        <v>2500</v>
      </c>
      <c r="BB160" s="9">
        <v>720.00006103515625</v>
      </c>
      <c r="BC160" s="9">
        <v>217000</v>
      </c>
      <c r="BD160" s="9">
        <v>230</v>
      </c>
      <c r="BE160" s="9">
        <v>50</v>
      </c>
      <c r="BF160" s="9"/>
      <c r="BG160" s="9">
        <v>5980</v>
      </c>
      <c r="BH160" s="9">
        <v>4120</v>
      </c>
      <c r="BI160" s="9">
        <v>1260</v>
      </c>
      <c r="BJ160" s="9">
        <v>282000</v>
      </c>
      <c r="BK160" s="9">
        <v>440</v>
      </c>
      <c r="BL160" s="9">
        <v>40</v>
      </c>
      <c r="BM160" s="9"/>
      <c r="BN160" s="9">
        <v>11140</v>
      </c>
      <c r="BO160" s="9">
        <v>9550</v>
      </c>
      <c r="BP160" s="9">
        <v>880</v>
      </c>
      <c r="BQ160" s="9">
        <v>297000</v>
      </c>
      <c r="BR160" s="9">
        <v>560</v>
      </c>
      <c r="BS160" s="9">
        <v>60</v>
      </c>
      <c r="BT160" s="9"/>
      <c r="BU160" s="9">
        <v>9440</v>
      </c>
      <c r="BV160" s="9">
        <v>7110</v>
      </c>
      <c r="BW160" s="9">
        <v>1690</v>
      </c>
      <c r="BX160" s="9">
        <v>381000</v>
      </c>
      <c r="BY160" s="9">
        <v>490</v>
      </c>
      <c r="BZ160" s="10" t="s">
        <v>544</v>
      </c>
      <c r="CA160" s="9">
        <v>60</v>
      </c>
      <c r="CB160" s="9">
        <v>288</v>
      </c>
      <c r="CC160" s="10">
        <f t="shared" si="56"/>
        <v>3.4722219278783224</v>
      </c>
      <c r="CD160" s="10">
        <f t="shared" si="57"/>
        <v>301.38886333983839</v>
      </c>
      <c r="CE160" s="10">
        <f t="shared" si="67"/>
        <v>753472.15834959596</v>
      </c>
      <c r="CF160" s="10">
        <f t="shared" si="50"/>
        <v>0</v>
      </c>
      <c r="CG160" s="10">
        <f t="shared" si="51"/>
        <v>0</v>
      </c>
      <c r="CH160" s="10">
        <f t="shared" si="52"/>
        <v>2</v>
      </c>
      <c r="CI160" s="9">
        <f t="shared" si="58"/>
        <v>1</v>
      </c>
      <c r="CJ160" s="10">
        <f t="shared" si="53"/>
        <v>5</v>
      </c>
      <c r="CK160" s="10" t="b">
        <f t="shared" si="59"/>
        <v>0</v>
      </c>
      <c r="CL160" s="10" t="b">
        <f t="shared" si="60"/>
        <v>0</v>
      </c>
      <c r="CM160" s="10" t="b">
        <f t="shared" si="61"/>
        <v>0</v>
      </c>
      <c r="CN160" s="9">
        <f t="shared" si="62"/>
        <v>1</v>
      </c>
      <c r="CO160" s="10">
        <f>(YEAR(AO160)-YEAR(AJ160))*12+MONTH(AO160)-MONTH(AJ160)</f>
        <v>0</v>
      </c>
      <c r="CP160" s="10" t="b">
        <f t="shared" si="63"/>
        <v>0</v>
      </c>
      <c r="CQ160" s="10" t="b">
        <f t="shared" si="64"/>
        <v>0</v>
      </c>
      <c r="CR160" s="10" cm="1">
        <f t="array" ref="CR160">_xlfn.IFS(AND($CI160=0, CK160=FALSE), NA(), AND($CI160=1, CK160=FALSE), 0, CK160=TRUE, 1)</f>
        <v>0</v>
      </c>
      <c r="CS160" s="10" cm="1">
        <f t="array" ref="CS160">_xlfn.IFS(AND($CI160=0, CL160=FALSE), NA(), AND($CI160=1, CL160=FALSE), 0, CL160=TRUE, 1)</f>
        <v>0</v>
      </c>
      <c r="CT160" s="10" cm="1">
        <f t="array" ref="CT160">_xlfn.IFS(AND($CI160=0, CM160=FALSE), NA(), AND($CI160=1, CM160=FALSE), 0, CM160=TRUE, 1)</f>
        <v>0</v>
      </c>
      <c r="CU160" s="10" cm="1">
        <f t="array" ref="CU160">_xlfn.IFS(AND($CN160=0, CP160=FALSE), NA(), AND($CN160=1, CP160=FALSE), 0, CP160=TRUE, 1)</f>
        <v>0</v>
      </c>
      <c r="CV160" s="10" cm="1">
        <f t="array" ref="CV160">_xlfn.IFS(AND($CN160=0, CQ160=FALSE), NA(), AND($CN160=1, CQ160=FALSE), 0, CQ160=TRUE, 1)</f>
        <v>0</v>
      </c>
    </row>
    <row r="161" spans="1:100" ht="15.75" x14ac:dyDescent="0.25">
      <c r="A161" s="8">
        <v>160</v>
      </c>
      <c r="B161" s="9">
        <v>277</v>
      </c>
      <c r="C161" s="10" t="s">
        <v>21</v>
      </c>
      <c r="D161" s="11" t="s">
        <v>90</v>
      </c>
      <c r="E161" s="12">
        <v>23649</v>
      </c>
      <c r="F161" s="13">
        <v>1</v>
      </c>
      <c r="G161" s="9">
        <v>46.707733154296875</v>
      </c>
      <c r="H161" s="12">
        <v>40709</v>
      </c>
      <c r="I161" s="9">
        <v>1</v>
      </c>
      <c r="J161" s="12">
        <v>40709</v>
      </c>
      <c r="K161" s="9">
        <v>0</v>
      </c>
      <c r="L161" s="9">
        <v>1</v>
      </c>
      <c r="M161" s="10" t="s">
        <v>401</v>
      </c>
      <c r="N161" s="9">
        <v>2</v>
      </c>
      <c r="O161" s="10" t="s">
        <v>145</v>
      </c>
      <c r="P161" s="9">
        <v>2</v>
      </c>
      <c r="Q161" s="10" t="s">
        <v>145</v>
      </c>
      <c r="R161" s="12">
        <v>40869</v>
      </c>
      <c r="S161" s="10" t="s">
        <v>145</v>
      </c>
      <c r="T161" s="9">
        <v>5</v>
      </c>
      <c r="U161" s="10" t="s">
        <v>150</v>
      </c>
      <c r="V161" s="10" t="s">
        <v>401</v>
      </c>
      <c r="W161" s="9"/>
      <c r="X161" s="9"/>
      <c r="Y161" s="9">
        <v>4</v>
      </c>
      <c r="Z161" s="14">
        <v>1</v>
      </c>
      <c r="AA161" s="15">
        <v>11</v>
      </c>
      <c r="AB161" s="16">
        <v>81</v>
      </c>
      <c r="AC161" s="16">
        <v>17</v>
      </c>
      <c r="AD161" s="9">
        <v>2</v>
      </c>
      <c r="AE161" s="9">
        <v>2</v>
      </c>
      <c r="AF161" s="9">
        <v>1</v>
      </c>
      <c r="AG161" s="9">
        <v>1</v>
      </c>
      <c r="AH161" s="9">
        <v>1</v>
      </c>
      <c r="AI161" s="9">
        <v>0</v>
      </c>
      <c r="AJ161" s="12">
        <v>42397</v>
      </c>
      <c r="AK161" s="9">
        <v>2</v>
      </c>
      <c r="AL161" s="12">
        <v>42754</v>
      </c>
      <c r="AM161" s="9">
        <v>4</v>
      </c>
      <c r="AN161" s="12">
        <v>42495</v>
      </c>
      <c r="AO161" s="12">
        <v>42774</v>
      </c>
      <c r="AP161" s="12">
        <v>42774</v>
      </c>
      <c r="AQ161" s="9">
        <v>1</v>
      </c>
      <c r="AR161" s="9">
        <f t="shared" si="54"/>
        <v>1</v>
      </c>
      <c r="AS161" s="9">
        <v>1</v>
      </c>
      <c r="AT161" s="9">
        <v>2</v>
      </c>
      <c r="AU161" s="9">
        <v>2</v>
      </c>
      <c r="AV161" s="9">
        <f t="shared" si="55"/>
        <v>1</v>
      </c>
      <c r="AW161" s="12">
        <v>42850</v>
      </c>
      <c r="AX161" s="9">
        <v>8690</v>
      </c>
      <c r="AY161" s="9">
        <v>6320</v>
      </c>
      <c r="AZ161" s="9">
        <v>1470</v>
      </c>
      <c r="BA161" s="9">
        <v>6320</v>
      </c>
      <c r="BB161" s="9">
        <v>1470.000244140625</v>
      </c>
      <c r="BC161" s="9">
        <v>358000</v>
      </c>
      <c r="BD161" s="9">
        <v>730</v>
      </c>
      <c r="BE161" s="9">
        <v>150</v>
      </c>
      <c r="BF161" s="9">
        <v>187</v>
      </c>
      <c r="BG161" s="9">
        <v>9570</v>
      </c>
      <c r="BH161" s="9">
        <v>7200</v>
      </c>
      <c r="BI161" s="9">
        <v>1320</v>
      </c>
      <c r="BJ161" s="9">
        <v>308000</v>
      </c>
      <c r="BK161" s="9">
        <v>870</v>
      </c>
      <c r="BL161" s="9">
        <v>170</v>
      </c>
      <c r="BM161" s="9">
        <v>150</v>
      </c>
      <c r="BN161" s="9">
        <v>8860</v>
      </c>
      <c r="BO161" s="9">
        <v>6280</v>
      </c>
      <c r="BP161" s="9">
        <v>1560</v>
      </c>
      <c r="BQ161" s="9">
        <v>331000</v>
      </c>
      <c r="BR161" s="9">
        <v>810</v>
      </c>
      <c r="BS161" s="9">
        <v>190</v>
      </c>
      <c r="BT161" s="9">
        <v>153</v>
      </c>
      <c r="BU161" s="9">
        <v>8350</v>
      </c>
      <c r="BV161" s="9">
        <v>5670</v>
      </c>
      <c r="BW161" s="9">
        <v>1480</v>
      </c>
      <c r="BX161" s="9">
        <v>323000</v>
      </c>
      <c r="BY161" s="9">
        <v>950</v>
      </c>
      <c r="BZ161" s="10" t="s">
        <v>534</v>
      </c>
      <c r="CA161" s="9">
        <v>220</v>
      </c>
      <c r="CB161" s="9">
        <v>141</v>
      </c>
      <c r="CC161" s="10">
        <f t="shared" si="56"/>
        <v>4.2993190138514077</v>
      </c>
      <c r="CD161" s="10">
        <f t="shared" si="57"/>
        <v>243.53737451879809</v>
      </c>
      <c r="CE161" s="10">
        <f t="shared" si="67"/>
        <v>1539156.206958804</v>
      </c>
      <c r="CF161" s="10">
        <f t="shared" si="50"/>
        <v>0</v>
      </c>
      <c r="CG161" s="10">
        <f t="shared" si="51"/>
        <v>0</v>
      </c>
      <c r="CH161" s="10">
        <f t="shared" si="52"/>
        <v>12</v>
      </c>
      <c r="CI161" s="9">
        <f t="shared" si="58"/>
        <v>1</v>
      </c>
      <c r="CJ161" s="10">
        <f t="shared" si="53"/>
        <v>15</v>
      </c>
      <c r="CK161" s="10" t="b">
        <f t="shared" si="59"/>
        <v>1</v>
      </c>
      <c r="CL161" s="10" t="b">
        <f t="shared" si="60"/>
        <v>0</v>
      </c>
      <c r="CM161" s="10" t="b">
        <f t="shared" si="61"/>
        <v>0</v>
      </c>
      <c r="CN161" s="9">
        <f t="shared" si="62"/>
        <v>1</v>
      </c>
      <c r="CO161" s="10">
        <f>(YEAR(AO161)-YEAR(AJ161))*12+MONTH(AO161)-MONTH(AJ161)</f>
        <v>13</v>
      </c>
      <c r="CP161" s="10" t="b">
        <f t="shared" si="63"/>
        <v>1</v>
      </c>
      <c r="CQ161" s="10" t="b">
        <f t="shared" si="64"/>
        <v>1</v>
      </c>
      <c r="CR161" s="10" cm="1">
        <f t="array" ref="CR161">_xlfn.IFS(AND($CI161=0, CK161=FALSE), NA(), AND($CI161=1, CK161=FALSE), 0, CK161=TRUE, 1)</f>
        <v>1</v>
      </c>
      <c r="CS161" s="10" cm="1">
        <f t="array" ref="CS161">_xlfn.IFS(AND($CI161=0, CL161=FALSE), NA(), AND($CI161=1, CL161=FALSE), 0, CL161=TRUE, 1)</f>
        <v>0</v>
      </c>
      <c r="CT161" s="10" cm="1">
        <f t="array" ref="CT161">_xlfn.IFS(AND($CI161=0, CM161=FALSE), NA(), AND($CI161=1, CM161=FALSE), 0, CM161=TRUE, 1)</f>
        <v>0</v>
      </c>
      <c r="CU161" s="10" cm="1">
        <f t="array" ref="CU161">_xlfn.IFS(AND($CN161=0, CP161=FALSE), NA(), AND($CN161=1, CP161=FALSE), 0, CP161=TRUE, 1)</f>
        <v>1</v>
      </c>
      <c r="CV161" s="10" cm="1">
        <f t="array" ref="CV161">_xlfn.IFS(AND($CN161=0, CQ161=FALSE), NA(), AND($CN161=1, CQ161=FALSE), 0, CQ161=TRUE, 1)</f>
        <v>1</v>
      </c>
    </row>
    <row r="162" spans="1:100" ht="15.75" x14ac:dyDescent="0.25">
      <c r="A162" s="8">
        <v>161</v>
      </c>
      <c r="B162" s="9">
        <v>182</v>
      </c>
      <c r="C162" s="10" t="s">
        <v>17</v>
      </c>
      <c r="D162" s="11" t="s">
        <v>191</v>
      </c>
      <c r="E162" s="12">
        <v>19240</v>
      </c>
      <c r="F162" s="13">
        <v>1</v>
      </c>
      <c r="G162" s="9">
        <v>58.778919219970703</v>
      </c>
      <c r="H162" s="12">
        <v>40709</v>
      </c>
      <c r="I162" s="9">
        <v>1</v>
      </c>
      <c r="J162" s="12">
        <v>40709</v>
      </c>
      <c r="K162" s="9">
        <v>0</v>
      </c>
      <c r="L162" s="9">
        <v>1</v>
      </c>
      <c r="M162" s="10" t="s">
        <v>401</v>
      </c>
      <c r="N162" s="9">
        <v>1</v>
      </c>
      <c r="O162" s="10" t="s">
        <v>401</v>
      </c>
      <c r="P162" s="9">
        <v>1</v>
      </c>
      <c r="Q162" s="10" t="s">
        <v>401</v>
      </c>
      <c r="R162" s="12">
        <v>42232</v>
      </c>
      <c r="S162" s="10" t="s">
        <v>145</v>
      </c>
      <c r="T162" s="9"/>
      <c r="U162" s="10" t="s">
        <v>401</v>
      </c>
      <c r="V162" s="10" t="s">
        <v>401</v>
      </c>
      <c r="W162" s="9"/>
      <c r="X162" s="9"/>
      <c r="Y162" s="9">
        <v>2</v>
      </c>
      <c r="Z162" s="14">
        <v>1</v>
      </c>
      <c r="AA162" s="17">
        <v>13.5</v>
      </c>
      <c r="AB162" s="18">
        <v>86</v>
      </c>
      <c r="AC162" s="18">
        <v>15</v>
      </c>
      <c r="AD162" s="9">
        <v>1</v>
      </c>
      <c r="AE162" s="9">
        <v>1</v>
      </c>
      <c r="AF162" s="9">
        <v>1</v>
      </c>
      <c r="AG162" s="9">
        <v>0</v>
      </c>
      <c r="AH162" s="9">
        <v>0</v>
      </c>
      <c r="AI162" s="9">
        <v>1</v>
      </c>
      <c r="AJ162" s="12">
        <v>43039</v>
      </c>
      <c r="AK162" s="9">
        <v>2</v>
      </c>
      <c r="AL162" s="12">
        <v>43102</v>
      </c>
      <c r="AM162" s="9">
        <v>4</v>
      </c>
      <c r="AN162" s="12">
        <v>43109</v>
      </c>
      <c r="AO162" s="12">
        <v>43109</v>
      </c>
      <c r="AP162" s="12">
        <v>43109</v>
      </c>
      <c r="AQ162" s="9">
        <v>1</v>
      </c>
      <c r="AR162" s="9">
        <f t="shared" si="54"/>
        <v>1</v>
      </c>
      <c r="AS162" s="9">
        <v>1</v>
      </c>
      <c r="AT162" s="9">
        <v>2</v>
      </c>
      <c r="AU162" s="9">
        <v>2</v>
      </c>
      <c r="AV162" s="9">
        <f t="shared" si="55"/>
        <v>1</v>
      </c>
      <c r="AW162" s="12">
        <v>43529</v>
      </c>
      <c r="AX162" s="9">
        <v>8160</v>
      </c>
      <c r="AY162" s="9">
        <v>6200</v>
      </c>
      <c r="AZ162" s="9">
        <v>900</v>
      </c>
      <c r="BA162" s="9">
        <v>6200</v>
      </c>
      <c r="BB162" s="9">
        <v>900.0001220703125</v>
      </c>
      <c r="BC162" s="9">
        <v>225000</v>
      </c>
      <c r="BD162" s="9">
        <v>800</v>
      </c>
      <c r="BE162" s="9">
        <v>200</v>
      </c>
      <c r="BF162" s="9"/>
      <c r="BG162" s="9">
        <v>7150</v>
      </c>
      <c r="BH162" s="9">
        <v>5000</v>
      </c>
      <c r="BI162" s="9">
        <v>1000</v>
      </c>
      <c r="BJ162" s="9">
        <v>228000</v>
      </c>
      <c r="BK162" s="9">
        <v>800</v>
      </c>
      <c r="BL162" s="9">
        <v>200</v>
      </c>
      <c r="BM162" s="9"/>
      <c r="BN162" s="9">
        <v>6220</v>
      </c>
      <c r="BO162" s="9">
        <v>4300</v>
      </c>
      <c r="BP162" s="9">
        <v>700</v>
      </c>
      <c r="BQ162" s="9">
        <v>180000</v>
      </c>
      <c r="BR162" s="9">
        <v>1000</v>
      </c>
      <c r="BS162" s="9">
        <v>200</v>
      </c>
      <c r="BT162" s="9"/>
      <c r="BU162" s="9">
        <v>7700</v>
      </c>
      <c r="BV162" s="9">
        <v>5700</v>
      </c>
      <c r="BW162" s="9">
        <v>800</v>
      </c>
      <c r="BX162" s="9">
        <v>245000</v>
      </c>
      <c r="BY162" s="9">
        <v>900</v>
      </c>
      <c r="BZ162" s="10" t="s">
        <v>524</v>
      </c>
      <c r="CA162" s="9">
        <v>200</v>
      </c>
      <c r="CB162" s="9"/>
      <c r="CC162" s="10">
        <f t="shared" si="56"/>
        <v>6.8888879545236605</v>
      </c>
      <c r="CD162" s="10">
        <f t="shared" si="57"/>
        <v>249.99996609158447</v>
      </c>
      <c r="CE162" s="10">
        <f t="shared" si="67"/>
        <v>1549999.7897678236</v>
      </c>
      <c r="CF162" s="10">
        <f t="shared" si="50"/>
        <v>0</v>
      </c>
      <c r="CG162" s="10">
        <f t="shared" si="51"/>
        <v>0</v>
      </c>
      <c r="CH162" s="10">
        <f t="shared" si="52"/>
        <v>3</v>
      </c>
      <c r="CI162" s="9">
        <f t="shared" si="58"/>
        <v>1</v>
      </c>
      <c r="CJ162" s="10">
        <f t="shared" si="53"/>
        <v>17</v>
      </c>
      <c r="CK162" s="10" t="b">
        <f t="shared" si="59"/>
        <v>1</v>
      </c>
      <c r="CL162" s="10" t="b">
        <f t="shared" si="60"/>
        <v>0</v>
      </c>
      <c r="CM162" s="10" t="b">
        <f t="shared" si="61"/>
        <v>0</v>
      </c>
      <c r="CN162" s="9">
        <f t="shared" si="62"/>
        <v>1</v>
      </c>
      <c r="CO162" s="10">
        <f>(YEAR(AO162)-YEAR(AJ162))*12+MONTH(AO162)-MONTH(AJ162)</f>
        <v>3</v>
      </c>
      <c r="CP162" s="10" t="b">
        <f t="shared" si="63"/>
        <v>1</v>
      </c>
      <c r="CQ162" s="10" t="b">
        <f t="shared" si="64"/>
        <v>0</v>
      </c>
      <c r="CR162" s="10" cm="1">
        <f t="array" ref="CR162">_xlfn.IFS(AND($CI162=0, CK162=FALSE), NA(), AND($CI162=1, CK162=FALSE), 0, CK162=TRUE, 1)</f>
        <v>1</v>
      </c>
      <c r="CS162" s="10" cm="1">
        <f t="array" ref="CS162">_xlfn.IFS(AND($CI162=0, CL162=FALSE), NA(), AND($CI162=1, CL162=FALSE), 0, CL162=TRUE, 1)</f>
        <v>0</v>
      </c>
      <c r="CT162" s="10" cm="1">
        <f t="array" ref="CT162">_xlfn.IFS(AND($CI162=0, CM162=FALSE), NA(), AND($CI162=1, CM162=FALSE), 0, CM162=TRUE, 1)</f>
        <v>0</v>
      </c>
      <c r="CU162" s="10" cm="1">
        <f t="array" ref="CU162">_xlfn.IFS(AND($CN162=0, CP162=FALSE), NA(), AND($CN162=1, CP162=FALSE), 0, CP162=TRUE, 1)</f>
        <v>1</v>
      </c>
      <c r="CV162" s="10" cm="1">
        <f t="array" ref="CV162">_xlfn.IFS(AND($CN162=0, CQ162=FALSE), NA(), AND($CN162=1, CQ162=FALSE), 0, CQ162=TRUE, 1)</f>
        <v>0</v>
      </c>
    </row>
    <row r="163" spans="1:100" ht="15.75" x14ac:dyDescent="0.25">
      <c r="A163" s="8">
        <v>162</v>
      </c>
      <c r="B163" s="9">
        <v>248</v>
      </c>
      <c r="C163" s="10" t="s">
        <v>20</v>
      </c>
      <c r="D163" s="11" t="s">
        <v>87</v>
      </c>
      <c r="E163" s="12">
        <v>24902</v>
      </c>
      <c r="F163" s="13">
        <v>1</v>
      </c>
      <c r="G163" s="9">
        <v>43.331962585449219</v>
      </c>
      <c r="H163" s="12">
        <v>40729</v>
      </c>
      <c r="I163" s="9">
        <v>1</v>
      </c>
      <c r="J163" s="12">
        <v>40729</v>
      </c>
      <c r="K163" s="9">
        <v>1</v>
      </c>
      <c r="L163" s="9">
        <v>2</v>
      </c>
      <c r="M163" s="10" t="s">
        <v>401</v>
      </c>
      <c r="N163" s="9">
        <v>2</v>
      </c>
      <c r="O163" s="10" t="s">
        <v>145</v>
      </c>
      <c r="P163" s="9">
        <v>2</v>
      </c>
      <c r="Q163" s="10" t="s">
        <v>145</v>
      </c>
      <c r="R163" s="12">
        <v>40708</v>
      </c>
      <c r="S163" s="10" t="s">
        <v>145</v>
      </c>
      <c r="T163" s="9"/>
      <c r="U163" s="10" t="s">
        <v>401</v>
      </c>
      <c r="V163" s="10" t="s">
        <v>401</v>
      </c>
      <c r="W163" s="9"/>
      <c r="X163" s="9"/>
      <c r="Y163" s="9">
        <v>2</v>
      </c>
      <c r="Z163" s="14">
        <v>1</v>
      </c>
      <c r="AB163" s="9"/>
      <c r="AC163" s="9"/>
      <c r="AD163" s="9">
        <v>1</v>
      </c>
      <c r="AE163" s="9">
        <v>1</v>
      </c>
      <c r="AF163" s="9">
        <v>1</v>
      </c>
      <c r="AG163" s="9">
        <v>1</v>
      </c>
      <c r="AH163" s="9">
        <v>0</v>
      </c>
      <c r="AI163" s="9">
        <v>0</v>
      </c>
      <c r="AJ163" s="12">
        <v>43475</v>
      </c>
      <c r="AK163" s="9">
        <v>1</v>
      </c>
      <c r="AL163" s="12">
        <v>44970</v>
      </c>
      <c r="AM163" s="9">
        <v>2</v>
      </c>
      <c r="AN163" s="12">
        <v>43554</v>
      </c>
      <c r="AO163" s="12"/>
      <c r="AP163" s="12"/>
      <c r="AQ163" s="9">
        <v>2</v>
      </c>
      <c r="AR163" s="9">
        <f t="shared" si="54"/>
        <v>0</v>
      </c>
      <c r="AS163" s="9">
        <v>2</v>
      </c>
      <c r="AT163" s="9"/>
      <c r="AU163" s="9">
        <v>1</v>
      </c>
      <c r="AV163" s="9">
        <f t="shared" si="55"/>
        <v>0</v>
      </c>
      <c r="AW163" s="12">
        <v>44970</v>
      </c>
      <c r="AX163" s="9">
        <v>5800</v>
      </c>
      <c r="AY163" s="9">
        <v>2900</v>
      </c>
      <c r="AZ163" s="9"/>
      <c r="BA163" s="9">
        <v>2900</v>
      </c>
      <c r="BB163" s="9">
        <v>1651.479248046875</v>
      </c>
      <c r="BC163" s="9">
        <v>281000</v>
      </c>
      <c r="BD163" s="9"/>
      <c r="BE163" s="9"/>
      <c r="BF163" s="9"/>
      <c r="BG163" s="9">
        <v>5850</v>
      </c>
      <c r="BH163" s="9">
        <v>3100</v>
      </c>
      <c r="BI163" s="9"/>
      <c r="BJ163" s="9">
        <v>277000</v>
      </c>
      <c r="BK163" s="9"/>
      <c r="BL163" s="9"/>
      <c r="BM163" s="9"/>
      <c r="BN163" s="9">
        <v>4900</v>
      </c>
      <c r="BO163" s="9">
        <v>2401</v>
      </c>
      <c r="BP163" s="9"/>
      <c r="BQ163" s="9">
        <v>247000</v>
      </c>
      <c r="BR163" s="9"/>
      <c r="BS163" s="9"/>
      <c r="BT163" s="9"/>
      <c r="BU163" s="9">
        <v>5670</v>
      </c>
      <c r="BV163" s="9">
        <v>2948</v>
      </c>
      <c r="BW163" s="9"/>
      <c r="BX163" s="9">
        <v>283000</v>
      </c>
      <c r="BY163" s="9"/>
      <c r="BZ163" s="10" t="s">
        <v>401</v>
      </c>
      <c r="CA163" s="9"/>
      <c r="CB163" s="9"/>
      <c r="CC163" s="10">
        <f t="shared" si="56"/>
        <v>1.7560014777234958</v>
      </c>
      <c r="CD163" s="10">
        <f t="shared" si="57"/>
        <v>170.15048801389733</v>
      </c>
      <c r="CE163" s="10">
        <f t="shared" si="67"/>
        <v>493436.41524030233</v>
      </c>
      <c r="CF163" s="10">
        <f t="shared" si="50"/>
        <v>1</v>
      </c>
      <c r="CG163" s="10">
        <f t="shared" si="51"/>
        <v>1</v>
      </c>
      <c r="CH163" s="10">
        <f t="shared" si="52"/>
        <v>49</v>
      </c>
      <c r="CI163" s="9">
        <f t="shared" si="58"/>
        <v>0</v>
      </c>
      <c r="CJ163" s="10">
        <f t="shared" si="53"/>
        <v>49</v>
      </c>
      <c r="CK163" s="10" t="b">
        <f t="shared" si="59"/>
        <v>1</v>
      </c>
      <c r="CL163" s="10" t="b">
        <f t="shared" si="60"/>
        <v>1</v>
      </c>
      <c r="CM163" s="10" t="b">
        <f t="shared" si="61"/>
        <v>1</v>
      </c>
      <c r="CN163" s="9">
        <f t="shared" si="62"/>
        <v>0</v>
      </c>
      <c r="CO163" s="10">
        <f t="shared" ref="CO163:CO164" si="68">CJ163</f>
        <v>49</v>
      </c>
      <c r="CP163" s="10" t="b">
        <f t="shared" si="63"/>
        <v>1</v>
      </c>
      <c r="CQ163" s="10" t="b">
        <f t="shared" si="64"/>
        <v>1</v>
      </c>
      <c r="CR163" s="10" cm="1">
        <f t="array" ref="CR163">_xlfn.IFS(AND($CI163=0, CK163=FALSE), NA(), AND($CI163=1, CK163=FALSE), 0, CK163=TRUE, 1)</f>
        <v>1</v>
      </c>
      <c r="CS163" s="10" cm="1">
        <f t="array" ref="CS163">_xlfn.IFS(AND($CI163=0, CL163=FALSE), NA(), AND($CI163=1, CL163=FALSE), 0, CL163=TRUE, 1)</f>
        <v>1</v>
      </c>
      <c r="CT163" s="10" cm="1">
        <f t="array" ref="CT163">_xlfn.IFS(AND($CI163=0, CM163=FALSE), NA(), AND($CI163=1, CM163=FALSE), 0, CM163=TRUE, 1)</f>
        <v>1</v>
      </c>
      <c r="CU163" s="10" cm="1">
        <f t="array" ref="CU163">_xlfn.IFS(AND($CN163=0, CP163=FALSE), NA(), AND($CN163=1, CP163=FALSE), 0, CP163=TRUE, 1)</f>
        <v>1</v>
      </c>
      <c r="CV163" s="10" cm="1">
        <f t="array" ref="CV163">_xlfn.IFS(AND($CN163=0, CQ163=FALSE), NA(), AND($CN163=1, CQ163=FALSE), 0, CQ163=TRUE, 1)</f>
        <v>1</v>
      </c>
    </row>
    <row r="164" spans="1:100" ht="15.75" x14ac:dyDescent="0.25">
      <c r="A164" s="8">
        <v>163</v>
      </c>
      <c r="B164" s="9">
        <v>521</v>
      </c>
      <c r="C164" s="10" t="s">
        <v>33</v>
      </c>
      <c r="D164" s="11" t="s">
        <v>384</v>
      </c>
      <c r="E164" s="12">
        <v>16977</v>
      </c>
      <c r="F164" s="13">
        <v>1</v>
      </c>
      <c r="G164" s="9">
        <v>65.141685485839844</v>
      </c>
      <c r="H164" s="12">
        <v>40770</v>
      </c>
      <c r="I164" s="9">
        <v>1</v>
      </c>
      <c r="J164" s="12">
        <v>40798</v>
      </c>
      <c r="K164" s="9">
        <v>0</v>
      </c>
      <c r="L164" s="9">
        <v>1</v>
      </c>
      <c r="M164" s="10" t="s">
        <v>401</v>
      </c>
      <c r="N164" s="9">
        <v>2</v>
      </c>
      <c r="O164" s="10" t="s">
        <v>410</v>
      </c>
      <c r="P164" s="9">
        <v>2</v>
      </c>
      <c r="Q164" s="10" t="s">
        <v>147</v>
      </c>
      <c r="R164" s="12">
        <v>41857</v>
      </c>
      <c r="S164" s="10" t="s">
        <v>145</v>
      </c>
      <c r="T164" s="9">
        <v>5</v>
      </c>
      <c r="U164" s="10" t="s">
        <v>401</v>
      </c>
      <c r="V164" s="10" t="s">
        <v>401</v>
      </c>
      <c r="W164" s="9"/>
      <c r="X164" s="9"/>
      <c r="Y164" s="9">
        <v>3</v>
      </c>
      <c r="Z164" s="14">
        <v>1</v>
      </c>
      <c r="AA164" s="15"/>
      <c r="AB164" s="16"/>
      <c r="AC164" s="16"/>
      <c r="AD164" s="9">
        <v>2</v>
      </c>
      <c r="AE164" s="9">
        <v>2</v>
      </c>
      <c r="AF164" s="9">
        <v>1</v>
      </c>
      <c r="AG164" s="9">
        <v>0</v>
      </c>
      <c r="AH164" s="9">
        <v>1</v>
      </c>
      <c r="AI164" s="9">
        <v>0</v>
      </c>
      <c r="AJ164" s="12">
        <v>43054</v>
      </c>
      <c r="AK164" s="9">
        <v>2</v>
      </c>
      <c r="AL164" s="12">
        <v>44196</v>
      </c>
      <c r="AM164" s="9">
        <v>3</v>
      </c>
      <c r="AN164" s="12">
        <v>43179</v>
      </c>
      <c r="AO164" s="12"/>
      <c r="AP164" s="12"/>
      <c r="AQ164" s="9">
        <v>2</v>
      </c>
      <c r="AR164" s="9">
        <f t="shared" si="54"/>
        <v>0</v>
      </c>
      <c r="AS164" s="9">
        <v>2</v>
      </c>
      <c r="AT164" s="9"/>
      <c r="AU164" s="9">
        <v>1</v>
      </c>
      <c r="AV164" s="9">
        <f t="shared" si="55"/>
        <v>0</v>
      </c>
      <c r="AW164" s="12">
        <v>44249</v>
      </c>
      <c r="AX164" s="9"/>
      <c r="AY164" s="9"/>
      <c r="AZ164" s="9"/>
      <c r="BA164" s="9">
        <v>3887.832763671875</v>
      </c>
      <c r="BB164" s="9">
        <v>1169.6912841796875</v>
      </c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10" t="s">
        <v>401</v>
      </c>
      <c r="CA164" s="9"/>
      <c r="CB164" s="9"/>
      <c r="CC164" s="10">
        <f t="shared" si="56"/>
        <v>3.3238110057376709</v>
      </c>
      <c r="CF164" s="10">
        <f t="shared" si="50"/>
        <v>1</v>
      </c>
      <c r="CG164" s="10">
        <f t="shared" si="51"/>
        <v>0</v>
      </c>
      <c r="CH164" s="10">
        <f t="shared" si="52"/>
        <v>37</v>
      </c>
      <c r="CI164" s="9">
        <f t="shared" si="58"/>
        <v>0</v>
      </c>
      <c r="CJ164" s="10">
        <f t="shared" si="53"/>
        <v>39</v>
      </c>
      <c r="CK164" s="10" t="b">
        <f t="shared" si="59"/>
        <v>1</v>
      </c>
      <c r="CL164" s="10" t="b">
        <f t="shared" si="60"/>
        <v>1</v>
      </c>
      <c r="CM164" s="10" t="b">
        <f t="shared" si="61"/>
        <v>1</v>
      </c>
      <c r="CN164" s="9">
        <f t="shared" si="62"/>
        <v>0</v>
      </c>
      <c r="CO164" s="10">
        <f t="shared" si="68"/>
        <v>39</v>
      </c>
      <c r="CP164" s="10" t="b">
        <f t="shared" si="63"/>
        <v>1</v>
      </c>
      <c r="CQ164" s="10" t="b">
        <f t="shared" si="64"/>
        <v>1</v>
      </c>
      <c r="CR164" s="10" cm="1">
        <f t="array" ref="CR164">_xlfn.IFS(AND($CI164=0, CK164=FALSE), NA(), AND($CI164=1, CK164=FALSE), 0, CK164=TRUE, 1)</f>
        <v>1</v>
      </c>
      <c r="CS164" s="10" cm="1">
        <f t="array" ref="CS164">_xlfn.IFS(AND($CI164=0, CL164=FALSE), NA(), AND($CI164=1, CL164=FALSE), 0, CL164=TRUE, 1)</f>
        <v>1</v>
      </c>
      <c r="CT164" s="10" cm="1">
        <f t="array" ref="CT164">_xlfn.IFS(AND($CI164=0, CM164=FALSE), NA(), AND($CI164=1, CM164=FALSE), 0, CM164=TRUE, 1)</f>
        <v>1</v>
      </c>
      <c r="CU164" s="10" cm="1">
        <f t="array" ref="CU164">_xlfn.IFS(AND($CN164=0, CP164=FALSE), NA(), AND($CN164=1, CP164=FALSE), 0, CP164=TRUE, 1)</f>
        <v>1</v>
      </c>
      <c r="CV164" s="10" cm="1">
        <f t="array" ref="CV164">_xlfn.IFS(AND($CN164=0, CQ164=FALSE), NA(), AND($CN164=1, CQ164=FALSE), 0, CQ164=TRUE, 1)</f>
        <v>1</v>
      </c>
    </row>
    <row r="165" spans="1:100" ht="15.75" x14ac:dyDescent="0.25">
      <c r="A165" s="8">
        <v>164</v>
      </c>
      <c r="B165" s="9">
        <v>11</v>
      </c>
      <c r="C165" s="10" t="s">
        <v>3</v>
      </c>
      <c r="D165" s="11" t="s">
        <v>48</v>
      </c>
      <c r="E165" s="12">
        <v>22599</v>
      </c>
      <c r="F165" s="13">
        <v>1</v>
      </c>
      <c r="G165" s="9">
        <v>49.787815093994141</v>
      </c>
      <c r="H165" s="12">
        <v>40784</v>
      </c>
      <c r="I165" s="9">
        <v>1</v>
      </c>
      <c r="J165" s="12">
        <v>40784</v>
      </c>
      <c r="K165" s="9">
        <v>0</v>
      </c>
      <c r="L165" s="9">
        <v>1</v>
      </c>
      <c r="M165" s="10" t="s">
        <v>401</v>
      </c>
      <c r="N165" s="9"/>
      <c r="O165" s="10" t="s">
        <v>401</v>
      </c>
      <c r="P165" s="9"/>
      <c r="Q165" s="10" t="s">
        <v>401</v>
      </c>
      <c r="R165" s="12">
        <v>41352</v>
      </c>
      <c r="S165" s="10" t="s">
        <v>145</v>
      </c>
      <c r="T165" s="9">
        <v>5</v>
      </c>
      <c r="U165" s="10" t="s">
        <v>150</v>
      </c>
      <c r="V165" s="10" t="s">
        <v>401</v>
      </c>
      <c r="W165" s="9"/>
      <c r="X165" s="9"/>
      <c r="Y165" s="9">
        <v>4</v>
      </c>
      <c r="Z165" s="14">
        <v>1</v>
      </c>
      <c r="AA165" s="15">
        <v>15.4</v>
      </c>
      <c r="AB165" s="16">
        <v>84.5</v>
      </c>
      <c r="AC165" s="9"/>
      <c r="AD165" s="9">
        <v>1</v>
      </c>
      <c r="AE165" s="9">
        <v>1</v>
      </c>
      <c r="AF165" s="9">
        <v>1</v>
      </c>
      <c r="AG165" s="9">
        <v>0</v>
      </c>
      <c r="AH165" s="9">
        <v>1</v>
      </c>
      <c r="AI165" s="9">
        <v>0</v>
      </c>
      <c r="AJ165" s="12">
        <v>43259</v>
      </c>
      <c r="AK165" s="9">
        <v>2</v>
      </c>
      <c r="AL165" s="12">
        <v>43399</v>
      </c>
      <c r="AM165" s="9">
        <v>3</v>
      </c>
      <c r="AN165" s="12">
        <v>43367</v>
      </c>
      <c r="AO165" s="12">
        <v>43424</v>
      </c>
      <c r="AP165" s="12">
        <v>43424</v>
      </c>
      <c r="AQ165" s="9">
        <v>1</v>
      </c>
      <c r="AR165" s="9">
        <f t="shared" si="54"/>
        <v>1</v>
      </c>
      <c r="AS165" s="9">
        <v>1</v>
      </c>
      <c r="AT165" s="9">
        <v>2</v>
      </c>
      <c r="AU165" s="9">
        <v>2</v>
      </c>
      <c r="AV165" s="9">
        <f t="shared" si="55"/>
        <v>1</v>
      </c>
      <c r="AW165" s="12">
        <v>44183</v>
      </c>
      <c r="AX165" s="9">
        <v>8440</v>
      </c>
      <c r="AY165" s="9">
        <v>5590</v>
      </c>
      <c r="AZ165" s="9">
        <v>1810</v>
      </c>
      <c r="BA165" s="9">
        <v>5590</v>
      </c>
      <c r="BB165" s="9">
        <v>1809.9996337890625</v>
      </c>
      <c r="BC165" s="9">
        <v>186000</v>
      </c>
      <c r="BD165" s="9">
        <v>740</v>
      </c>
      <c r="BE165" s="9">
        <v>270</v>
      </c>
      <c r="BF165" s="9">
        <v>187</v>
      </c>
      <c r="BG165" s="9">
        <v>8330</v>
      </c>
      <c r="BH165" s="9">
        <v>5180</v>
      </c>
      <c r="BI165" s="9">
        <v>2100</v>
      </c>
      <c r="BJ165" s="9">
        <v>203000</v>
      </c>
      <c r="BK165" s="9">
        <v>670</v>
      </c>
      <c r="BL165" s="9">
        <v>330</v>
      </c>
      <c r="BM165" s="9"/>
      <c r="BN165" s="9">
        <v>7400</v>
      </c>
      <c r="BO165" s="9">
        <v>4850</v>
      </c>
      <c r="BP165" s="9">
        <v>1590</v>
      </c>
      <c r="BQ165" s="9">
        <v>198000</v>
      </c>
      <c r="BR165" s="9">
        <v>620</v>
      </c>
      <c r="BS165" s="9">
        <v>290</v>
      </c>
      <c r="BT165" s="9"/>
      <c r="BU165" s="9">
        <v>8570</v>
      </c>
      <c r="BV165" s="9">
        <v>5900</v>
      </c>
      <c r="BW165" s="9">
        <v>1540</v>
      </c>
      <c r="BX165" s="9">
        <v>187000</v>
      </c>
      <c r="BY165" s="9">
        <v>810</v>
      </c>
      <c r="BZ165" s="10" t="s">
        <v>548</v>
      </c>
      <c r="CA165" s="9">
        <v>290</v>
      </c>
      <c r="CB165" s="9"/>
      <c r="CC165" s="10">
        <f t="shared" si="56"/>
        <v>3.0883984149200434</v>
      </c>
      <c r="CD165" s="10">
        <f t="shared" si="57"/>
        <v>102.76245173079215</v>
      </c>
      <c r="CE165" s="10">
        <f t="shared" ref="CE165:CE178" si="69">BC165*CC165</f>
        <v>574442.10517512809</v>
      </c>
      <c r="CF165" s="10">
        <f t="shared" si="50"/>
        <v>1</v>
      </c>
      <c r="CG165" s="10">
        <f t="shared" si="51"/>
        <v>0</v>
      </c>
      <c r="CH165" s="10">
        <f t="shared" si="52"/>
        <v>4</v>
      </c>
      <c r="CI165" s="9">
        <f t="shared" si="58"/>
        <v>1</v>
      </c>
      <c r="CJ165" s="10">
        <f t="shared" si="53"/>
        <v>30</v>
      </c>
      <c r="CK165" s="10" t="b">
        <f t="shared" si="59"/>
        <v>1</v>
      </c>
      <c r="CL165" s="10" t="b">
        <f t="shared" si="60"/>
        <v>1</v>
      </c>
      <c r="CM165" s="10" t="b">
        <f t="shared" si="61"/>
        <v>1</v>
      </c>
      <c r="CN165" s="9">
        <f t="shared" si="62"/>
        <v>1</v>
      </c>
      <c r="CO165" s="10">
        <f t="shared" ref="CO165:CO173" si="70">(YEAR(AO165)-YEAR(AJ165))*12+MONTH(AO165)-MONTH(AJ165)</f>
        <v>5</v>
      </c>
      <c r="CP165" s="10" t="b">
        <f t="shared" si="63"/>
        <v>1</v>
      </c>
      <c r="CQ165" s="10" t="b">
        <f t="shared" si="64"/>
        <v>0</v>
      </c>
      <c r="CR165" s="10" cm="1">
        <f t="array" ref="CR165">_xlfn.IFS(AND($CI165=0, CK165=FALSE), NA(), AND($CI165=1, CK165=FALSE), 0, CK165=TRUE, 1)</f>
        <v>1</v>
      </c>
      <c r="CS165" s="10" cm="1">
        <f t="array" ref="CS165">_xlfn.IFS(AND($CI165=0, CL165=FALSE), NA(), AND($CI165=1, CL165=FALSE), 0, CL165=TRUE, 1)</f>
        <v>1</v>
      </c>
      <c r="CT165" s="10" cm="1">
        <f t="array" ref="CT165">_xlfn.IFS(AND($CI165=0, CM165=FALSE), NA(), AND($CI165=1, CM165=FALSE), 0, CM165=TRUE, 1)</f>
        <v>1</v>
      </c>
      <c r="CU165" s="10" cm="1">
        <f t="array" ref="CU165">_xlfn.IFS(AND($CN165=0, CP165=FALSE), NA(), AND($CN165=1, CP165=FALSE), 0, CP165=TRUE, 1)</f>
        <v>1</v>
      </c>
      <c r="CV165" s="10" cm="1">
        <f t="array" ref="CV165">_xlfn.IFS(AND($CN165=0, CQ165=FALSE), NA(), AND($CN165=1, CQ165=FALSE), 0, CQ165=TRUE, 1)</f>
        <v>0</v>
      </c>
    </row>
    <row r="166" spans="1:100" ht="15.75" x14ac:dyDescent="0.25">
      <c r="A166" s="8">
        <v>165</v>
      </c>
      <c r="B166" s="9">
        <v>53</v>
      </c>
      <c r="C166" s="10" t="s">
        <v>7</v>
      </c>
      <c r="D166" s="11" t="s">
        <v>86</v>
      </c>
      <c r="E166" s="12">
        <v>16787</v>
      </c>
      <c r="F166" s="13">
        <v>1</v>
      </c>
      <c r="G166" s="9">
        <v>65.76043701171875</v>
      </c>
      <c r="H166" s="12">
        <v>40806</v>
      </c>
      <c r="I166" s="9">
        <v>1</v>
      </c>
      <c r="J166" s="12">
        <v>40806</v>
      </c>
      <c r="K166" s="9">
        <v>0</v>
      </c>
      <c r="L166" s="9">
        <v>1</v>
      </c>
      <c r="M166" s="10" t="s">
        <v>401</v>
      </c>
      <c r="N166" s="9">
        <v>1</v>
      </c>
      <c r="O166" s="10" t="s">
        <v>401</v>
      </c>
      <c r="P166" s="9">
        <v>1</v>
      </c>
      <c r="Q166" s="10" t="s">
        <v>401</v>
      </c>
      <c r="R166" s="12">
        <v>41674</v>
      </c>
      <c r="S166" s="10" t="s">
        <v>146</v>
      </c>
      <c r="T166" s="9">
        <v>1</v>
      </c>
      <c r="U166" s="10" t="s">
        <v>149</v>
      </c>
      <c r="V166" s="10" t="s">
        <v>401</v>
      </c>
      <c r="W166" s="9"/>
      <c r="X166" s="9"/>
      <c r="Y166" s="9">
        <v>4</v>
      </c>
      <c r="Z166" s="19"/>
      <c r="AA166" s="21">
        <v>14.4</v>
      </c>
      <c r="AB166" s="22">
        <v>97</v>
      </c>
      <c r="AC166" s="22">
        <v>15.6</v>
      </c>
      <c r="AD166" s="9">
        <v>1</v>
      </c>
      <c r="AE166" s="9">
        <v>1</v>
      </c>
      <c r="AF166" s="9">
        <v>2</v>
      </c>
      <c r="AG166" s="9">
        <v>1</v>
      </c>
      <c r="AH166" s="9">
        <v>1</v>
      </c>
      <c r="AI166" s="9">
        <v>1</v>
      </c>
      <c r="AJ166" s="12">
        <v>43235</v>
      </c>
      <c r="AK166" s="9">
        <v>2</v>
      </c>
      <c r="AL166" s="12">
        <v>43474</v>
      </c>
      <c r="AM166" s="9">
        <v>4</v>
      </c>
      <c r="AN166" s="12">
        <v>43313</v>
      </c>
      <c r="AO166" s="12">
        <v>43313</v>
      </c>
      <c r="AP166" s="12">
        <v>43487</v>
      </c>
      <c r="AQ166" s="9">
        <v>1</v>
      </c>
      <c r="AR166" s="9">
        <f t="shared" si="54"/>
        <v>1</v>
      </c>
      <c r="AS166" s="9">
        <v>1</v>
      </c>
      <c r="AT166" s="9">
        <v>1</v>
      </c>
      <c r="AU166" s="9">
        <v>2</v>
      </c>
      <c r="AV166" s="9">
        <f t="shared" si="55"/>
        <v>1</v>
      </c>
      <c r="AW166" s="12">
        <v>43518</v>
      </c>
      <c r="AX166" s="9">
        <v>7160</v>
      </c>
      <c r="AY166" s="9">
        <v>5410</v>
      </c>
      <c r="AZ166" s="9">
        <v>1070</v>
      </c>
      <c r="BA166" s="9">
        <v>5410</v>
      </c>
      <c r="BB166" s="9">
        <v>1069.9998779296875</v>
      </c>
      <c r="BC166" s="9">
        <v>195000</v>
      </c>
      <c r="BD166" s="9">
        <v>390</v>
      </c>
      <c r="BE166" s="9">
        <v>240</v>
      </c>
      <c r="BF166" s="9">
        <v>191</v>
      </c>
      <c r="BG166" s="9">
        <v>6560</v>
      </c>
      <c r="BH166" s="9">
        <v>4870</v>
      </c>
      <c r="BI166" s="9">
        <v>940</v>
      </c>
      <c r="BJ166" s="9">
        <v>196000</v>
      </c>
      <c r="BK166" s="9">
        <v>500</v>
      </c>
      <c r="BL166" s="9">
        <v>190</v>
      </c>
      <c r="BM166" s="9">
        <v>188</v>
      </c>
      <c r="BN166" s="9">
        <v>5580</v>
      </c>
      <c r="BO166" s="9">
        <v>4170</v>
      </c>
      <c r="BP166" s="9">
        <v>690</v>
      </c>
      <c r="BQ166" s="9">
        <v>192000</v>
      </c>
      <c r="BR166" s="9">
        <v>510</v>
      </c>
      <c r="BS166" s="9">
        <v>170</v>
      </c>
      <c r="BT166" s="9">
        <v>176</v>
      </c>
      <c r="BU166" s="9">
        <v>5370</v>
      </c>
      <c r="BV166" s="9">
        <v>3820</v>
      </c>
      <c r="BW166" s="9">
        <v>750</v>
      </c>
      <c r="BX166" s="9">
        <v>149000</v>
      </c>
      <c r="BY166" s="9">
        <v>530</v>
      </c>
      <c r="BZ166" s="10" t="s">
        <v>555</v>
      </c>
      <c r="CA166" s="9">
        <v>230</v>
      </c>
      <c r="CB166" s="9">
        <v>191</v>
      </c>
      <c r="CC166" s="10">
        <f t="shared" si="56"/>
        <v>5.0560753431744834</v>
      </c>
      <c r="CD166" s="10">
        <f t="shared" si="57"/>
        <v>182.24301144529099</v>
      </c>
      <c r="CE166" s="10">
        <f t="shared" si="69"/>
        <v>985934.69191902422</v>
      </c>
      <c r="CF166" s="10">
        <f t="shared" si="50"/>
        <v>0</v>
      </c>
      <c r="CG166" s="10">
        <f t="shared" si="51"/>
        <v>0</v>
      </c>
      <c r="CH166" s="10">
        <f t="shared" si="52"/>
        <v>8</v>
      </c>
      <c r="CI166" s="9">
        <f t="shared" si="58"/>
        <v>1</v>
      </c>
      <c r="CJ166" s="10">
        <f t="shared" si="53"/>
        <v>9</v>
      </c>
      <c r="CK166" s="10" t="b">
        <f t="shared" si="59"/>
        <v>1</v>
      </c>
      <c r="CL166" s="10" t="b">
        <f t="shared" si="60"/>
        <v>0</v>
      </c>
      <c r="CM166" s="10" t="b">
        <f t="shared" si="61"/>
        <v>0</v>
      </c>
      <c r="CN166" s="9">
        <f t="shared" si="62"/>
        <v>1</v>
      </c>
      <c r="CO166" s="10">
        <f t="shared" si="70"/>
        <v>3</v>
      </c>
      <c r="CP166" s="10" t="b">
        <f t="shared" si="63"/>
        <v>1</v>
      </c>
      <c r="CQ166" s="10" t="b">
        <f t="shared" si="64"/>
        <v>0</v>
      </c>
      <c r="CR166" s="10" cm="1">
        <f t="array" ref="CR166">_xlfn.IFS(AND($CI166=0, CK166=FALSE), NA(), AND($CI166=1, CK166=FALSE), 0, CK166=TRUE, 1)</f>
        <v>1</v>
      </c>
      <c r="CS166" s="10" cm="1">
        <f t="array" ref="CS166">_xlfn.IFS(AND($CI166=0, CL166=FALSE), NA(), AND($CI166=1, CL166=FALSE), 0, CL166=TRUE, 1)</f>
        <v>0</v>
      </c>
      <c r="CT166" s="10" cm="1">
        <f t="array" ref="CT166">_xlfn.IFS(AND($CI166=0, CM166=FALSE), NA(), AND($CI166=1, CM166=FALSE), 0, CM166=TRUE, 1)</f>
        <v>0</v>
      </c>
      <c r="CU166" s="10" cm="1">
        <f t="array" ref="CU166">_xlfn.IFS(AND($CN166=0, CP166=FALSE), NA(), AND($CN166=1, CP166=FALSE), 0, CP166=TRUE, 1)</f>
        <v>1</v>
      </c>
      <c r="CV166" s="10" cm="1">
        <f t="array" ref="CV166">_xlfn.IFS(AND($CN166=0, CQ166=FALSE), NA(), AND($CN166=1, CQ166=FALSE), 0, CQ166=TRUE, 1)</f>
        <v>0</v>
      </c>
    </row>
    <row r="167" spans="1:100" ht="15.75" x14ac:dyDescent="0.25">
      <c r="A167" s="8">
        <v>166</v>
      </c>
      <c r="B167" s="9">
        <v>152</v>
      </c>
      <c r="C167" s="10" t="s">
        <v>14</v>
      </c>
      <c r="D167" s="11" t="s">
        <v>147</v>
      </c>
      <c r="E167" s="12">
        <v>20255</v>
      </c>
      <c r="F167" s="13">
        <v>1</v>
      </c>
      <c r="G167" s="9">
        <v>56.323066711425781</v>
      </c>
      <c r="H167" s="12">
        <v>40827</v>
      </c>
      <c r="I167" s="9">
        <v>1</v>
      </c>
      <c r="J167" s="12">
        <v>40836</v>
      </c>
      <c r="K167" s="9">
        <v>1</v>
      </c>
      <c r="L167" s="9">
        <v>1</v>
      </c>
      <c r="M167" s="10" t="s">
        <v>401</v>
      </c>
      <c r="N167" s="9">
        <v>2</v>
      </c>
      <c r="O167" s="10" t="s">
        <v>411</v>
      </c>
      <c r="P167" s="9">
        <v>2</v>
      </c>
      <c r="Q167" s="10" t="s">
        <v>411</v>
      </c>
      <c r="R167" s="12">
        <v>40827</v>
      </c>
      <c r="S167" s="10" t="s">
        <v>145</v>
      </c>
      <c r="T167" s="9"/>
      <c r="U167" s="10" t="s">
        <v>401</v>
      </c>
      <c r="V167" s="10" t="s">
        <v>401</v>
      </c>
      <c r="W167" s="9"/>
      <c r="X167" s="9"/>
      <c r="Y167" s="9">
        <v>2</v>
      </c>
      <c r="Z167" s="14">
        <v>1</v>
      </c>
      <c r="AA167" s="15">
        <v>14.7</v>
      </c>
      <c r="AB167" s="16">
        <v>106</v>
      </c>
      <c r="AC167" s="16">
        <v>15</v>
      </c>
      <c r="AD167" s="9">
        <v>2</v>
      </c>
      <c r="AE167" s="9">
        <v>2</v>
      </c>
      <c r="AF167" s="9">
        <v>1</v>
      </c>
      <c r="AG167" s="9">
        <v>0</v>
      </c>
      <c r="AH167" s="9">
        <v>0</v>
      </c>
      <c r="AI167" s="9">
        <v>1</v>
      </c>
      <c r="AJ167" s="12">
        <v>43028</v>
      </c>
      <c r="AK167" s="9">
        <v>2</v>
      </c>
      <c r="AL167" s="12">
        <v>43406</v>
      </c>
      <c r="AM167" s="9">
        <v>3</v>
      </c>
      <c r="AN167" s="12">
        <v>43139</v>
      </c>
      <c r="AO167" s="12">
        <v>43257</v>
      </c>
      <c r="AP167" s="12">
        <v>43378</v>
      </c>
      <c r="AQ167" s="9">
        <v>1</v>
      </c>
      <c r="AR167" s="9">
        <f t="shared" si="54"/>
        <v>1</v>
      </c>
      <c r="AS167" s="9">
        <v>1</v>
      </c>
      <c r="AT167" s="9">
        <v>1</v>
      </c>
      <c r="AU167" s="9">
        <v>2</v>
      </c>
      <c r="AV167" s="9">
        <f t="shared" si="55"/>
        <v>1</v>
      </c>
      <c r="AW167" s="12">
        <v>44209</v>
      </c>
      <c r="AX167" s="9">
        <v>4700</v>
      </c>
      <c r="AY167" s="9">
        <v>2400</v>
      </c>
      <c r="AZ167" s="9">
        <v>1800</v>
      </c>
      <c r="BA167" s="9">
        <v>2400</v>
      </c>
      <c r="BB167" s="9">
        <v>1800.000244140625</v>
      </c>
      <c r="BC167" s="9">
        <v>240000</v>
      </c>
      <c r="BD167" s="9">
        <v>300</v>
      </c>
      <c r="BE167" s="9">
        <v>0</v>
      </c>
      <c r="BF167" s="9">
        <v>243</v>
      </c>
      <c r="BG167" s="9">
        <v>4500</v>
      </c>
      <c r="BH167" s="9">
        <v>2300</v>
      </c>
      <c r="BI167" s="9">
        <v>1300</v>
      </c>
      <c r="BJ167" s="9">
        <v>242000</v>
      </c>
      <c r="BK167" s="9">
        <v>800</v>
      </c>
      <c r="BL167" s="9">
        <v>0</v>
      </c>
      <c r="BM167" s="9">
        <v>214</v>
      </c>
      <c r="BN167" s="9">
        <v>5300</v>
      </c>
      <c r="BO167" s="9">
        <v>3300</v>
      </c>
      <c r="BP167" s="9">
        <v>1100</v>
      </c>
      <c r="BQ167" s="9">
        <v>333000</v>
      </c>
      <c r="BR167" s="9">
        <v>800</v>
      </c>
      <c r="BS167" s="9">
        <v>0</v>
      </c>
      <c r="BT167" s="9">
        <v>209</v>
      </c>
      <c r="BU167" s="9">
        <v>5700</v>
      </c>
      <c r="BV167" s="9">
        <v>3900</v>
      </c>
      <c r="BW167" s="9">
        <v>1100</v>
      </c>
      <c r="BX167" s="9">
        <v>363000</v>
      </c>
      <c r="BY167" s="9">
        <v>600</v>
      </c>
      <c r="BZ167" s="10" t="s">
        <v>525</v>
      </c>
      <c r="CA167" s="9">
        <v>100</v>
      </c>
      <c r="CB167" s="9">
        <v>197</v>
      </c>
      <c r="CC167" s="10">
        <f t="shared" si="56"/>
        <v>1.3333331524884504</v>
      </c>
      <c r="CD167" s="10">
        <f t="shared" si="57"/>
        <v>133.33331524884505</v>
      </c>
      <c r="CE167" s="10">
        <f t="shared" si="69"/>
        <v>319999.95659722813</v>
      </c>
      <c r="CF167" s="10">
        <f t="shared" si="50"/>
        <v>1</v>
      </c>
      <c r="CG167" s="10">
        <f t="shared" si="51"/>
        <v>0</v>
      </c>
      <c r="CH167" s="10">
        <f t="shared" si="52"/>
        <v>13</v>
      </c>
      <c r="CI167" s="9">
        <f t="shared" si="58"/>
        <v>1</v>
      </c>
      <c r="CJ167" s="10">
        <f t="shared" si="53"/>
        <v>39</v>
      </c>
      <c r="CK167" s="10" t="b">
        <f t="shared" si="59"/>
        <v>1</v>
      </c>
      <c r="CL167" s="10" t="b">
        <f t="shared" si="60"/>
        <v>1</v>
      </c>
      <c r="CM167" s="10" t="b">
        <f t="shared" si="61"/>
        <v>1</v>
      </c>
      <c r="CN167" s="9">
        <f t="shared" si="62"/>
        <v>1</v>
      </c>
      <c r="CO167" s="10">
        <f t="shared" si="70"/>
        <v>8</v>
      </c>
      <c r="CP167" s="10" t="b">
        <f t="shared" si="63"/>
        <v>1</v>
      </c>
      <c r="CQ167" s="10" t="b">
        <f t="shared" si="64"/>
        <v>0</v>
      </c>
      <c r="CR167" s="10" cm="1">
        <f t="array" ref="CR167">_xlfn.IFS(AND($CI167=0, CK167=FALSE), NA(), AND($CI167=1, CK167=FALSE), 0, CK167=TRUE, 1)</f>
        <v>1</v>
      </c>
      <c r="CS167" s="10" cm="1">
        <f t="array" ref="CS167">_xlfn.IFS(AND($CI167=0, CL167=FALSE), NA(), AND($CI167=1, CL167=FALSE), 0, CL167=TRUE, 1)</f>
        <v>1</v>
      </c>
      <c r="CT167" s="10" cm="1">
        <f t="array" ref="CT167">_xlfn.IFS(AND($CI167=0, CM167=FALSE), NA(), AND($CI167=1, CM167=FALSE), 0, CM167=TRUE, 1)</f>
        <v>1</v>
      </c>
      <c r="CU167" s="10" cm="1">
        <f t="array" ref="CU167">_xlfn.IFS(AND($CN167=0, CP167=FALSE), NA(), AND($CN167=1, CP167=FALSE), 0, CP167=TRUE, 1)</f>
        <v>1</v>
      </c>
      <c r="CV167" s="10" cm="1">
        <f t="array" ref="CV167">_xlfn.IFS(AND($CN167=0, CQ167=FALSE), NA(), AND($CN167=1, CQ167=FALSE), 0, CQ167=TRUE, 1)</f>
        <v>0</v>
      </c>
    </row>
    <row r="168" spans="1:100" ht="15.75" x14ac:dyDescent="0.25">
      <c r="A168" s="8">
        <v>167</v>
      </c>
      <c r="B168" s="9">
        <v>34</v>
      </c>
      <c r="C168" s="10" t="s">
        <v>6</v>
      </c>
      <c r="D168" s="11" t="s">
        <v>70</v>
      </c>
      <c r="E168" s="12">
        <v>15872</v>
      </c>
      <c r="F168" s="13">
        <v>1</v>
      </c>
      <c r="G168" s="9">
        <v>68.350448608398438</v>
      </c>
      <c r="H168" s="12">
        <v>40837</v>
      </c>
      <c r="I168" s="9">
        <v>1</v>
      </c>
      <c r="J168" s="12">
        <v>40837</v>
      </c>
      <c r="K168" s="9">
        <v>0</v>
      </c>
      <c r="L168" s="9">
        <v>1</v>
      </c>
      <c r="M168" s="10" t="s">
        <v>401</v>
      </c>
      <c r="N168" s="9">
        <v>1</v>
      </c>
      <c r="O168" s="10" t="s">
        <v>401</v>
      </c>
      <c r="P168" s="9">
        <v>1</v>
      </c>
      <c r="Q168" s="10" t="s">
        <v>401</v>
      </c>
      <c r="R168" s="12">
        <v>41394</v>
      </c>
      <c r="S168" s="10" t="s">
        <v>145</v>
      </c>
      <c r="T168" s="9">
        <v>5</v>
      </c>
      <c r="U168" s="10" t="s">
        <v>150</v>
      </c>
      <c r="V168" s="10" t="s">
        <v>401</v>
      </c>
      <c r="W168" s="9"/>
      <c r="X168" s="9"/>
      <c r="Y168" s="9">
        <v>4</v>
      </c>
      <c r="Z168" s="14">
        <v>1</v>
      </c>
      <c r="AA168" s="17">
        <v>10.9</v>
      </c>
      <c r="AB168" s="18" t="s">
        <v>468</v>
      </c>
      <c r="AC168" s="18">
        <v>13</v>
      </c>
      <c r="AD168" s="9">
        <v>2</v>
      </c>
      <c r="AE168" s="9">
        <v>2</v>
      </c>
      <c r="AF168" s="9">
        <v>1</v>
      </c>
      <c r="AG168" s="9">
        <v>0</v>
      </c>
      <c r="AH168" s="9">
        <v>1</v>
      </c>
      <c r="AI168" s="9">
        <v>0</v>
      </c>
      <c r="AJ168" s="12">
        <v>42321</v>
      </c>
      <c r="AK168" s="9">
        <v>2</v>
      </c>
      <c r="AL168" s="12">
        <v>42747</v>
      </c>
      <c r="AM168" s="9">
        <v>2</v>
      </c>
      <c r="AN168" s="12">
        <v>42440</v>
      </c>
      <c r="AO168" s="12">
        <v>42628</v>
      </c>
      <c r="AP168" s="12">
        <v>42809</v>
      </c>
      <c r="AQ168" s="9">
        <v>1</v>
      </c>
      <c r="AR168" s="9">
        <f t="shared" si="54"/>
        <v>1</v>
      </c>
      <c r="AS168" s="9">
        <v>1</v>
      </c>
      <c r="AT168" s="9">
        <v>1</v>
      </c>
      <c r="AU168" s="9">
        <v>2</v>
      </c>
      <c r="AV168" s="9">
        <f t="shared" si="55"/>
        <v>1</v>
      </c>
      <c r="AW168" s="12">
        <v>42809</v>
      </c>
      <c r="AX168" s="9">
        <v>11900</v>
      </c>
      <c r="AY168" s="9">
        <v>8410</v>
      </c>
      <c r="AZ168" s="9">
        <v>2500</v>
      </c>
      <c r="BA168" s="9">
        <v>8410</v>
      </c>
      <c r="BB168" s="9">
        <v>2500.000244140625</v>
      </c>
      <c r="BC168" s="9">
        <v>298000</v>
      </c>
      <c r="BD168" s="9">
        <v>600</v>
      </c>
      <c r="BE168" s="9">
        <v>220</v>
      </c>
      <c r="BF168" s="9">
        <v>518</v>
      </c>
      <c r="BG168" s="9">
        <v>12200</v>
      </c>
      <c r="BH168" s="9">
        <v>9300</v>
      </c>
      <c r="BI168" s="9">
        <v>1450</v>
      </c>
      <c r="BJ168" s="9">
        <v>314000</v>
      </c>
      <c r="BK168" s="9">
        <v>660</v>
      </c>
      <c r="BL168" s="9">
        <v>140</v>
      </c>
      <c r="BM168" s="9">
        <v>389</v>
      </c>
      <c r="BN168" s="9">
        <v>11800</v>
      </c>
      <c r="BO168" s="9">
        <v>7900</v>
      </c>
      <c r="BP168" s="9">
        <v>2600</v>
      </c>
      <c r="BQ168" s="9">
        <v>353000</v>
      </c>
      <c r="BR168" s="9">
        <v>630</v>
      </c>
      <c r="BS168" s="9">
        <v>270</v>
      </c>
      <c r="BT168" s="9">
        <v>412</v>
      </c>
      <c r="BU168" s="9">
        <v>13690</v>
      </c>
      <c r="BV168" s="9">
        <v>10690</v>
      </c>
      <c r="BW168" s="9">
        <v>1740</v>
      </c>
      <c r="BX168" s="9">
        <v>463000</v>
      </c>
      <c r="BY168" s="9">
        <v>680</v>
      </c>
      <c r="BZ168" s="10" t="s">
        <v>526</v>
      </c>
      <c r="CA168" s="9">
        <v>190</v>
      </c>
      <c r="CB168" s="9">
        <v>531</v>
      </c>
      <c r="CC168" s="10">
        <f t="shared" si="56"/>
        <v>3.3639996714844069</v>
      </c>
      <c r="CD168" s="10">
        <f t="shared" si="57"/>
        <v>119.19998835937614</v>
      </c>
      <c r="CE168" s="10">
        <f t="shared" si="69"/>
        <v>1002471.9021023533</v>
      </c>
      <c r="CF168" s="10">
        <f t="shared" si="50"/>
        <v>1</v>
      </c>
      <c r="CG168" s="10">
        <f t="shared" si="51"/>
        <v>1</v>
      </c>
      <c r="CH168" s="10">
        <f t="shared" si="52"/>
        <v>14</v>
      </c>
      <c r="CI168" s="9">
        <f t="shared" si="58"/>
        <v>1</v>
      </c>
      <c r="CJ168" s="10">
        <f t="shared" si="53"/>
        <v>16</v>
      </c>
      <c r="CK168" s="10" t="b">
        <f t="shared" si="59"/>
        <v>1</v>
      </c>
      <c r="CL168" s="10" t="b">
        <f t="shared" si="60"/>
        <v>0</v>
      </c>
      <c r="CM168" s="10" t="b">
        <f t="shared" si="61"/>
        <v>0</v>
      </c>
      <c r="CN168" s="9">
        <f t="shared" si="62"/>
        <v>1</v>
      </c>
      <c r="CO168" s="10">
        <f t="shared" si="70"/>
        <v>10</v>
      </c>
      <c r="CP168" s="10" t="b">
        <f t="shared" si="63"/>
        <v>1</v>
      </c>
      <c r="CQ168" s="10" t="b">
        <f t="shared" si="64"/>
        <v>1</v>
      </c>
      <c r="CR168" s="10" cm="1">
        <f t="array" ref="CR168">_xlfn.IFS(AND($CI168=0, CK168=FALSE), NA(), AND($CI168=1, CK168=FALSE), 0, CK168=TRUE, 1)</f>
        <v>1</v>
      </c>
      <c r="CS168" s="10" cm="1">
        <f t="array" ref="CS168">_xlfn.IFS(AND($CI168=0, CL168=FALSE), NA(), AND($CI168=1, CL168=FALSE), 0, CL168=TRUE, 1)</f>
        <v>0</v>
      </c>
      <c r="CT168" s="10" cm="1">
        <f t="array" ref="CT168">_xlfn.IFS(AND($CI168=0, CM168=FALSE), NA(), AND($CI168=1, CM168=FALSE), 0, CM168=TRUE, 1)</f>
        <v>0</v>
      </c>
      <c r="CU168" s="10" cm="1">
        <f t="array" ref="CU168">_xlfn.IFS(AND($CN168=0, CP168=FALSE), NA(), AND($CN168=1, CP168=FALSE), 0, CP168=TRUE, 1)</f>
        <v>1</v>
      </c>
      <c r="CV168" s="10" cm="1">
        <f t="array" ref="CV168">_xlfn.IFS(AND($CN168=0, CQ168=FALSE), NA(), AND($CN168=1, CQ168=FALSE), 0, CQ168=TRUE, 1)</f>
        <v>1</v>
      </c>
    </row>
    <row r="169" spans="1:100" ht="15.75" x14ac:dyDescent="0.25">
      <c r="A169" s="8">
        <v>168</v>
      </c>
      <c r="B169" s="9">
        <v>401</v>
      </c>
      <c r="C169" s="10" t="s">
        <v>29</v>
      </c>
      <c r="D169" s="11" t="s">
        <v>315</v>
      </c>
      <c r="E169" s="12">
        <v>16304</v>
      </c>
      <c r="F169" s="13">
        <v>1</v>
      </c>
      <c r="G169" s="9">
        <v>67.184120178222656</v>
      </c>
      <c r="H169" s="12">
        <v>40843</v>
      </c>
      <c r="I169" s="9">
        <v>0</v>
      </c>
      <c r="J169" s="12"/>
      <c r="K169" s="9">
        <v>1</v>
      </c>
      <c r="L169" s="9">
        <v>1</v>
      </c>
      <c r="M169" s="10" t="s">
        <v>401</v>
      </c>
      <c r="N169" s="9">
        <v>2</v>
      </c>
      <c r="O169" s="10" t="s">
        <v>409</v>
      </c>
      <c r="P169" s="9">
        <v>2</v>
      </c>
      <c r="Q169" s="10" t="s">
        <v>409</v>
      </c>
      <c r="R169" s="12">
        <v>40843</v>
      </c>
      <c r="S169" s="10" t="s">
        <v>145</v>
      </c>
      <c r="T169" s="9">
        <v>5</v>
      </c>
      <c r="U169" s="10" t="s">
        <v>401</v>
      </c>
      <c r="V169" s="10" t="s">
        <v>401</v>
      </c>
      <c r="W169" s="9"/>
      <c r="X169" s="9"/>
      <c r="Y169" s="9">
        <v>3</v>
      </c>
      <c r="Z169" s="14">
        <v>1</v>
      </c>
      <c r="AA169" s="17">
        <v>11.6</v>
      </c>
      <c r="AB169" s="18">
        <v>84</v>
      </c>
      <c r="AC169" s="18">
        <v>17</v>
      </c>
      <c r="AD169" s="9">
        <v>2</v>
      </c>
      <c r="AE169" s="9">
        <v>2</v>
      </c>
      <c r="AF169" s="9">
        <v>1</v>
      </c>
      <c r="AG169" s="9">
        <v>0</v>
      </c>
      <c r="AH169" s="9">
        <v>1</v>
      </c>
      <c r="AI169" s="9">
        <v>0</v>
      </c>
      <c r="AJ169" s="12">
        <v>42886</v>
      </c>
      <c r="AK169" s="9">
        <v>2</v>
      </c>
      <c r="AL169" s="12">
        <v>42963</v>
      </c>
      <c r="AM169" s="9">
        <v>4</v>
      </c>
      <c r="AN169" s="12">
        <v>42976</v>
      </c>
      <c r="AO169" s="12">
        <v>42976</v>
      </c>
      <c r="AP169" s="12">
        <v>42976</v>
      </c>
      <c r="AQ169" s="9">
        <v>1</v>
      </c>
      <c r="AR169" s="9">
        <f t="shared" si="54"/>
        <v>1</v>
      </c>
      <c r="AS169" s="9">
        <v>1</v>
      </c>
      <c r="AT169" s="9">
        <v>2</v>
      </c>
      <c r="AU169" s="9">
        <v>2</v>
      </c>
      <c r="AV169" s="9">
        <f t="shared" si="55"/>
        <v>1</v>
      </c>
      <c r="AW169" s="12">
        <v>43121</v>
      </c>
      <c r="AX169" s="9">
        <v>6190</v>
      </c>
      <c r="AY169" s="9">
        <v>4520</v>
      </c>
      <c r="AZ169" s="9">
        <v>950</v>
      </c>
      <c r="BA169" s="9">
        <v>4520</v>
      </c>
      <c r="BB169" s="9">
        <v>950</v>
      </c>
      <c r="BC169" s="9">
        <v>303000</v>
      </c>
      <c r="BD169" s="9">
        <v>85</v>
      </c>
      <c r="BE169" s="9">
        <v>1</v>
      </c>
      <c r="BF169" s="9"/>
      <c r="BG169" s="9">
        <v>6050</v>
      </c>
      <c r="BH169" s="9">
        <v>4070</v>
      </c>
      <c r="BI169" s="9">
        <v>1230</v>
      </c>
      <c r="BJ169" s="9">
        <v>390000</v>
      </c>
      <c r="BK169" s="9">
        <v>62</v>
      </c>
      <c r="BL169" s="9">
        <v>12</v>
      </c>
      <c r="BM169" s="9"/>
      <c r="BN169" s="9">
        <v>6250</v>
      </c>
      <c r="BO169" s="9">
        <v>3940</v>
      </c>
      <c r="BP169" s="9">
        <v>1400</v>
      </c>
      <c r="BQ169" s="9">
        <v>395000</v>
      </c>
      <c r="BR169" s="9">
        <v>79</v>
      </c>
      <c r="BS169" s="9">
        <v>11</v>
      </c>
      <c r="BT169" s="9"/>
      <c r="BU169" s="9">
        <v>6980</v>
      </c>
      <c r="BV169" s="9">
        <v>5090</v>
      </c>
      <c r="BW169" s="9">
        <v>1190</v>
      </c>
      <c r="BX169" s="9">
        <v>377000</v>
      </c>
      <c r="BY169" s="9">
        <v>54</v>
      </c>
      <c r="BZ169" s="10" t="s">
        <v>300</v>
      </c>
      <c r="CA169" s="9">
        <v>13</v>
      </c>
      <c r="CB169" s="9"/>
      <c r="CC169" s="10">
        <f t="shared" si="56"/>
        <v>4.757894736842105</v>
      </c>
      <c r="CD169" s="10">
        <f t="shared" si="57"/>
        <v>318.94736842105266</v>
      </c>
      <c r="CE169" s="10">
        <f t="shared" si="69"/>
        <v>1441642.1052631577</v>
      </c>
      <c r="CF169" s="10">
        <f t="shared" si="50"/>
        <v>0</v>
      </c>
      <c r="CG169" s="10">
        <f t="shared" si="51"/>
        <v>0</v>
      </c>
      <c r="CH169" s="10">
        <f t="shared" si="52"/>
        <v>3</v>
      </c>
      <c r="CI169" s="9">
        <f t="shared" si="58"/>
        <v>1</v>
      </c>
      <c r="CJ169" s="10">
        <f t="shared" si="53"/>
        <v>8</v>
      </c>
      <c r="CK169" s="10" t="b">
        <f t="shared" si="59"/>
        <v>1</v>
      </c>
      <c r="CL169" s="10" t="b">
        <f t="shared" si="60"/>
        <v>0</v>
      </c>
      <c r="CM169" s="10" t="b">
        <f t="shared" si="61"/>
        <v>0</v>
      </c>
      <c r="CN169" s="9">
        <f t="shared" si="62"/>
        <v>1</v>
      </c>
      <c r="CO169" s="10">
        <f t="shared" si="70"/>
        <v>3</v>
      </c>
      <c r="CP169" s="10" t="b">
        <f t="shared" si="63"/>
        <v>1</v>
      </c>
      <c r="CQ169" s="10" t="b">
        <f t="shared" si="64"/>
        <v>0</v>
      </c>
      <c r="CR169" s="10" cm="1">
        <f t="array" ref="CR169">_xlfn.IFS(AND($CI169=0, CK169=FALSE), NA(), AND($CI169=1, CK169=FALSE), 0, CK169=TRUE, 1)</f>
        <v>1</v>
      </c>
      <c r="CS169" s="10" cm="1">
        <f t="array" ref="CS169">_xlfn.IFS(AND($CI169=0, CL169=FALSE), NA(), AND($CI169=1, CL169=FALSE), 0, CL169=TRUE, 1)</f>
        <v>0</v>
      </c>
      <c r="CT169" s="10" cm="1">
        <f t="array" ref="CT169">_xlfn.IFS(AND($CI169=0, CM169=FALSE), NA(), AND($CI169=1, CM169=FALSE), 0, CM169=TRUE, 1)</f>
        <v>0</v>
      </c>
      <c r="CU169" s="10" cm="1">
        <f t="array" ref="CU169">_xlfn.IFS(AND($CN169=0, CP169=FALSE), NA(), AND($CN169=1, CP169=FALSE), 0, CP169=TRUE, 1)</f>
        <v>1</v>
      </c>
      <c r="CV169" s="10" cm="1">
        <f t="array" ref="CV169">_xlfn.IFS(AND($CN169=0, CQ169=FALSE), NA(), AND($CN169=1, CQ169=FALSE), 0, CQ169=TRUE, 1)</f>
        <v>0</v>
      </c>
    </row>
    <row r="170" spans="1:100" ht="15.75" x14ac:dyDescent="0.25">
      <c r="A170" s="8">
        <v>169</v>
      </c>
      <c r="B170" s="9">
        <v>17</v>
      </c>
      <c r="C170" s="10" t="s">
        <v>4</v>
      </c>
      <c r="D170" s="11" t="s">
        <v>53</v>
      </c>
      <c r="E170" s="12">
        <v>14372</v>
      </c>
      <c r="F170" s="13">
        <v>1</v>
      </c>
      <c r="G170" s="9">
        <v>72.487335205078125</v>
      </c>
      <c r="H170" s="12">
        <v>40848</v>
      </c>
      <c r="I170" s="9">
        <v>1</v>
      </c>
      <c r="J170" s="12">
        <v>40848</v>
      </c>
      <c r="K170" s="9">
        <v>0</v>
      </c>
      <c r="L170" s="9">
        <v>1</v>
      </c>
      <c r="M170" s="10" t="s">
        <v>401</v>
      </c>
      <c r="N170" s="9">
        <v>1</v>
      </c>
      <c r="O170" s="10" t="s">
        <v>401</v>
      </c>
      <c r="P170" s="9">
        <v>1</v>
      </c>
      <c r="Q170" s="10" t="s">
        <v>401</v>
      </c>
      <c r="R170" s="12">
        <v>41183</v>
      </c>
      <c r="S170" s="10" t="s">
        <v>146</v>
      </c>
      <c r="T170" s="9"/>
      <c r="U170" s="10" t="s">
        <v>401</v>
      </c>
      <c r="V170" s="10" t="s">
        <v>401</v>
      </c>
      <c r="W170" s="9"/>
      <c r="X170" s="9"/>
      <c r="Y170" s="9">
        <v>2</v>
      </c>
      <c r="Z170" s="14">
        <v>2</v>
      </c>
      <c r="AA170" s="17">
        <v>11.1</v>
      </c>
      <c r="AB170" s="18">
        <v>72</v>
      </c>
      <c r="AC170" s="9"/>
      <c r="AD170" s="9">
        <v>2</v>
      </c>
      <c r="AE170" s="9">
        <v>2</v>
      </c>
      <c r="AF170" s="9">
        <v>1</v>
      </c>
      <c r="AG170" s="9">
        <v>1</v>
      </c>
      <c r="AH170" s="9">
        <v>1</v>
      </c>
      <c r="AI170" s="9">
        <v>1</v>
      </c>
      <c r="AJ170" s="12">
        <v>42814</v>
      </c>
      <c r="AK170" s="9">
        <v>2</v>
      </c>
      <c r="AL170" s="12">
        <v>43447</v>
      </c>
      <c r="AM170" s="9">
        <v>3</v>
      </c>
      <c r="AN170" s="12">
        <v>43044</v>
      </c>
      <c r="AO170" s="12">
        <v>43425</v>
      </c>
      <c r="AP170" s="12">
        <v>43425</v>
      </c>
      <c r="AQ170" s="9">
        <v>1</v>
      </c>
      <c r="AR170" s="9">
        <f t="shared" si="54"/>
        <v>1</v>
      </c>
      <c r="AS170" s="9">
        <v>1</v>
      </c>
      <c r="AT170" s="9">
        <v>2</v>
      </c>
      <c r="AU170" s="9">
        <v>2</v>
      </c>
      <c r="AV170" s="9">
        <f t="shared" si="55"/>
        <v>1</v>
      </c>
      <c r="AW170" s="12">
        <v>43917</v>
      </c>
      <c r="AX170" s="9">
        <v>9340</v>
      </c>
      <c r="AY170" s="9">
        <v>7300</v>
      </c>
      <c r="AZ170" s="9">
        <v>1400</v>
      </c>
      <c r="BA170" s="9">
        <v>7300</v>
      </c>
      <c r="BB170" s="9">
        <v>1399.9998779296875</v>
      </c>
      <c r="BC170" s="9">
        <v>186000</v>
      </c>
      <c r="BD170" s="9">
        <v>600</v>
      </c>
      <c r="BE170" s="9">
        <v>100</v>
      </c>
      <c r="BF170" s="9">
        <v>172</v>
      </c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>
        <v>10010</v>
      </c>
      <c r="BV170" s="9">
        <v>7600</v>
      </c>
      <c r="BW170" s="9">
        <v>1900</v>
      </c>
      <c r="BX170" s="9">
        <v>384000</v>
      </c>
      <c r="BY170" s="9">
        <v>500</v>
      </c>
      <c r="BZ170" s="10" t="s">
        <v>525</v>
      </c>
      <c r="CA170" s="9">
        <v>100</v>
      </c>
      <c r="CB170" s="9">
        <v>184</v>
      </c>
      <c r="CC170" s="10">
        <f t="shared" si="56"/>
        <v>5.214286168935387</v>
      </c>
      <c r="CD170" s="10">
        <f t="shared" si="57"/>
        <v>132.85715444136741</v>
      </c>
      <c r="CE170" s="10">
        <f t="shared" si="69"/>
        <v>969857.22742198198</v>
      </c>
      <c r="CF170" s="10">
        <f t="shared" si="50"/>
        <v>1</v>
      </c>
      <c r="CG170" s="10">
        <f t="shared" si="51"/>
        <v>0</v>
      </c>
      <c r="CH170" s="10">
        <f t="shared" si="52"/>
        <v>21</v>
      </c>
      <c r="CI170" s="9">
        <f t="shared" si="58"/>
        <v>1</v>
      </c>
      <c r="CJ170" s="10">
        <f t="shared" si="53"/>
        <v>36</v>
      </c>
      <c r="CK170" s="10" t="b">
        <f t="shared" si="59"/>
        <v>1</v>
      </c>
      <c r="CL170" s="10" t="b">
        <f t="shared" si="60"/>
        <v>1</v>
      </c>
      <c r="CM170" s="10" t="b">
        <f t="shared" si="61"/>
        <v>1</v>
      </c>
      <c r="CN170" s="9">
        <f t="shared" si="62"/>
        <v>1</v>
      </c>
      <c r="CO170" s="10">
        <f t="shared" si="70"/>
        <v>20</v>
      </c>
      <c r="CP170" s="10" t="b">
        <f t="shared" si="63"/>
        <v>1</v>
      </c>
      <c r="CQ170" s="10" t="b">
        <f t="shared" si="64"/>
        <v>1</v>
      </c>
      <c r="CR170" s="10" cm="1">
        <f t="array" ref="CR170">_xlfn.IFS(AND($CI170=0, CK170=FALSE), NA(), AND($CI170=1, CK170=FALSE), 0, CK170=TRUE, 1)</f>
        <v>1</v>
      </c>
      <c r="CS170" s="10" cm="1">
        <f t="array" ref="CS170">_xlfn.IFS(AND($CI170=0, CL170=FALSE), NA(), AND($CI170=1, CL170=FALSE), 0, CL170=TRUE, 1)</f>
        <v>1</v>
      </c>
      <c r="CT170" s="10" cm="1">
        <f t="array" ref="CT170">_xlfn.IFS(AND($CI170=0, CM170=FALSE), NA(), AND($CI170=1, CM170=FALSE), 0, CM170=TRUE, 1)</f>
        <v>1</v>
      </c>
      <c r="CU170" s="10" cm="1">
        <f t="array" ref="CU170">_xlfn.IFS(AND($CN170=0, CP170=FALSE), NA(), AND($CN170=1, CP170=FALSE), 0, CP170=TRUE, 1)</f>
        <v>1</v>
      </c>
      <c r="CV170" s="10" cm="1">
        <f t="array" ref="CV170">_xlfn.IFS(AND($CN170=0, CQ170=FALSE), NA(), AND($CN170=1, CQ170=FALSE), 0, CQ170=TRUE, 1)</f>
        <v>1</v>
      </c>
    </row>
    <row r="171" spans="1:100" ht="15.75" x14ac:dyDescent="0.25">
      <c r="A171" s="8">
        <v>170</v>
      </c>
      <c r="B171" s="9">
        <v>417</v>
      </c>
      <c r="C171" s="10" t="s">
        <v>29</v>
      </c>
      <c r="D171" s="11" t="s">
        <v>329</v>
      </c>
      <c r="E171" s="12">
        <v>19388</v>
      </c>
      <c r="F171" s="13">
        <v>1</v>
      </c>
      <c r="G171" s="9">
        <v>58.757015228271484</v>
      </c>
      <c r="H171" s="12">
        <v>40849</v>
      </c>
      <c r="I171" s="9">
        <v>1</v>
      </c>
      <c r="J171" s="12">
        <v>40849</v>
      </c>
      <c r="K171" s="9">
        <v>0</v>
      </c>
      <c r="L171" s="9">
        <v>1</v>
      </c>
      <c r="M171" s="10" t="s">
        <v>401</v>
      </c>
      <c r="N171" s="9">
        <v>1</v>
      </c>
      <c r="O171" s="10" t="s">
        <v>401</v>
      </c>
      <c r="P171" s="9">
        <v>1</v>
      </c>
      <c r="Q171" s="10" t="s">
        <v>401</v>
      </c>
      <c r="R171" s="12">
        <v>41786</v>
      </c>
      <c r="S171" s="10" t="s">
        <v>145</v>
      </c>
      <c r="T171" s="9"/>
      <c r="U171" s="10" t="s">
        <v>401</v>
      </c>
      <c r="V171" s="10" t="s">
        <v>401</v>
      </c>
      <c r="W171" s="9"/>
      <c r="X171" s="9"/>
      <c r="Y171" s="9">
        <v>2</v>
      </c>
      <c r="Z171" s="14">
        <v>1</v>
      </c>
      <c r="AA171" s="17">
        <v>12.8</v>
      </c>
      <c r="AB171" s="18">
        <v>109</v>
      </c>
      <c r="AC171" s="18"/>
      <c r="AD171" s="9">
        <v>1</v>
      </c>
      <c r="AE171" s="9">
        <v>1</v>
      </c>
      <c r="AF171" s="9">
        <v>1</v>
      </c>
      <c r="AG171" s="9">
        <v>1</v>
      </c>
      <c r="AH171" s="9">
        <v>1</v>
      </c>
      <c r="AI171" s="9">
        <v>1</v>
      </c>
      <c r="AJ171" s="12">
        <v>43172</v>
      </c>
      <c r="AK171" s="9">
        <v>2</v>
      </c>
      <c r="AL171" s="12">
        <v>43223</v>
      </c>
      <c r="AM171" s="9">
        <v>4</v>
      </c>
      <c r="AN171" s="12">
        <v>43237</v>
      </c>
      <c r="AO171" s="12">
        <v>43237</v>
      </c>
      <c r="AP171" s="12">
        <v>43237</v>
      </c>
      <c r="AQ171" s="9">
        <v>1</v>
      </c>
      <c r="AR171" s="9">
        <f t="shared" si="54"/>
        <v>1</v>
      </c>
      <c r="AS171" s="9">
        <v>1</v>
      </c>
      <c r="AT171" s="9">
        <v>2</v>
      </c>
      <c r="AU171" s="9">
        <v>2</v>
      </c>
      <c r="AV171" s="9">
        <f t="shared" si="55"/>
        <v>1</v>
      </c>
      <c r="AW171" s="12">
        <v>43766</v>
      </c>
      <c r="AX171" s="9">
        <v>7010</v>
      </c>
      <c r="AY171" s="9">
        <v>5480</v>
      </c>
      <c r="AZ171" s="9">
        <v>1320</v>
      </c>
      <c r="BA171" s="9">
        <v>5480</v>
      </c>
      <c r="BB171" s="9">
        <v>1320.0001220703125</v>
      </c>
      <c r="BC171" s="9">
        <v>222000</v>
      </c>
      <c r="BD171" s="9">
        <v>420</v>
      </c>
      <c r="BE171" s="9">
        <v>60</v>
      </c>
      <c r="BF171" s="9"/>
      <c r="BG171" s="9">
        <v>10300</v>
      </c>
      <c r="BH171" s="9">
        <v>8500</v>
      </c>
      <c r="BI171" s="9">
        <v>2500</v>
      </c>
      <c r="BJ171" s="9">
        <v>261000</v>
      </c>
      <c r="BK171" s="9">
        <v>170</v>
      </c>
      <c r="BL171" s="9">
        <v>40</v>
      </c>
      <c r="BM171" s="9"/>
      <c r="BN171" s="9">
        <v>9590</v>
      </c>
      <c r="BO171" s="9">
        <v>5230</v>
      </c>
      <c r="BP171" s="9">
        <v>1650</v>
      </c>
      <c r="BQ171" s="9">
        <v>334000</v>
      </c>
      <c r="BR171" s="9">
        <v>400</v>
      </c>
      <c r="BS171" s="9">
        <v>90</v>
      </c>
      <c r="BT171" s="9"/>
      <c r="BU171" s="9">
        <v>9270</v>
      </c>
      <c r="BV171" s="9">
        <v>6350</v>
      </c>
      <c r="BW171" s="9">
        <v>2670</v>
      </c>
      <c r="BX171" s="9">
        <v>339000</v>
      </c>
      <c r="BY171" s="9">
        <v>370</v>
      </c>
      <c r="BZ171" s="10" t="s">
        <v>525</v>
      </c>
      <c r="CA171" s="9">
        <v>100</v>
      </c>
      <c r="CB171" s="9"/>
      <c r="CC171" s="10">
        <f t="shared" si="56"/>
        <v>4.1515147675934054</v>
      </c>
      <c r="CD171" s="10">
        <f t="shared" si="57"/>
        <v>168.18180262878394</v>
      </c>
      <c r="CE171" s="10">
        <f t="shared" si="69"/>
        <v>921636.27840573597</v>
      </c>
      <c r="CF171" s="10">
        <f t="shared" si="50"/>
        <v>0</v>
      </c>
      <c r="CG171" s="10">
        <f t="shared" si="51"/>
        <v>0</v>
      </c>
      <c r="CH171" s="10">
        <f t="shared" si="52"/>
        <v>2</v>
      </c>
      <c r="CI171" s="9">
        <f t="shared" si="58"/>
        <v>1</v>
      </c>
      <c r="CJ171" s="10">
        <f t="shared" si="53"/>
        <v>19</v>
      </c>
      <c r="CK171" s="10" t="b">
        <f t="shared" si="59"/>
        <v>1</v>
      </c>
      <c r="CL171" s="10" t="b">
        <f t="shared" si="60"/>
        <v>1</v>
      </c>
      <c r="CM171" s="10" t="b">
        <f t="shared" si="61"/>
        <v>0</v>
      </c>
      <c r="CN171" s="9">
        <f t="shared" si="62"/>
        <v>1</v>
      </c>
      <c r="CO171" s="10">
        <f t="shared" si="70"/>
        <v>2</v>
      </c>
      <c r="CP171" s="10" t="b">
        <f t="shared" si="63"/>
        <v>0</v>
      </c>
      <c r="CQ171" s="10" t="b">
        <f t="shared" si="64"/>
        <v>0</v>
      </c>
      <c r="CR171" s="10" cm="1">
        <f t="array" ref="CR171">_xlfn.IFS(AND($CI171=0, CK171=FALSE), NA(), AND($CI171=1, CK171=FALSE), 0, CK171=TRUE, 1)</f>
        <v>1</v>
      </c>
      <c r="CS171" s="10" cm="1">
        <f t="array" ref="CS171">_xlfn.IFS(AND($CI171=0, CL171=FALSE), NA(), AND($CI171=1, CL171=FALSE), 0, CL171=TRUE, 1)</f>
        <v>1</v>
      </c>
      <c r="CT171" s="10" cm="1">
        <f t="array" ref="CT171">_xlfn.IFS(AND($CI171=0, CM171=FALSE), NA(), AND($CI171=1, CM171=FALSE), 0, CM171=TRUE, 1)</f>
        <v>0</v>
      </c>
      <c r="CU171" s="10" cm="1">
        <f t="array" ref="CU171">_xlfn.IFS(AND($CN171=0, CP171=FALSE), NA(), AND($CN171=1, CP171=FALSE), 0, CP171=TRUE, 1)</f>
        <v>0</v>
      </c>
      <c r="CV171" s="10" cm="1">
        <f t="array" ref="CV171">_xlfn.IFS(AND($CN171=0, CQ171=FALSE), NA(), AND($CN171=1, CQ171=FALSE), 0, CQ171=TRUE, 1)</f>
        <v>0</v>
      </c>
    </row>
    <row r="172" spans="1:100" ht="15.75" x14ac:dyDescent="0.25">
      <c r="A172" s="8">
        <v>171</v>
      </c>
      <c r="B172" s="9">
        <v>311</v>
      </c>
      <c r="C172" s="10" t="s">
        <v>24</v>
      </c>
      <c r="D172" s="11" t="s">
        <v>181</v>
      </c>
      <c r="E172" s="12"/>
      <c r="F172" s="13">
        <v>1</v>
      </c>
      <c r="G172" s="9">
        <v>55</v>
      </c>
      <c r="H172" s="12">
        <v>40851</v>
      </c>
      <c r="I172" s="9">
        <v>1</v>
      </c>
      <c r="J172" s="12">
        <v>40851</v>
      </c>
      <c r="K172" s="9">
        <v>0</v>
      </c>
      <c r="L172" s="9">
        <v>1</v>
      </c>
      <c r="M172" s="10" t="s">
        <v>401</v>
      </c>
      <c r="N172" s="9"/>
      <c r="O172" s="10" t="s">
        <v>401</v>
      </c>
      <c r="P172" s="9"/>
      <c r="Q172" s="10" t="s">
        <v>401</v>
      </c>
      <c r="R172" s="12">
        <v>41648</v>
      </c>
      <c r="S172" s="10" t="s">
        <v>145</v>
      </c>
      <c r="T172" s="9"/>
      <c r="U172" s="10" t="s">
        <v>401</v>
      </c>
      <c r="V172" s="10" t="s">
        <v>401</v>
      </c>
      <c r="W172" s="9"/>
      <c r="X172" s="9"/>
      <c r="Y172" s="9">
        <v>2</v>
      </c>
      <c r="Z172" s="14">
        <v>1</v>
      </c>
      <c r="AA172" s="21">
        <v>9.9</v>
      </c>
      <c r="AB172" s="22">
        <v>87</v>
      </c>
      <c r="AC172" s="22">
        <v>13</v>
      </c>
      <c r="AD172" s="9">
        <v>3</v>
      </c>
      <c r="AE172" s="9">
        <v>3</v>
      </c>
      <c r="AF172" s="9">
        <v>2</v>
      </c>
      <c r="AG172" s="9">
        <v>1</v>
      </c>
      <c r="AH172" s="9">
        <v>1</v>
      </c>
      <c r="AI172" s="9">
        <v>0</v>
      </c>
      <c r="AJ172" s="12">
        <v>42801</v>
      </c>
      <c r="AK172" s="9">
        <v>2</v>
      </c>
      <c r="AL172" s="12">
        <v>42843</v>
      </c>
      <c r="AM172" s="9">
        <v>4</v>
      </c>
      <c r="AN172" s="12">
        <v>42858</v>
      </c>
      <c r="AO172" s="12">
        <v>42858</v>
      </c>
      <c r="AP172" s="12">
        <v>42858</v>
      </c>
      <c r="AQ172" s="9">
        <v>1</v>
      </c>
      <c r="AR172" s="9">
        <f t="shared" si="54"/>
        <v>1</v>
      </c>
      <c r="AS172" s="9">
        <v>1</v>
      </c>
      <c r="AT172" s="9">
        <v>2</v>
      </c>
      <c r="AU172" s="9">
        <v>1</v>
      </c>
      <c r="AV172" s="9">
        <f t="shared" si="55"/>
        <v>0</v>
      </c>
      <c r="AW172" s="12">
        <v>42858</v>
      </c>
      <c r="AX172" s="9">
        <v>8950</v>
      </c>
      <c r="AY172" s="9">
        <v>7380</v>
      </c>
      <c r="AZ172" s="9">
        <v>840</v>
      </c>
      <c r="BA172" s="9">
        <v>7380</v>
      </c>
      <c r="BB172" s="9">
        <v>839.9998779296875</v>
      </c>
      <c r="BC172" s="9">
        <v>588000</v>
      </c>
      <c r="BD172" s="9">
        <v>520</v>
      </c>
      <c r="BE172" s="9">
        <v>140</v>
      </c>
      <c r="BF172" s="9">
        <v>501</v>
      </c>
      <c r="BG172" s="9">
        <v>8940</v>
      </c>
      <c r="BH172" s="9">
        <v>6600</v>
      </c>
      <c r="BI172" s="9">
        <v>840</v>
      </c>
      <c r="BJ172" s="9">
        <v>374000</v>
      </c>
      <c r="BK172" s="9">
        <v>570</v>
      </c>
      <c r="BL172" s="9">
        <v>90</v>
      </c>
      <c r="BM172" s="9">
        <v>936</v>
      </c>
      <c r="BN172" s="9">
        <v>8300</v>
      </c>
      <c r="BO172" s="9"/>
      <c r="BP172" s="9"/>
      <c r="BQ172" s="9"/>
      <c r="BR172" s="9"/>
      <c r="BS172" s="9"/>
      <c r="BT172" s="9"/>
      <c r="BU172" s="9">
        <v>8100</v>
      </c>
      <c r="BV172" s="9"/>
      <c r="BW172" s="9"/>
      <c r="BX172" s="9"/>
      <c r="BY172" s="9"/>
      <c r="BZ172" s="10" t="s">
        <v>401</v>
      </c>
      <c r="CA172" s="9"/>
      <c r="CB172" s="9"/>
      <c r="CC172" s="10">
        <f t="shared" si="56"/>
        <v>8.7857155624702905</v>
      </c>
      <c r="CD172" s="10">
        <f t="shared" si="57"/>
        <v>700.00010172527516</v>
      </c>
      <c r="CE172" s="10">
        <f t="shared" si="69"/>
        <v>5166000.7507325308</v>
      </c>
      <c r="CF172" s="10">
        <f t="shared" si="50"/>
        <v>0</v>
      </c>
      <c r="CG172" s="10">
        <f t="shared" si="51"/>
        <v>0</v>
      </c>
      <c r="CH172" s="10">
        <f t="shared" si="52"/>
        <v>1</v>
      </c>
      <c r="CI172" s="9">
        <f t="shared" si="58"/>
        <v>0</v>
      </c>
      <c r="CJ172" s="10">
        <f t="shared" si="53"/>
        <v>2</v>
      </c>
      <c r="CK172" s="10" t="b">
        <f t="shared" si="59"/>
        <v>0</v>
      </c>
      <c r="CL172" s="10" t="b">
        <f t="shared" si="60"/>
        <v>0</v>
      </c>
      <c r="CM172" s="10" t="b">
        <f t="shared" si="61"/>
        <v>0</v>
      </c>
      <c r="CN172" s="9">
        <f t="shared" si="62"/>
        <v>1</v>
      </c>
      <c r="CO172" s="10">
        <f t="shared" si="70"/>
        <v>2</v>
      </c>
      <c r="CP172" s="10" t="b">
        <f t="shared" si="63"/>
        <v>0</v>
      </c>
      <c r="CQ172" s="10" t="b">
        <f t="shared" si="64"/>
        <v>0</v>
      </c>
      <c r="CR172" s="10" t="e" cm="1">
        <f t="array" ref="CR172">_xlfn.IFS(AND($CI172=0, CK172=FALSE), NA(), AND($CI172=1, CK172=FALSE), 0, CK172=TRUE, 1)</f>
        <v>#N/A</v>
      </c>
      <c r="CS172" s="10" t="e" cm="1">
        <f t="array" ref="CS172">_xlfn.IFS(AND($CI172=0, CL172=FALSE), NA(), AND($CI172=1, CL172=FALSE), 0, CL172=TRUE, 1)</f>
        <v>#N/A</v>
      </c>
      <c r="CT172" s="10" t="e" cm="1">
        <f t="array" ref="CT172">_xlfn.IFS(AND($CI172=0, CM172=FALSE), NA(), AND($CI172=1, CM172=FALSE), 0, CM172=TRUE, 1)</f>
        <v>#N/A</v>
      </c>
      <c r="CU172" s="10" cm="1">
        <f t="array" ref="CU172">_xlfn.IFS(AND($CN172=0, CP172=FALSE), NA(), AND($CN172=1, CP172=FALSE), 0, CP172=TRUE, 1)</f>
        <v>0</v>
      </c>
      <c r="CV172" s="10" cm="1">
        <f t="array" ref="CV172">_xlfn.IFS(AND($CN172=0, CQ172=FALSE), NA(), AND($CN172=1, CQ172=FALSE), 0, CQ172=TRUE, 1)</f>
        <v>0</v>
      </c>
    </row>
    <row r="173" spans="1:100" ht="15.75" x14ac:dyDescent="0.25">
      <c r="A173" s="8">
        <v>172</v>
      </c>
      <c r="B173" s="9">
        <v>532</v>
      </c>
      <c r="C173" s="10" t="s">
        <v>34</v>
      </c>
      <c r="D173" s="11" t="s">
        <v>387</v>
      </c>
      <c r="E173" s="12">
        <v>15466</v>
      </c>
      <c r="F173" s="13">
        <v>2</v>
      </c>
      <c r="G173" s="9">
        <v>69.500343322753906</v>
      </c>
      <c r="H173" s="12">
        <v>40851</v>
      </c>
      <c r="I173" s="9">
        <v>1</v>
      </c>
      <c r="J173" s="12">
        <v>40851</v>
      </c>
      <c r="K173" s="9">
        <v>0</v>
      </c>
      <c r="L173" s="9">
        <v>2</v>
      </c>
      <c r="M173" s="10" t="s">
        <v>401</v>
      </c>
      <c r="N173" s="9">
        <v>1</v>
      </c>
      <c r="O173" s="10" t="s">
        <v>401</v>
      </c>
      <c r="P173" s="9">
        <v>1</v>
      </c>
      <c r="Q173" s="10" t="s">
        <v>401</v>
      </c>
      <c r="R173" s="12">
        <v>42121</v>
      </c>
      <c r="S173" s="10" t="s">
        <v>145</v>
      </c>
      <c r="T173" s="9"/>
      <c r="U173" s="10" t="s">
        <v>401</v>
      </c>
      <c r="V173" s="10" t="s">
        <v>401</v>
      </c>
      <c r="W173" s="9"/>
      <c r="X173" s="9"/>
      <c r="Y173" s="9">
        <v>2</v>
      </c>
      <c r="Z173" s="14">
        <v>1</v>
      </c>
      <c r="AA173" s="17">
        <v>13.6</v>
      </c>
      <c r="AB173" s="18">
        <v>95</v>
      </c>
      <c r="AC173" s="18">
        <v>15</v>
      </c>
      <c r="AD173" s="9">
        <v>1</v>
      </c>
      <c r="AE173" s="9">
        <v>1</v>
      </c>
      <c r="AF173" s="9">
        <v>1</v>
      </c>
      <c r="AG173" s="9">
        <v>0</v>
      </c>
      <c r="AH173" s="9">
        <v>1</v>
      </c>
      <c r="AI173" s="9">
        <v>0</v>
      </c>
      <c r="AJ173" s="12">
        <v>43056</v>
      </c>
      <c r="AK173" s="9">
        <v>2</v>
      </c>
      <c r="AL173" s="12">
        <v>43201</v>
      </c>
      <c r="AM173" s="9">
        <v>3</v>
      </c>
      <c r="AN173" s="12">
        <v>43137</v>
      </c>
      <c r="AO173" s="12">
        <v>43208</v>
      </c>
      <c r="AP173" s="12">
        <v>43208</v>
      </c>
      <c r="AQ173" s="9">
        <v>1</v>
      </c>
      <c r="AR173" s="9">
        <f t="shared" si="54"/>
        <v>1</v>
      </c>
      <c r="AS173" s="9">
        <v>1</v>
      </c>
      <c r="AT173" s="9">
        <v>2</v>
      </c>
      <c r="AU173" s="9">
        <v>1</v>
      </c>
      <c r="AV173" s="9">
        <f t="shared" si="55"/>
        <v>0</v>
      </c>
      <c r="AW173" s="12">
        <v>44587</v>
      </c>
      <c r="AX173" s="9">
        <v>6000</v>
      </c>
      <c r="AY173" s="9">
        <v>4150</v>
      </c>
      <c r="AZ173" s="9">
        <v>1240</v>
      </c>
      <c r="BA173" s="9">
        <v>4150</v>
      </c>
      <c r="BB173" s="9">
        <v>1240</v>
      </c>
      <c r="BC173" s="9">
        <v>201000</v>
      </c>
      <c r="BD173" s="9">
        <v>520</v>
      </c>
      <c r="BE173" s="9">
        <v>40</v>
      </c>
      <c r="BF173" s="9">
        <v>201</v>
      </c>
      <c r="BG173" s="9">
        <v>4880</v>
      </c>
      <c r="BH173" s="9">
        <v>2730</v>
      </c>
      <c r="BI173" s="9">
        <v>1580</v>
      </c>
      <c r="BJ173" s="9">
        <v>240000</v>
      </c>
      <c r="BK173" s="9">
        <v>470</v>
      </c>
      <c r="BL173" s="9">
        <v>70</v>
      </c>
      <c r="BM173" s="9">
        <v>210</v>
      </c>
      <c r="BN173" s="9">
        <v>5690</v>
      </c>
      <c r="BO173" s="9">
        <v>3720</v>
      </c>
      <c r="BP173" s="9">
        <v>1320</v>
      </c>
      <c r="BQ173" s="9">
        <v>224000</v>
      </c>
      <c r="BR173" s="9">
        <v>550</v>
      </c>
      <c r="BS173" s="9">
        <v>60</v>
      </c>
      <c r="BT173" s="9">
        <v>198</v>
      </c>
      <c r="BU173" s="9">
        <v>4320</v>
      </c>
      <c r="BV173" s="9">
        <v>2720</v>
      </c>
      <c r="BW173" s="9">
        <v>1110</v>
      </c>
      <c r="BX173" s="9">
        <v>220000</v>
      </c>
      <c r="BY173" s="9">
        <v>410</v>
      </c>
      <c r="BZ173" s="10" t="s">
        <v>544</v>
      </c>
      <c r="CA173" s="9">
        <v>60</v>
      </c>
      <c r="CB173" s="9"/>
      <c r="CC173" s="10">
        <f t="shared" si="56"/>
        <v>3.346774193548387</v>
      </c>
      <c r="CD173" s="10">
        <f t="shared" si="57"/>
        <v>162.09677419354838</v>
      </c>
      <c r="CE173" s="10">
        <f t="shared" si="69"/>
        <v>672701.61290322582</v>
      </c>
      <c r="CF173" s="10">
        <f t="shared" si="50"/>
        <v>1</v>
      </c>
      <c r="CG173" s="10">
        <f t="shared" si="51"/>
        <v>0</v>
      </c>
      <c r="CH173" s="10">
        <f t="shared" si="52"/>
        <v>5</v>
      </c>
      <c r="CI173" s="9">
        <f t="shared" si="58"/>
        <v>0</v>
      </c>
      <c r="CJ173" s="10">
        <f t="shared" si="53"/>
        <v>50</v>
      </c>
      <c r="CK173" s="10" t="b">
        <f t="shared" si="59"/>
        <v>1</v>
      </c>
      <c r="CL173" s="10" t="b">
        <f t="shared" si="60"/>
        <v>1</v>
      </c>
      <c r="CM173" s="10" t="b">
        <f t="shared" si="61"/>
        <v>1</v>
      </c>
      <c r="CN173" s="9">
        <f t="shared" si="62"/>
        <v>1</v>
      </c>
      <c r="CO173" s="10">
        <f t="shared" si="70"/>
        <v>5</v>
      </c>
      <c r="CP173" s="10" t="b">
        <f t="shared" si="63"/>
        <v>1</v>
      </c>
      <c r="CQ173" s="10" t="b">
        <f t="shared" si="64"/>
        <v>0</v>
      </c>
      <c r="CR173" s="10" cm="1">
        <f t="array" ref="CR173">_xlfn.IFS(AND($CI173=0, CK173=FALSE), NA(), AND($CI173=1, CK173=FALSE), 0, CK173=TRUE, 1)</f>
        <v>1</v>
      </c>
      <c r="CS173" s="10" cm="1">
        <f t="array" ref="CS173">_xlfn.IFS(AND($CI173=0, CL173=FALSE), NA(), AND($CI173=1, CL173=FALSE), 0, CL173=TRUE, 1)</f>
        <v>1</v>
      </c>
      <c r="CT173" s="10" cm="1">
        <f t="array" ref="CT173">_xlfn.IFS(AND($CI173=0, CM173=FALSE), NA(), AND($CI173=1, CM173=FALSE), 0, CM173=TRUE, 1)</f>
        <v>1</v>
      </c>
      <c r="CU173" s="10" cm="1">
        <f t="array" ref="CU173">_xlfn.IFS(AND($CN173=0, CP173=FALSE), NA(), AND($CN173=1, CP173=FALSE), 0, CP173=TRUE, 1)</f>
        <v>1</v>
      </c>
      <c r="CV173" s="10" cm="1">
        <f t="array" ref="CV173">_xlfn.IFS(AND($CN173=0, CQ173=FALSE), NA(), AND($CN173=1, CQ173=FALSE), 0, CQ173=TRUE, 1)</f>
        <v>0</v>
      </c>
    </row>
    <row r="174" spans="1:100" ht="15.75" x14ac:dyDescent="0.25">
      <c r="A174" s="8">
        <v>173</v>
      </c>
      <c r="B174" s="9">
        <v>456</v>
      </c>
      <c r="C174" s="10" t="s">
        <v>30</v>
      </c>
      <c r="D174" s="11" t="s">
        <v>143</v>
      </c>
      <c r="E174" s="12">
        <v>24613</v>
      </c>
      <c r="F174" s="13">
        <v>1</v>
      </c>
      <c r="G174" s="9">
        <v>44.476387023925781</v>
      </c>
      <c r="H174" s="12">
        <v>40858</v>
      </c>
      <c r="I174" s="9">
        <v>1</v>
      </c>
      <c r="J174" s="12">
        <v>40973</v>
      </c>
      <c r="K174" s="9">
        <v>1</v>
      </c>
      <c r="L174" s="9">
        <v>1</v>
      </c>
      <c r="M174" s="10" t="s">
        <v>401</v>
      </c>
      <c r="N174" s="9">
        <v>2</v>
      </c>
      <c r="O174" s="10" t="s">
        <v>145</v>
      </c>
      <c r="P174" s="9">
        <v>2</v>
      </c>
      <c r="Q174" s="10" t="s">
        <v>145</v>
      </c>
      <c r="R174" s="12">
        <v>40858</v>
      </c>
      <c r="S174" s="10" t="s">
        <v>145</v>
      </c>
      <c r="T174" s="9"/>
      <c r="U174" s="10" t="s">
        <v>401</v>
      </c>
      <c r="V174" s="10" t="s">
        <v>401</v>
      </c>
      <c r="W174" s="9"/>
      <c r="X174" s="9"/>
      <c r="Y174" s="9">
        <v>2</v>
      </c>
      <c r="Z174" s="14">
        <v>1</v>
      </c>
      <c r="AA174" s="15">
        <v>15</v>
      </c>
      <c r="AB174" s="16">
        <v>88</v>
      </c>
      <c r="AC174" s="16">
        <v>12</v>
      </c>
      <c r="AD174" s="9">
        <v>2</v>
      </c>
      <c r="AE174" s="9">
        <v>2</v>
      </c>
      <c r="AF174" s="9">
        <v>1</v>
      </c>
      <c r="AG174" s="9">
        <v>1</v>
      </c>
      <c r="AH174" s="9">
        <v>1</v>
      </c>
      <c r="AI174" s="9">
        <v>0</v>
      </c>
      <c r="AJ174" s="12">
        <v>42529</v>
      </c>
      <c r="AK174" s="9">
        <v>1</v>
      </c>
      <c r="AL174" s="12">
        <v>44956</v>
      </c>
      <c r="AM174" s="9">
        <v>2</v>
      </c>
      <c r="AN174" s="12">
        <v>42684</v>
      </c>
      <c r="AO174" s="12"/>
      <c r="AP174" s="12"/>
      <c r="AQ174" s="9">
        <v>2</v>
      </c>
      <c r="AR174" s="9">
        <f t="shared" si="54"/>
        <v>0</v>
      </c>
      <c r="AS174" s="9">
        <v>2</v>
      </c>
      <c r="AT174" s="9"/>
      <c r="AU174" s="9">
        <v>1</v>
      </c>
      <c r="AV174" s="9">
        <f t="shared" si="55"/>
        <v>0</v>
      </c>
      <c r="AW174" s="12">
        <v>44959</v>
      </c>
      <c r="AX174" s="9">
        <v>4830</v>
      </c>
      <c r="AY174" s="9">
        <v>2470</v>
      </c>
      <c r="AZ174" s="9">
        <v>1500</v>
      </c>
      <c r="BA174" s="9">
        <v>2470</v>
      </c>
      <c r="BB174" s="9">
        <v>1500.0001220703125</v>
      </c>
      <c r="BC174" s="9">
        <v>134000</v>
      </c>
      <c r="BD174" s="9">
        <v>360</v>
      </c>
      <c r="BE174" s="9">
        <v>250</v>
      </c>
      <c r="BF174" s="9">
        <v>150</v>
      </c>
      <c r="BG174" s="9">
        <v>6490</v>
      </c>
      <c r="BH174" s="9">
        <v>4620</v>
      </c>
      <c r="BI174" s="9">
        <v>1230</v>
      </c>
      <c r="BJ174" s="9">
        <v>187000</v>
      </c>
      <c r="BK174" s="9">
        <v>350</v>
      </c>
      <c r="BL174" s="9">
        <v>240</v>
      </c>
      <c r="BM174" s="9">
        <v>180</v>
      </c>
      <c r="BN174" s="9">
        <v>7010</v>
      </c>
      <c r="BO174" s="9">
        <v>4910</v>
      </c>
      <c r="BP174" s="9">
        <v>1250</v>
      </c>
      <c r="BQ174" s="9">
        <v>178000</v>
      </c>
      <c r="BR174" s="9">
        <v>470</v>
      </c>
      <c r="BS174" s="9">
        <v>370</v>
      </c>
      <c r="BT174" s="9">
        <v>211</v>
      </c>
      <c r="BU174" s="9">
        <v>6120</v>
      </c>
      <c r="BV174" s="9">
        <v>3960</v>
      </c>
      <c r="BW174" s="9">
        <v>1400</v>
      </c>
      <c r="BX174" s="9">
        <v>172000</v>
      </c>
      <c r="BY174" s="9">
        <v>510</v>
      </c>
      <c r="BZ174" s="10" t="s">
        <v>564</v>
      </c>
      <c r="CA174" s="9">
        <v>210</v>
      </c>
      <c r="CB174" s="9">
        <v>218</v>
      </c>
      <c r="CC174" s="10">
        <f t="shared" si="56"/>
        <v>1.6466665326606011</v>
      </c>
      <c r="CD174" s="10">
        <f t="shared" si="57"/>
        <v>89.333326063368645</v>
      </c>
      <c r="CE174" s="10">
        <f t="shared" si="69"/>
        <v>220653.31537652056</v>
      </c>
      <c r="CF174" s="10">
        <f t="shared" si="50"/>
        <v>1</v>
      </c>
      <c r="CG174" s="10">
        <f t="shared" si="51"/>
        <v>1</v>
      </c>
      <c r="CH174" s="10">
        <f t="shared" si="52"/>
        <v>79</v>
      </c>
      <c r="CI174" s="9">
        <f t="shared" si="58"/>
        <v>0</v>
      </c>
      <c r="CJ174" s="10">
        <f t="shared" si="53"/>
        <v>80</v>
      </c>
      <c r="CK174" s="10" t="b">
        <f t="shared" si="59"/>
        <v>1</v>
      </c>
      <c r="CL174" s="10" t="b">
        <f t="shared" si="60"/>
        <v>1</v>
      </c>
      <c r="CM174" s="10" t="b">
        <f t="shared" si="61"/>
        <v>1</v>
      </c>
      <c r="CN174" s="9">
        <f t="shared" si="62"/>
        <v>0</v>
      </c>
      <c r="CO174" s="10">
        <f>CJ174</f>
        <v>80</v>
      </c>
      <c r="CP174" s="10" t="b">
        <f t="shared" si="63"/>
        <v>1</v>
      </c>
      <c r="CQ174" s="10" t="b">
        <f t="shared" si="64"/>
        <v>1</v>
      </c>
      <c r="CR174" s="10" cm="1">
        <f t="array" ref="CR174">_xlfn.IFS(AND($CI174=0, CK174=FALSE), NA(), AND($CI174=1, CK174=FALSE), 0, CK174=TRUE, 1)</f>
        <v>1</v>
      </c>
      <c r="CS174" s="10" cm="1">
        <f t="array" ref="CS174">_xlfn.IFS(AND($CI174=0, CL174=FALSE), NA(), AND($CI174=1, CL174=FALSE), 0, CL174=TRUE, 1)</f>
        <v>1</v>
      </c>
      <c r="CT174" s="10" cm="1">
        <f t="array" ref="CT174">_xlfn.IFS(AND($CI174=0, CM174=FALSE), NA(), AND($CI174=1, CM174=FALSE), 0, CM174=TRUE, 1)</f>
        <v>1</v>
      </c>
      <c r="CU174" s="10" cm="1">
        <f t="array" ref="CU174">_xlfn.IFS(AND($CN174=0, CP174=FALSE), NA(), AND($CN174=1, CP174=FALSE), 0, CP174=TRUE, 1)</f>
        <v>1</v>
      </c>
      <c r="CV174" s="10" cm="1">
        <f t="array" ref="CV174">_xlfn.IFS(AND($CN174=0, CQ174=FALSE), NA(), AND($CN174=1, CQ174=FALSE), 0, CQ174=TRUE, 1)</f>
        <v>1</v>
      </c>
    </row>
    <row r="175" spans="1:100" ht="15.75" x14ac:dyDescent="0.25">
      <c r="A175" s="8">
        <v>174</v>
      </c>
      <c r="B175" s="9">
        <v>19</v>
      </c>
      <c r="C175" s="10" t="s">
        <v>4</v>
      </c>
      <c r="D175" s="11" t="s">
        <v>55</v>
      </c>
      <c r="E175" s="12">
        <v>23632</v>
      </c>
      <c r="F175" s="13">
        <v>2</v>
      </c>
      <c r="G175" s="9">
        <v>47.178646087646484</v>
      </c>
      <c r="H175" s="12">
        <v>40864</v>
      </c>
      <c r="I175" s="9">
        <v>1</v>
      </c>
      <c r="J175" s="12">
        <v>40864</v>
      </c>
      <c r="K175" s="9">
        <v>0</v>
      </c>
      <c r="L175" s="9">
        <v>2</v>
      </c>
      <c r="M175" s="10" t="s">
        <v>401</v>
      </c>
      <c r="N175" s="9">
        <v>2</v>
      </c>
      <c r="O175" s="10" t="s">
        <v>410</v>
      </c>
      <c r="P175" s="9">
        <v>2</v>
      </c>
      <c r="Q175" s="10" t="s">
        <v>147</v>
      </c>
      <c r="R175" s="12">
        <v>42710</v>
      </c>
      <c r="S175" s="10" t="s">
        <v>145</v>
      </c>
      <c r="T175" s="9"/>
      <c r="U175" s="10" t="s">
        <v>401</v>
      </c>
      <c r="V175" s="10" t="s">
        <v>401</v>
      </c>
      <c r="W175" s="9"/>
      <c r="X175" s="9"/>
      <c r="Y175" s="9">
        <v>2</v>
      </c>
      <c r="Z175" s="14">
        <v>1</v>
      </c>
      <c r="AA175" s="17">
        <v>11.8</v>
      </c>
      <c r="AB175" s="18">
        <v>89</v>
      </c>
      <c r="AC175" s="9"/>
      <c r="AD175" s="9">
        <v>2</v>
      </c>
      <c r="AE175" s="9">
        <v>2</v>
      </c>
      <c r="AF175" s="9">
        <v>1</v>
      </c>
      <c r="AG175" s="9">
        <v>1</v>
      </c>
      <c r="AH175" s="9">
        <v>1</v>
      </c>
      <c r="AI175" s="9">
        <v>0</v>
      </c>
      <c r="AJ175" s="12">
        <v>43724</v>
      </c>
      <c r="AK175" s="9">
        <v>2</v>
      </c>
      <c r="AL175" s="12">
        <v>43840</v>
      </c>
      <c r="AM175" s="9">
        <v>3</v>
      </c>
      <c r="AN175" s="12">
        <v>43797</v>
      </c>
      <c r="AO175" s="12">
        <v>43840</v>
      </c>
      <c r="AP175" s="12">
        <v>43840</v>
      </c>
      <c r="AQ175" s="9">
        <v>1</v>
      </c>
      <c r="AR175" s="9">
        <f t="shared" si="54"/>
        <v>1</v>
      </c>
      <c r="AS175" s="9">
        <v>1</v>
      </c>
      <c r="AT175" s="9">
        <v>2</v>
      </c>
      <c r="AU175" s="9">
        <v>2</v>
      </c>
      <c r="AV175" s="9">
        <f t="shared" si="55"/>
        <v>1</v>
      </c>
      <c r="AW175" s="12">
        <v>43840</v>
      </c>
      <c r="AX175" s="9">
        <v>4270</v>
      </c>
      <c r="AY175" s="9">
        <v>2000</v>
      </c>
      <c r="AZ175" s="9">
        <v>1600</v>
      </c>
      <c r="BA175" s="9">
        <v>2000</v>
      </c>
      <c r="BB175" s="9">
        <v>1600.0001220703125</v>
      </c>
      <c r="BC175" s="9">
        <v>264000</v>
      </c>
      <c r="BD175" s="9">
        <v>300</v>
      </c>
      <c r="BE175" s="9">
        <v>400</v>
      </c>
      <c r="BF175" s="9"/>
      <c r="BG175" s="9">
        <v>6050</v>
      </c>
      <c r="BH175" s="9">
        <v>4700</v>
      </c>
      <c r="BI175" s="9">
        <v>1100</v>
      </c>
      <c r="BJ175" s="9">
        <v>356000</v>
      </c>
      <c r="BK175" s="9">
        <v>500</v>
      </c>
      <c r="BL175" s="9">
        <v>200</v>
      </c>
      <c r="BM175" s="9"/>
      <c r="BN175" s="9">
        <v>6660</v>
      </c>
      <c r="BO175" s="9">
        <v>4400</v>
      </c>
      <c r="BP175" s="9">
        <v>1400</v>
      </c>
      <c r="BQ175" s="9">
        <v>485000</v>
      </c>
      <c r="BR175" s="9">
        <v>400</v>
      </c>
      <c r="BS175" s="9">
        <v>200</v>
      </c>
      <c r="BT175" s="9"/>
      <c r="BU175" s="9">
        <v>7130</v>
      </c>
      <c r="BV175" s="9">
        <v>4700</v>
      </c>
      <c r="BW175" s="9">
        <v>1300</v>
      </c>
      <c r="BX175" s="9">
        <v>467000</v>
      </c>
      <c r="BY175" s="9">
        <v>400</v>
      </c>
      <c r="BZ175" s="10" t="s">
        <v>565</v>
      </c>
      <c r="CA175" s="9">
        <v>600</v>
      </c>
      <c r="CB175" s="9">
        <v>246</v>
      </c>
      <c r="CC175" s="10">
        <f t="shared" si="56"/>
        <v>1.2499999046325756</v>
      </c>
      <c r="CD175" s="10">
        <f t="shared" si="57"/>
        <v>164.99998741149997</v>
      </c>
      <c r="CE175" s="10">
        <f t="shared" si="69"/>
        <v>329999.97482299997</v>
      </c>
      <c r="CF175" s="10">
        <f t="shared" si="50"/>
        <v>1</v>
      </c>
      <c r="CG175" s="10">
        <f t="shared" si="51"/>
        <v>0</v>
      </c>
      <c r="CH175" s="10">
        <f t="shared" si="52"/>
        <v>4</v>
      </c>
      <c r="CI175" s="9">
        <f t="shared" si="58"/>
        <v>1</v>
      </c>
      <c r="CJ175" s="10">
        <f t="shared" si="53"/>
        <v>4</v>
      </c>
      <c r="CK175" s="10" t="b">
        <f t="shared" si="59"/>
        <v>0</v>
      </c>
      <c r="CL175" s="10" t="b">
        <f t="shared" si="60"/>
        <v>0</v>
      </c>
      <c r="CM175" s="10" t="b">
        <f t="shared" si="61"/>
        <v>0</v>
      </c>
      <c r="CN175" s="9">
        <f t="shared" si="62"/>
        <v>1</v>
      </c>
      <c r="CO175" s="10">
        <f>(YEAR(AO175)-YEAR(AJ175))*12+MONTH(AO175)-MONTH(AJ175)</f>
        <v>4</v>
      </c>
      <c r="CP175" s="10" t="b">
        <f t="shared" si="63"/>
        <v>1</v>
      </c>
      <c r="CQ175" s="10" t="b">
        <f t="shared" si="64"/>
        <v>0</v>
      </c>
      <c r="CR175" s="10" cm="1">
        <f t="array" ref="CR175">_xlfn.IFS(AND($CI175=0, CK175=FALSE), NA(), AND($CI175=1, CK175=FALSE), 0, CK175=TRUE, 1)</f>
        <v>0</v>
      </c>
      <c r="CS175" s="10" cm="1">
        <f t="array" ref="CS175">_xlfn.IFS(AND($CI175=0, CL175=FALSE), NA(), AND($CI175=1, CL175=FALSE), 0, CL175=TRUE, 1)</f>
        <v>0</v>
      </c>
      <c r="CT175" s="10" cm="1">
        <f t="array" ref="CT175">_xlfn.IFS(AND($CI175=0, CM175=FALSE), NA(), AND($CI175=1, CM175=FALSE), 0, CM175=TRUE, 1)</f>
        <v>0</v>
      </c>
      <c r="CU175" s="10" cm="1">
        <f t="array" ref="CU175">_xlfn.IFS(AND($CN175=0, CP175=FALSE), NA(), AND($CN175=1, CP175=FALSE), 0, CP175=TRUE, 1)</f>
        <v>1</v>
      </c>
      <c r="CV175" s="10" cm="1">
        <f t="array" ref="CV175">_xlfn.IFS(AND($CN175=0, CQ175=FALSE), NA(), AND($CN175=1, CQ175=FALSE), 0, CQ175=TRUE, 1)</f>
        <v>0</v>
      </c>
    </row>
    <row r="176" spans="1:100" x14ac:dyDescent="0.25">
      <c r="A176" s="8">
        <v>175</v>
      </c>
      <c r="B176" s="9">
        <v>473</v>
      </c>
      <c r="C176" s="10" t="s">
        <v>31</v>
      </c>
      <c r="D176" s="11" t="s">
        <v>363</v>
      </c>
      <c r="E176" s="12"/>
      <c r="F176" s="13">
        <v>1</v>
      </c>
      <c r="G176" s="9">
        <v>58</v>
      </c>
      <c r="H176" s="12">
        <v>40865</v>
      </c>
      <c r="I176" s="9">
        <v>1</v>
      </c>
      <c r="J176" s="12"/>
      <c r="K176" s="9">
        <v>0</v>
      </c>
      <c r="L176" s="9">
        <v>1</v>
      </c>
      <c r="M176" s="10" t="s">
        <v>401</v>
      </c>
      <c r="N176" s="9">
        <v>1</v>
      </c>
      <c r="O176" s="10" t="s">
        <v>401</v>
      </c>
      <c r="P176" s="9">
        <v>1</v>
      </c>
      <c r="Q176" s="10" t="s">
        <v>401</v>
      </c>
      <c r="R176" s="12">
        <v>41120</v>
      </c>
      <c r="S176" s="10" t="s">
        <v>146</v>
      </c>
      <c r="T176" s="9"/>
      <c r="U176" s="10" t="s">
        <v>401</v>
      </c>
      <c r="V176" s="10" t="s">
        <v>401</v>
      </c>
      <c r="W176" s="9"/>
      <c r="X176" s="9"/>
      <c r="Y176" s="9">
        <v>2</v>
      </c>
      <c r="Z176" s="19">
        <v>2</v>
      </c>
      <c r="AB176" s="9"/>
      <c r="AC176" s="9"/>
      <c r="AD176" s="9">
        <v>1</v>
      </c>
      <c r="AE176" s="9">
        <v>1</v>
      </c>
      <c r="AF176" s="9">
        <v>1</v>
      </c>
      <c r="AG176" s="9">
        <v>1</v>
      </c>
      <c r="AH176" s="9">
        <v>1</v>
      </c>
      <c r="AI176" s="9">
        <v>0</v>
      </c>
      <c r="AJ176" s="12">
        <v>43073</v>
      </c>
      <c r="AK176" s="9">
        <v>1</v>
      </c>
      <c r="AL176" s="12">
        <v>44952</v>
      </c>
      <c r="AM176" s="9">
        <v>2</v>
      </c>
      <c r="AN176" s="12">
        <v>43157</v>
      </c>
      <c r="AO176" s="12"/>
      <c r="AP176" s="12"/>
      <c r="AQ176" s="9">
        <v>2</v>
      </c>
      <c r="AR176" s="9">
        <f t="shared" si="54"/>
        <v>0</v>
      </c>
      <c r="AS176" s="9">
        <v>2</v>
      </c>
      <c r="AT176" s="9"/>
      <c r="AU176" s="9">
        <v>1</v>
      </c>
      <c r="AV176" s="9">
        <f t="shared" si="55"/>
        <v>0</v>
      </c>
      <c r="AW176" s="12">
        <v>44952</v>
      </c>
      <c r="AX176" s="9">
        <v>8470</v>
      </c>
      <c r="AY176" s="9">
        <v>5520</v>
      </c>
      <c r="AZ176" s="9">
        <v>1960</v>
      </c>
      <c r="BA176" s="9">
        <v>5520</v>
      </c>
      <c r="BB176" s="9">
        <v>1960.0003662109375</v>
      </c>
      <c r="BC176" s="9">
        <v>190000</v>
      </c>
      <c r="BD176" s="9">
        <v>780</v>
      </c>
      <c r="BE176" s="9">
        <v>160</v>
      </c>
      <c r="BF176" s="9">
        <v>396</v>
      </c>
      <c r="BG176" s="9">
        <v>5530</v>
      </c>
      <c r="BH176" s="9">
        <v>3460</v>
      </c>
      <c r="BI176" s="9">
        <v>1270</v>
      </c>
      <c r="BJ176" s="9">
        <v>234000</v>
      </c>
      <c r="BK176" s="9">
        <v>540</v>
      </c>
      <c r="BL176" s="9">
        <v>210</v>
      </c>
      <c r="BM176" s="9">
        <v>463</v>
      </c>
      <c r="BN176" s="9">
        <v>5640</v>
      </c>
      <c r="BO176" s="9">
        <v>3020</v>
      </c>
      <c r="BP176" s="9">
        <v>1800</v>
      </c>
      <c r="BQ176" s="9">
        <v>180000</v>
      </c>
      <c r="BR176" s="9">
        <v>590</v>
      </c>
      <c r="BS176" s="9">
        <v>150</v>
      </c>
      <c r="BT176" s="9">
        <v>338</v>
      </c>
      <c r="BU176" s="9">
        <v>6040</v>
      </c>
      <c r="BV176" s="9">
        <v>3430</v>
      </c>
      <c r="BW176" s="9">
        <v>1900</v>
      </c>
      <c r="BX176" s="9">
        <v>238000</v>
      </c>
      <c r="BY176" s="9">
        <v>420</v>
      </c>
      <c r="BZ176" s="10" t="s">
        <v>531</v>
      </c>
      <c r="CA176" s="9">
        <v>270</v>
      </c>
      <c r="CB176" s="9">
        <v>412</v>
      </c>
      <c r="CC176" s="10">
        <f t="shared" si="56"/>
        <v>2.8163260044033742</v>
      </c>
      <c r="CD176" s="10">
        <f t="shared" si="57"/>
        <v>96.938757397942226</v>
      </c>
      <c r="CE176" s="10">
        <f t="shared" si="69"/>
        <v>535101.94083664112</v>
      </c>
      <c r="CF176" s="10">
        <f t="shared" si="50"/>
        <v>1</v>
      </c>
      <c r="CG176" s="10">
        <f t="shared" si="51"/>
        <v>1</v>
      </c>
      <c r="CH176" s="10">
        <f t="shared" si="52"/>
        <v>61</v>
      </c>
      <c r="CI176" s="9">
        <f t="shared" si="58"/>
        <v>0</v>
      </c>
      <c r="CJ176" s="10">
        <f t="shared" si="53"/>
        <v>61</v>
      </c>
      <c r="CK176" s="10" t="b">
        <f t="shared" si="59"/>
        <v>1</v>
      </c>
      <c r="CL176" s="10" t="b">
        <f t="shared" si="60"/>
        <v>1</v>
      </c>
      <c r="CM176" s="10" t="b">
        <f t="shared" si="61"/>
        <v>1</v>
      </c>
      <c r="CN176" s="9">
        <f t="shared" si="62"/>
        <v>0</v>
      </c>
      <c r="CO176" s="10">
        <f>CJ176</f>
        <v>61</v>
      </c>
      <c r="CP176" s="10" t="b">
        <f t="shared" si="63"/>
        <v>1</v>
      </c>
      <c r="CQ176" s="10" t="b">
        <f t="shared" si="64"/>
        <v>1</v>
      </c>
      <c r="CR176" s="10" cm="1">
        <f t="array" ref="CR176">_xlfn.IFS(AND($CI176=0, CK176=FALSE), NA(), AND($CI176=1, CK176=FALSE), 0, CK176=TRUE, 1)</f>
        <v>1</v>
      </c>
      <c r="CS176" s="10" cm="1">
        <f t="array" ref="CS176">_xlfn.IFS(AND($CI176=0, CL176=FALSE), NA(), AND($CI176=1, CL176=FALSE), 0, CL176=TRUE, 1)</f>
        <v>1</v>
      </c>
      <c r="CT176" s="10" cm="1">
        <f t="array" ref="CT176">_xlfn.IFS(AND($CI176=0, CM176=FALSE), NA(), AND($CI176=1, CM176=FALSE), 0, CM176=TRUE, 1)</f>
        <v>1</v>
      </c>
      <c r="CU176" s="10" cm="1">
        <f t="array" ref="CU176">_xlfn.IFS(AND($CN176=0, CP176=FALSE), NA(), AND($CN176=1, CP176=FALSE), 0, CP176=TRUE, 1)</f>
        <v>1</v>
      </c>
      <c r="CV176" s="10" cm="1">
        <f t="array" ref="CV176">_xlfn.IFS(AND($CN176=0, CQ176=FALSE), NA(), AND($CN176=1, CQ176=FALSE), 0, CQ176=TRUE, 1)</f>
        <v>1</v>
      </c>
    </row>
    <row r="177" spans="1:100" ht="15.75" x14ac:dyDescent="0.25">
      <c r="A177" s="8">
        <v>176</v>
      </c>
      <c r="B177" s="9">
        <v>512</v>
      </c>
      <c r="C177" s="10" t="s">
        <v>33</v>
      </c>
      <c r="D177" s="11" t="s">
        <v>64</v>
      </c>
      <c r="E177" s="12">
        <v>16465</v>
      </c>
      <c r="F177" s="13">
        <v>1</v>
      </c>
      <c r="G177" s="9">
        <v>66.819984436035156</v>
      </c>
      <c r="H177" s="12">
        <v>40871</v>
      </c>
      <c r="I177" s="9">
        <v>1</v>
      </c>
      <c r="J177" s="12">
        <v>40892</v>
      </c>
      <c r="K177" s="9">
        <v>1</v>
      </c>
      <c r="L177" s="9">
        <v>1</v>
      </c>
      <c r="M177" s="10" t="s">
        <v>401</v>
      </c>
      <c r="N177" s="9">
        <v>1</v>
      </c>
      <c r="O177" s="10" t="s">
        <v>401</v>
      </c>
      <c r="P177" s="9">
        <v>1</v>
      </c>
      <c r="Q177" s="10" t="s">
        <v>401</v>
      </c>
      <c r="R177" s="12">
        <v>41288</v>
      </c>
      <c r="S177" s="10" t="s">
        <v>145</v>
      </c>
      <c r="T177" s="9"/>
      <c r="U177" s="10" t="s">
        <v>401</v>
      </c>
      <c r="V177" s="10" t="s">
        <v>401</v>
      </c>
      <c r="W177" s="9"/>
      <c r="X177" s="9"/>
      <c r="Y177" s="9">
        <v>2</v>
      </c>
      <c r="Z177" s="14">
        <v>1</v>
      </c>
      <c r="AA177" s="17">
        <v>14</v>
      </c>
      <c r="AB177" s="18">
        <v>105</v>
      </c>
      <c r="AC177" s="18">
        <v>15</v>
      </c>
      <c r="AD177" s="9">
        <v>1</v>
      </c>
      <c r="AE177" s="9">
        <v>1</v>
      </c>
      <c r="AF177" s="9">
        <v>1</v>
      </c>
      <c r="AG177" s="9">
        <v>1</v>
      </c>
      <c r="AH177" s="9">
        <v>1</v>
      </c>
      <c r="AI177" s="9">
        <v>0</v>
      </c>
      <c r="AJ177" s="12">
        <v>43270</v>
      </c>
      <c r="AK177" s="9">
        <v>2</v>
      </c>
      <c r="AL177" s="12">
        <v>44362</v>
      </c>
      <c r="AM177" s="9">
        <v>3</v>
      </c>
      <c r="AN177" s="12">
        <v>43543</v>
      </c>
      <c r="AO177" s="12">
        <v>44362</v>
      </c>
      <c r="AP177" s="12">
        <v>44362</v>
      </c>
      <c r="AQ177" s="9">
        <v>1</v>
      </c>
      <c r="AR177" s="9">
        <f t="shared" si="54"/>
        <v>1</v>
      </c>
      <c r="AS177" s="9">
        <v>1</v>
      </c>
      <c r="AT177" s="9">
        <v>2</v>
      </c>
      <c r="AU177" s="9">
        <v>1</v>
      </c>
      <c r="AV177" s="9">
        <f t="shared" si="55"/>
        <v>0</v>
      </c>
      <c r="AW177" s="12">
        <v>44995</v>
      </c>
      <c r="AX177" s="9">
        <v>2810</v>
      </c>
      <c r="AY177" s="9">
        <v>1380</v>
      </c>
      <c r="AZ177" s="9">
        <v>750</v>
      </c>
      <c r="BA177" s="9">
        <v>1380</v>
      </c>
      <c r="BB177" s="9">
        <v>750.00006103515625</v>
      </c>
      <c r="BC177" s="9">
        <v>148000</v>
      </c>
      <c r="BD177" s="9">
        <v>310</v>
      </c>
      <c r="BE177" s="9">
        <v>350</v>
      </c>
      <c r="BF177" s="9">
        <v>157</v>
      </c>
      <c r="BG177" s="9">
        <v>5900</v>
      </c>
      <c r="BH177" s="9">
        <v>3400</v>
      </c>
      <c r="BI177" s="9">
        <v>900</v>
      </c>
      <c r="BJ177" s="9">
        <v>241000</v>
      </c>
      <c r="BK177" s="9">
        <v>700</v>
      </c>
      <c r="BL177" s="9">
        <v>800</v>
      </c>
      <c r="BM177" s="9">
        <v>162</v>
      </c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10" t="s">
        <v>401</v>
      </c>
      <c r="CA177" s="9"/>
      <c r="CB177" s="9"/>
      <c r="CC177" s="10">
        <f t="shared" si="56"/>
        <v>1.8399998502604289</v>
      </c>
      <c r="CD177" s="10">
        <f t="shared" si="57"/>
        <v>197.33331727430686</v>
      </c>
      <c r="CE177" s="10">
        <f t="shared" si="69"/>
        <v>272319.97783854348</v>
      </c>
      <c r="CF177" s="10">
        <f t="shared" si="50"/>
        <v>1</v>
      </c>
      <c r="CG177" s="10">
        <f t="shared" si="51"/>
        <v>0</v>
      </c>
      <c r="CH177" s="10">
        <f t="shared" si="52"/>
        <v>36</v>
      </c>
      <c r="CI177" s="9">
        <f t="shared" si="58"/>
        <v>0</v>
      </c>
      <c r="CJ177" s="10">
        <f t="shared" si="53"/>
        <v>57</v>
      </c>
      <c r="CK177" s="10" t="b">
        <f t="shared" si="59"/>
        <v>1</v>
      </c>
      <c r="CL177" s="10" t="b">
        <f t="shared" si="60"/>
        <v>1</v>
      </c>
      <c r="CM177" s="10" t="b">
        <f t="shared" si="61"/>
        <v>1</v>
      </c>
      <c r="CN177" s="9">
        <f t="shared" si="62"/>
        <v>1</v>
      </c>
      <c r="CO177" s="10">
        <f>(YEAR(AO177)-YEAR(AJ177))*12+MONTH(AO177)-MONTH(AJ177)</f>
        <v>36</v>
      </c>
      <c r="CP177" s="10" t="b">
        <f t="shared" si="63"/>
        <v>1</v>
      </c>
      <c r="CQ177" s="10" t="b">
        <f t="shared" si="64"/>
        <v>1</v>
      </c>
      <c r="CR177" s="10" cm="1">
        <f t="array" ref="CR177">_xlfn.IFS(AND($CI177=0, CK177=FALSE), NA(), AND($CI177=1, CK177=FALSE), 0, CK177=TRUE, 1)</f>
        <v>1</v>
      </c>
      <c r="CS177" s="10" cm="1">
        <f t="array" ref="CS177">_xlfn.IFS(AND($CI177=0, CL177=FALSE), NA(), AND($CI177=1, CL177=FALSE), 0, CL177=TRUE, 1)</f>
        <v>1</v>
      </c>
      <c r="CT177" s="10" cm="1">
        <f t="array" ref="CT177">_xlfn.IFS(AND($CI177=0, CM177=FALSE), NA(), AND($CI177=1, CM177=FALSE), 0, CM177=TRUE, 1)</f>
        <v>1</v>
      </c>
      <c r="CU177" s="10" cm="1">
        <f t="array" ref="CU177">_xlfn.IFS(AND($CN177=0, CP177=FALSE), NA(), AND($CN177=1, CP177=FALSE), 0, CP177=TRUE, 1)</f>
        <v>1</v>
      </c>
      <c r="CV177" s="10" cm="1">
        <f t="array" ref="CV177">_xlfn.IFS(AND($CN177=0, CQ177=FALSE), NA(), AND($CN177=1, CQ177=FALSE), 0, CQ177=TRUE, 1)</f>
        <v>1</v>
      </c>
    </row>
    <row r="178" spans="1:100" ht="15.75" x14ac:dyDescent="0.25">
      <c r="A178" s="8">
        <v>177</v>
      </c>
      <c r="B178" s="9">
        <v>334</v>
      </c>
      <c r="C178" s="10" t="s">
        <v>26</v>
      </c>
      <c r="D178" s="11" t="s">
        <v>276</v>
      </c>
      <c r="E178" s="12">
        <v>15638</v>
      </c>
      <c r="F178" s="13">
        <v>1</v>
      </c>
      <c r="G178" s="9">
        <v>69.103355407714844</v>
      </c>
      <c r="H178" s="12">
        <v>40878</v>
      </c>
      <c r="I178" s="9">
        <v>1</v>
      </c>
      <c r="J178" s="12">
        <v>40890</v>
      </c>
      <c r="K178" s="9">
        <v>0</v>
      </c>
      <c r="L178" s="9">
        <v>1</v>
      </c>
      <c r="M178" s="10" t="s">
        <v>401</v>
      </c>
      <c r="N178" s="9">
        <v>2</v>
      </c>
      <c r="O178" s="10" t="s">
        <v>147</v>
      </c>
      <c r="P178" s="9">
        <v>2</v>
      </c>
      <c r="Q178" s="10" t="s">
        <v>410</v>
      </c>
      <c r="R178" s="12">
        <v>42339</v>
      </c>
      <c r="S178" s="10" t="s">
        <v>146</v>
      </c>
      <c r="T178" s="9"/>
      <c r="U178" s="10" t="s">
        <v>401</v>
      </c>
      <c r="V178" s="10" t="s">
        <v>401</v>
      </c>
      <c r="W178" s="9"/>
      <c r="X178" s="9"/>
      <c r="Y178" s="9">
        <v>2</v>
      </c>
      <c r="Z178" s="14">
        <v>2</v>
      </c>
      <c r="AA178" s="15"/>
      <c r="AB178" s="16"/>
      <c r="AC178" s="16"/>
      <c r="AD178" s="9">
        <v>2</v>
      </c>
      <c r="AE178" s="9">
        <v>2</v>
      </c>
      <c r="AF178" s="9">
        <v>1</v>
      </c>
      <c r="AG178" s="9">
        <v>0</v>
      </c>
      <c r="AH178" s="9">
        <v>1</v>
      </c>
      <c r="AI178" s="9">
        <v>0</v>
      </c>
      <c r="AJ178" s="12">
        <v>43658</v>
      </c>
      <c r="AK178" s="9">
        <v>2</v>
      </c>
      <c r="AL178" s="12">
        <v>43876</v>
      </c>
      <c r="AM178" s="9">
        <v>3</v>
      </c>
      <c r="AN178" s="12">
        <v>43732</v>
      </c>
      <c r="AO178" s="12">
        <v>43817</v>
      </c>
      <c r="AP178" s="12">
        <v>43896</v>
      </c>
      <c r="AQ178" s="9">
        <v>1</v>
      </c>
      <c r="AR178" s="9">
        <f t="shared" si="54"/>
        <v>1</v>
      </c>
      <c r="AS178" s="9">
        <v>1</v>
      </c>
      <c r="AT178" s="9">
        <v>1</v>
      </c>
      <c r="AU178" s="9">
        <v>1</v>
      </c>
      <c r="AV178" s="9">
        <f t="shared" si="55"/>
        <v>0</v>
      </c>
      <c r="AW178" s="12">
        <v>44116</v>
      </c>
      <c r="AX178" s="9">
        <v>6770</v>
      </c>
      <c r="AY178" s="9">
        <v>3900</v>
      </c>
      <c r="AZ178" s="9">
        <v>2270</v>
      </c>
      <c r="BA178" s="9">
        <v>3900</v>
      </c>
      <c r="BB178" s="9">
        <v>2270.000244140625</v>
      </c>
      <c r="BC178" s="9">
        <v>102000</v>
      </c>
      <c r="BD178" s="9">
        <v>540</v>
      </c>
      <c r="BE178" s="9">
        <v>50</v>
      </c>
      <c r="BF178" s="9">
        <v>306</v>
      </c>
      <c r="BG178" s="9">
        <v>5350</v>
      </c>
      <c r="BH178" s="9">
        <v>2370</v>
      </c>
      <c r="BI178" s="9">
        <v>2280</v>
      </c>
      <c r="BJ178" s="9">
        <v>126000</v>
      </c>
      <c r="BK178" s="9">
        <v>690</v>
      </c>
      <c r="BL178" s="9">
        <v>0</v>
      </c>
      <c r="BM178" s="9"/>
      <c r="BN178" s="9">
        <v>8130</v>
      </c>
      <c r="BO178" s="9">
        <v>4750</v>
      </c>
      <c r="BP178" s="9">
        <v>2710</v>
      </c>
      <c r="BQ178" s="9">
        <v>112000</v>
      </c>
      <c r="BR178" s="9">
        <v>660</v>
      </c>
      <c r="BS178" s="9">
        <v>0</v>
      </c>
      <c r="BT178" s="9"/>
      <c r="BU178" s="9">
        <v>7780</v>
      </c>
      <c r="BV178" s="9">
        <v>4970</v>
      </c>
      <c r="BW178" s="9">
        <v>2110</v>
      </c>
      <c r="BX178" s="9">
        <v>113000</v>
      </c>
      <c r="BY178" s="9">
        <v>680</v>
      </c>
      <c r="BZ178" s="10" t="s">
        <v>442</v>
      </c>
      <c r="CA178" s="9">
        <v>0</v>
      </c>
      <c r="CB178" s="9"/>
      <c r="CC178" s="10">
        <f t="shared" si="56"/>
        <v>1.718061489229689</v>
      </c>
      <c r="CD178" s="10">
        <f t="shared" si="57"/>
        <v>44.933915872161101</v>
      </c>
      <c r="CE178" s="10">
        <f t="shared" si="69"/>
        <v>175242.27190142829</v>
      </c>
      <c r="CF178" s="10">
        <f t="shared" si="50"/>
        <v>1</v>
      </c>
      <c r="CG178" s="10">
        <f t="shared" si="51"/>
        <v>0</v>
      </c>
      <c r="CH178" s="10">
        <f t="shared" si="52"/>
        <v>7</v>
      </c>
      <c r="CI178" s="9">
        <f t="shared" si="58"/>
        <v>0</v>
      </c>
      <c r="CJ178" s="10">
        <f t="shared" si="53"/>
        <v>15</v>
      </c>
      <c r="CK178" s="10" t="b">
        <f t="shared" si="59"/>
        <v>1</v>
      </c>
      <c r="CL178" s="10" t="b">
        <f t="shared" si="60"/>
        <v>0</v>
      </c>
      <c r="CM178" s="10" t="b">
        <f t="shared" si="61"/>
        <v>0</v>
      </c>
      <c r="CN178" s="9">
        <f t="shared" si="62"/>
        <v>1</v>
      </c>
      <c r="CO178" s="10">
        <f>(YEAR(AO178)-YEAR(AJ178))*12+MONTH(AO178)-MONTH(AJ178)</f>
        <v>5</v>
      </c>
      <c r="CP178" s="10" t="b">
        <f t="shared" si="63"/>
        <v>1</v>
      </c>
      <c r="CQ178" s="10" t="b">
        <f t="shared" si="64"/>
        <v>0</v>
      </c>
      <c r="CR178" s="10" cm="1">
        <f t="array" ref="CR178">_xlfn.IFS(AND($CI178=0, CK178=FALSE), NA(), AND($CI178=1, CK178=FALSE), 0, CK178=TRUE, 1)</f>
        <v>1</v>
      </c>
      <c r="CS178" s="10" t="e" cm="1">
        <f t="array" ref="CS178">_xlfn.IFS(AND($CI178=0, CL178=FALSE), NA(), AND($CI178=1, CL178=FALSE), 0, CL178=TRUE, 1)</f>
        <v>#N/A</v>
      </c>
      <c r="CT178" s="10" t="e" cm="1">
        <f t="array" ref="CT178">_xlfn.IFS(AND($CI178=0, CM178=FALSE), NA(), AND($CI178=1, CM178=FALSE), 0, CM178=TRUE, 1)</f>
        <v>#N/A</v>
      </c>
      <c r="CU178" s="10" cm="1">
        <f t="array" ref="CU178">_xlfn.IFS(AND($CN178=0, CP178=FALSE), NA(), AND($CN178=1, CP178=FALSE), 0, CP178=TRUE, 1)</f>
        <v>1</v>
      </c>
      <c r="CV178" s="10" cm="1">
        <f t="array" ref="CV178">_xlfn.IFS(AND($CN178=0, CQ178=FALSE), NA(), AND($CN178=1, CQ178=FALSE), 0, CQ178=TRUE, 1)</f>
        <v>0</v>
      </c>
    </row>
    <row r="179" spans="1:100" ht="15.75" x14ac:dyDescent="0.25">
      <c r="A179" s="8">
        <v>178</v>
      </c>
      <c r="B179" s="9">
        <v>212</v>
      </c>
      <c r="C179" s="10" t="s">
        <v>19</v>
      </c>
      <c r="D179" s="11" t="s">
        <v>212</v>
      </c>
      <c r="E179" s="12">
        <v>15283</v>
      </c>
      <c r="F179" s="13">
        <v>2</v>
      </c>
      <c r="G179" s="9">
        <v>70.08624267578125</v>
      </c>
      <c r="H179" s="12">
        <v>40882</v>
      </c>
      <c r="I179" s="9">
        <v>1</v>
      </c>
      <c r="J179" s="12">
        <v>41158</v>
      </c>
      <c r="K179" s="9">
        <v>0</v>
      </c>
      <c r="L179" s="9">
        <v>1</v>
      </c>
      <c r="M179" s="10" t="s">
        <v>401</v>
      </c>
      <c r="N179" s="9">
        <v>2</v>
      </c>
      <c r="O179" s="10" t="s">
        <v>145</v>
      </c>
      <c r="P179" s="9">
        <v>2</v>
      </c>
      <c r="Q179" s="10" t="s">
        <v>145</v>
      </c>
      <c r="R179" s="12">
        <v>40882</v>
      </c>
      <c r="S179" s="10" t="s">
        <v>145</v>
      </c>
      <c r="T179" s="9">
        <v>4</v>
      </c>
      <c r="U179" s="10" t="s">
        <v>401</v>
      </c>
      <c r="V179" s="10" t="s">
        <v>401</v>
      </c>
      <c r="W179" s="9"/>
      <c r="X179" s="9"/>
      <c r="Y179" s="9">
        <v>3</v>
      </c>
      <c r="Z179" s="14">
        <v>1</v>
      </c>
      <c r="AA179" s="34"/>
      <c r="AB179" s="14"/>
      <c r="AC179" s="14"/>
      <c r="AD179" s="9">
        <v>2</v>
      </c>
      <c r="AE179" s="9">
        <v>2</v>
      </c>
      <c r="AF179" s="9">
        <v>1</v>
      </c>
      <c r="AG179" s="9">
        <v>1</v>
      </c>
      <c r="AH179" s="9">
        <v>1</v>
      </c>
      <c r="AI179" s="9">
        <v>0</v>
      </c>
      <c r="AJ179" s="12">
        <v>43479</v>
      </c>
      <c r="AK179" s="9">
        <v>2</v>
      </c>
      <c r="AL179" s="12">
        <v>43584</v>
      </c>
      <c r="AM179" s="9">
        <v>4</v>
      </c>
      <c r="AN179" s="12">
        <v>43542</v>
      </c>
      <c r="AO179" s="12">
        <v>43542</v>
      </c>
      <c r="AP179" s="12">
        <v>43584</v>
      </c>
      <c r="AQ179" s="9">
        <v>1</v>
      </c>
      <c r="AR179" s="9">
        <f t="shared" si="54"/>
        <v>1</v>
      </c>
      <c r="AS179" s="9">
        <v>1</v>
      </c>
      <c r="AT179" s="9">
        <v>1</v>
      </c>
      <c r="AU179" s="9">
        <v>2</v>
      </c>
      <c r="AV179" s="9">
        <f t="shared" si="55"/>
        <v>1</v>
      </c>
      <c r="AW179" s="12">
        <v>43725</v>
      </c>
      <c r="AX179" s="9"/>
      <c r="AY179" s="9"/>
      <c r="AZ179" s="9"/>
      <c r="BA179" s="9">
        <v>4564.15576171875</v>
      </c>
      <c r="BB179" s="9">
        <v>1570.3870849609375</v>
      </c>
      <c r="BC179" s="9"/>
      <c r="BD179" s="9"/>
      <c r="BE179" s="9"/>
      <c r="BF179" s="9"/>
      <c r="BG179" s="9">
        <v>5760</v>
      </c>
      <c r="BH179" s="9">
        <v>3300</v>
      </c>
      <c r="BI179" s="9">
        <v>1500</v>
      </c>
      <c r="BJ179" s="9">
        <v>383000</v>
      </c>
      <c r="BK179" s="9">
        <v>500</v>
      </c>
      <c r="BL179" s="9">
        <v>100</v>
      </c>
      <c r="BM179" s="9">
        <v>542</v>
      </c>
      <c r="BN179" s="9">
        <v>7350</v>
      </c>
      <c r="BO179" s="9">
        <v>4600</v>
      </c>
      <c r="BP179" s="9">
        <v>1500</v>
      </c>
      <c r="BQ179" s="9">
        <v>261000</v>
      </c>
      <c r="BR179" s="9">
        <v>700</v>
      </c>
      <c r="BS179" s="9">
        <v>300</v>
      </c>
      <c r="BT179" s="9">
        <v>555</v>
      </c>
      <c r="BU179" s="9">
        <v>7220</v>
      </c>
      <c r="BV179" s="9">
        <v>4600</v>
      </c>
      <c r="BW179" s="9">
        <v>1500</v>
      </c>
      <c r="BX179" s="9">
        <v>297000</v>
      </c>
      <c r="BY179" s="9">
        <v>600</v>
      </c>
      <c r="BZ179" s="10" t="s">
        <v>525</v>
      </c>
      <c r="CA179" s="9">
        <v>100</v>
      </c>
      <c r="CB179" s="9">
        <v>557</v>
      </c>
      <c r="CC179" s="10">
        <f t="shared" si="56"/>
        <v>2.9063890077982149</v>
      </c>
      <c r="CF179" s="10">
        <f t="shared" si="50"/>
        <v>0</v>
      </c>
      <c r="CG179" s="10">
        <f t="shared" si="51"/>
        <v>0</v>
      </c>
      <c r="CH179" s="10">
        <f t="shared" si="52"/>
        <v>3</v>
      </c>
      <c r="CI179" s="9">
        <f t="shared" si="58"/>
        <v>1</v>
      </c>
      <c r="CJ179" s="10">
        <f t="shared" si="53"/>
        <v>8</v>
      </c>
      <c r="CK179" s="10" t="b">
        <f t="shared" si="59"/>
        <v>1</v>
      </c>
      <c r="CL179" s="10" t="b">
        <f t="shared" si="60"/>
        <v>0</v>
      </c>
      <c r="CM179" s="10" t="b">
        <f t="shared" si="61"/>
        <v>0</v>
      </c>
      <c r="CN179" s="9">
        <f t="shared" si="62"/>
        <v>1</v>
      </c>
      <c r="CO179" s="10">
        <f>(YEAR(AO179)-YEAR(AJ179))*12+MONTH(AO179)-MONTH(AJ179)</f>
        <v>2</v>
      </c>
      <c r="CP179" s="10" t="b">
        <f t="shared" si="63"/>
        <v>0</v>
      </c>
      <c r="CQ179" s="10" t="b">
        <f t="shared" si="64"/>
        <v>0</v>
      </c>
      <c r="CR179" s="10" cm="1">
        <f t="array" ref="CR179">_xlfn.IFS(AND($CI179=0, CK179=FALSE), NA(), AND($CI179=1, CK179=FALSE), 0, CK179=TRUE, 1)</f>
        <v>1</v>
      </c>
      <c r="CS179" s="10" cm="1">
        <f t="array" ref="CS179">_xlfn.IFS(AND($CI179=0, CL179=FALSE), NA(), AND($CI179=1, CL179=FALSE), 0, CL179=TRUE, 1)</f>
        <v>0</v>
      </c>
      <c r="CT179" s="10" cm="1">
        <f t="array" ref="CT179">_xlfn.IFS(AND($CI179=0, CM179=FALSE), NA(), AND($CI179=1, CM179=FALSE), 0, CM179=TRUE, 1)</f>
        <v>0</v>
      </c>
      <c r="CU179" s="10" cm="1">
        <f t="array" ref="CU179">_xlfn.IFS(AND($CN179=0, CP179=FALSE), NA(), AND($CN179=1, CP179=FALSE), 0, CP179=TRUE, 1)</f>
        <v>0</v>
      </c>
      <c r="CV179" s="10" cm="1">
        <f t="array" ref="CV179">_xlfn.IFS(AND($CN179=0, CQ179=FALSE), NA(), AND($CN179=1, CQ179=FALSE), 0, CQ179=TRUE, 1)</f>
        <v>0</v>
      </c>
    </row>
    <row r="180" spans="1:100" ht="15.75" x14ac:dyDescent="0.25">
      <c r="A180" s="8">
        <v>179</v>
      </c>
      <c r="B180" s="9">
        <v>507</v>
      </c>
      <c r="C180" s="10" t="s">
        <v>33</v>
      </c>
      <c r="D180" s="11" t="s">
        <v>378</v>
      </c>
      <c r="E180" s="12">
        <v>19314</v>
      </c>
      <c r="F180" s="13">
        <v>1</v>
      </c>
      <c r="G180" s="9">
        <v>59.230663299560547</v>
      </c>
      <c r="H180" s="12">
        <v>40948</v>
      </c>
      <c r="I180" s="9">
        <v>1</v>
      </c>
      <c r="J180" s="12">
        <v>40968</v>
      </c>
      <c r="K180" s="9">
        <v>0</v>
      </c>
      <c r="L180" s="9">
        <v>1</v>
      </c>
      <c r="M180" s="10" t="s">
        <v>401</v>
      </c>
      <c r="N180" s="9">
        <v>1</v>
      </c>
      <c r="O180" s="10" t="s">
        <v>442</v>
      </c>
      <c r="P180" s="9">
        <v>1</v>
      </c>
      <c r="Q180" s="10" t="s">
        <v>442</v>
      </c>
      <c r="R180" s="12">
        <v>41284</v>
      </c>
      <c r="S180" s="10" t="s">
        <v>145</v>
      </c>
      <c r="T180" s="9">
        <v>6</v>
      </c>
      <c r="U180" s="10" t="s">
        <v>147</v>
      </c>
      <c r="V180" s="10" t="s">
        <v>401</v>
      </c>
      <c r="W180" s="9"/>
      <c r="X180" s="9"/>
      <c r="Y180" s="9">
        <v>4</v>
      </c>
      <c r="Z180" s="14">
        <v>1</v>
      </c>
      <c r="AA180" s="15"/>
      <c r="AB180" s="16"/>
      <c r="AC180" s="16"/>
      <c r="AD180" s="9">
        <v>1</v>
      </c>
      <c r="AE180" s="9">
        <v>1</v>
      </c>
      <c r="AF180" s="9">
        <v>1</v>
      </c>
      <c r="AG180" s="9">
        <v>1</v>
      </c>
      <c r="AH180" s="9">
        <v>1</v>
      </c>
      <c r="AI180" s="9">
        <v>1</v>
      </c>
      <c r="AJ180" s="12">
        <v>42481</v>
      </c>
      <c r="AK180" s="9">
        <v>2</v>
      </c>
      <c r="AL180" s="12">
        <v>43301</v>
      </c>
      <c r="AM180" s="9">
        <v>2</v>
      </c>
      <c r="AN180" s="12">
        <v>42579</v>
      </c>
      <c r="AO180" s="12">
        <v>42790</v>
      </c>
      <c r="AP180" s="12">
        <v>43307</v>
      </c>
      <c r="AQ180" s="9">
        <v>1</v>
      </c>
      <c r="AR180" s="9">
        <f t="shared" si="54"/>
        <v>1</v>
      </c>
      <c r="AS180" s="9">
        <v>1</v>
      </c>
      <c r="AT180" s="9">
        <v>1</v>
      </c>
      <c r="AU180" s="9">
        <v>1</v>
      </c>
      <c r="AV180" s="9">
        <f t="shared" si="55"/>
        <v>0</v>
      </c>
      <c r="AW180" s="12">
        <v>43308</v>
      </c>
      <c r="AX180" s="9"/>
      <c r="AY180" s="9"/>
      <c r="AZ180" s="9"/>
      <c r="BA180" s="9">
        <v>5090.19482421875</v>
      </c>
      <c r="BB180" s="9">
        <v>1240.3424072265625</v>
      </c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10" t="s">
        <v>401</v>
      </c>
      <c r="CA180" s="9"/>
      <c r="CB180" s="9"/>
      <c r="CC180" s="10">
        <f t="shared" si="56"/>
        <v>4.1038626064560324</v>
      </c>
      <c r="CF180" s="10">
        <f t="shared" si="50"/>
        <v>1</v>
      </c>
      <c r="CG180" s="10">
        <f t="shared" si="51"/>
        <v>1</v>
      </c>
      <c r="CH180" s="10">
        <f t="shared" si="52"/>
        <v>27</v>
      </c>
      <c r="CI180" s="9">
        <f t="shared" si="58"/>
        <v>0</v>
      </c>
      <c r="CJ180" s="10">
        <f t="shared" si="53"/>
        <v>27</v>
      </c>
      <c r="CK180" s="10" t="b">
        <f t="shared" si="59"/>
        <v>1</v>
      </c>
      <c r="CL180" s="10" t="b">
        <f t="shared" si="60"/>
        <v>1</v>
      </c>
      <c r="CM180" s="10" t="b">
        <f t="shared" si="61"/>
        <v>1</v>
      </c>
      <c r="CN180" s="9">
        <f t="shared" si="62"/>
        <v>1</v>
      </c>
      <c r="CO180" s="10">
        <f>(YEAR(AO180)-YEAR(AJ180))*12+MONTH(AO180)-MONTH(AJ180)</f>
        <v>10</v>
      </c>
      <c r="CP180" s="10" t="b">
        <f t="shared" si="63"/>
        <v>1</v>
      </c>
      <c r="CQ180" s="10" t="b">
        <f t="shared" si="64"/>
        <v>1</v>
      </c>
      <c r="CR180" s="10" cm="1">
        <f t="array" ref="CR180">_xlfn.IFS(AND($CI180=0, CK180=FALSE), NA(), AND($CI180=1, CK180=FALSE), 0, CK180=TRUE, 1)</f>
        <v>1</v>
      </c>
      <c r="CS180" s="10" cm="1">
        <f t="array" ref="CS180">_xlfn.IFS(AND($CI180=0, CL180=FALSE), NA(), AND($CI180=1, CL180=FALSE), 0, CL180=TRUE, 1)</f>
        <v>1</v>
      </c>
      <c r="CT180" s="10" cm="1">
        <f t="array" ref="CT180">_xlfn.IFS(AND($CI180=0, CM180=FALSE), NA(), AND($CI180=1, CM180=FALSE), 0, CM180=TRUE, 1)</f>
        <v>1</v>
      </c>
      <c r="CU180" s="10" cm="1">
        <f t="array" ref="CU180">_xlfn.IFS(AND($CN180=0, CP180=FALSE), NA(), AND($CN180=1, CP180=FALSE), 0, CP180=TRUE, 1)</f>
        <v>1</v>
      </c>
      <c r="CV180" s="10" cm="1">
        <f t="array" ref="CV180">_xlfn.IFS(AND($CN180=0, CQ180=FALSE), NA(), AND($CN180=1, CQ180=FALSE), 0, CQ180=TRUE, 1)</f>
        <v>1</v>
      </c>
    </row>
    <row r="181" spans="1:100" ht="15.75" x14ac:dyDescent="0.25">
      <c r="A181" s="8">
        <v>180</v>
      </c>
      <c r="B181" s="9">
        <v>434</v>
      </c>
      <c r="C181" s="10" t="s">
        <v>29</v>
      </c>
      <c r="D181" s="11" t="s">
        <v>150</v>
      </c>
      <c r="E181" s="12">
        <v>15545</v>
      </c>
      <c r="F181" s="13">
        <v>2</v>
      </c>
      <c r="G181" s="9">
        <v>69.563316345214844</v>
      </c>
      <c r="H181" s="12">
        <v>40953</v>
      </c>
      <c r="I181" s="9">
        <v>1</v>
      </c>
      <c r="J181" s="12">
        <v>40996</v>
      </c>
      <c r="K181" s="9">
        <v>1</v>
      </c>
      <c r="L181" s="9">
        <v>1</v>
      </c>
      <c r="M181" s="10" t="s">
        <v>401</v>
      </c>
      <c r="N181" s="9">
        <v>3</v>
      </c>
      <c r="O181" s="10" t="s">
        <v>424</v>
      </c>
      <c r="P181" s="9">
        <v>2</v>
      </c>
      <c r="Q181" s="10" t="s">
        <v>409</v>
      </c>
      <c r="R181" s="12">
        <v>40947</v>
      </c>
      <c r="S181" s="10" t="s">
        <v>511</v>
      </c>
      <c r="T181" s="9">
        <v>1</v>
      </c>
      <c r="U181" s="10" t="s">
        <v>401</v>
      </c>
      <c r="V181" s="10" t="s">
        <v>401</v>
      </c>
      <c r="W181" s="9"/>
      <c r="X181" s="9"/>
      <c r="Y181" s="9">
        <v>3</v>
      </c>
      <c r="Z181" s="11">
        <v>1</v>
      </c>
      <c r="AA181" s="17">
        <v>8.9</v>
      </c>
      <c r="AB181" s="18">
        <v>97</v>
      </c>
      <c r="AC181" s="18">
        <v>17</v>
      </c>
      <c r="AD181" s="9">
        <v>2</v>
      </c>
      <c r="AE181" s="9">
        <v>2</v>
      </c>
      <c r="AF181" s="9">
        <v>1</v>
      </c>
      <c r="AG181" s="9">
        <v>1</v>
      </c>
      <c r="AH181" s="9">
        <v>0</v>
      </c>
      <c r="AI181" s="9">
        <v>0</v>
      </c>
      <c r="AJ181" s="12">
        <v>43235</v>
      </c>
      <c r="AK181" s="9">
        <v>2</v>
      </c>
      <c r="AL181" s="12">
        <v>43879</v>
      </c>
      <c r="AM181" s="9">
        <v>2</v>
      </c>
      <c r="AN181" s="12">
        <v>43347</v>
      </c>
      <c r="AO181" s="12"/>
      <c r="AP181" s="12"/>
      <c r="AQ181" s="9">
        <v>2</v>
      </c>
      <c r="AR181" s="9">
        <f t="shared" si="54"/>
        <v>0</v>
      </c>
      <c r="AS181" s="9">
        <v>2</v>
      </c>
      <c r="AT181" s="9"/>
      <c r="AU181" s="9">
        <v>1</v>
      </c>
      <c r="AV181" s="9">
        <f t="shared" si="55"/>
        <v>0</v>
      </c>
      <c r="AW181" s="12">
        <v>44952</v>
      </c>
      <c r="AX181" s="9">
        <v>9080</v>
      </c>
      <c r="AY181" s="9">
        <v>7160</v>
      </c>
      <c r="AZ181" s="9">
        <v>1210</v>
      </c>
      <c r="BA181" s="9">
        <v>7160</v>
      </c>
      <c r="BB181" s="9">
        <v>1210.000244140625</v>
      </c>
      <c r="BC181" s="9">
        <v>427000</v>
      </c>
      <c r="BD181" s="9">
        <v>600</v>
      </c>
      <c r="BE181" s="9">
        <v>100</v>
      </c>
      <c r="BF181" s="9"/>
      <c r="BG181" s="9">
        <v>5270</v>
      </c>
      <c r="BH181" s="9">
        <v>2960</v>
      </c>
      <c r="BI181" s="9">
        <v>1140</v>
      </c>
      <c r="BJ181" s="9">
        <v>335000</v>
      </c>
      <c r="BK181" s="9">
        <v>106</v>
      </c>
      <c r="BL181" s="9">
        <v>11</v>
      </c>
      <c r="BM181" s="9"/>
      <c r="BN181" s="9">
        <v>5910</v>
      </c>
      <c r="BO181" s="9">
        <v>3240</v>
      </c>
      <c r="BP181" s="9">
        <v>1830</v>
      </c>
      <c r="BQ181" s="9">
        <v>248000</v>
      </c>
      <c r="BR181" s="9">
        <v>630</v>
      </c>
      <c r="BS181" s="9">
        <v>200</v>
      </c>
      <c r="BT181" s="9"/>
      <c r="BU181" s="9">
        <v>8860</v>
      </c>
      <c r="BV181" s="9">
        <v>5020</v>
      </c>
      <c r="BW181" s="9">
        <v>3590</v>
      </c>
      <c r="BX181" s="9">
        <v>242000</v>
      </c>
      <c r="BY181" s="9">
        <v>840</v>
      </c>
      <c r="BZ181" s="10" t="s">
        <v>566</v>
      </c>
      <c r="CA181" s="9">
        <v>280</v>
      </c>
      <c r="CB181" s="9"/>
      <c r="CC181" s="10">
        <f t="shared" si="56"/>
        <v>5.9173541779615313</v>
      </c>
      <c r="CD181" s="10">
        <f t="shared" si="57"/>
        <v>352.89249078066672</v>
      </c>
      <c r="CE181" s="10">
        <f t="shared" ref="CE181:CE224" si="71">BC181*CC181</f>
        <v>2526710.233989574</v>
      </c>
      <c r="CF181" s="10">
        <f t="shared" si="50"/>
        <v>1</v>
      </c>
      <c r="CG181" s="10">
        <f t="shared" si="51"/>
        <v>1</v>
      </c>
      <c r="CH181" s="10">
        <f t="shared" si="52"/>
        <v>21</v>
      </c>
      <c r="CI181" s="9">
        <f t="shared" si="58"/>
        <v>0</v>
      </c>
      <c r="CJ181" s="10">
        <f t="shared" si="53"/>
        <v>56</v>
      </c>
      <c r="CK181" s="10" t="b">
        <f t="shared" si="59"/>
        <v>1</v>
      </c>
      <c r="CL181" s="10" t="b">
        <f t="shared" si="60"/>
        <v>1</v>
      </c>
      <c r="CM181" s="10" t="b">
        <f t="shared" si="61"/>
        <v>1</v>
      </c>
      <c r="CN181" s="9">
        <f t="shared" si="62"/>
        <v>0</v>
      </c>
      <c r="CO181" s="10">
        <f>CJ181</f>
        <v>56</v>
      </c>
      <c r="CP181" s="10" t="b">
        <f t="shared" si="63"/>
        <v>1</v>
      </c>
      <c r="CQ181" s="10" t="b">
        <f t="shared" si="64"/>
        <v>1</v>
      </c>
      <c r="CR181" s="10" cm="1">
        <f t="array" ref="CR181">_xlfn.IFS(AND($CI181=0, CK181=FALSE), NA(), AND($CI181=1, CK181=FALSE), 0, CK181=TRUE, 1)</f>
        <v>1</v>
      </c>
      <c r="CS181" s="10" cm="1">
        <f t="array" ref="CS181">_xlfn.IFS(AND($CI181=0, CL181=FALSE), NA(), AND($CI181=1, CL181=FALSE), 0, CL181=TRUE, 1)</f>
        <v>1</v>
      </c>
      <c r="CT181" s="10" cm="1">
        <f t="array" ref="CT181">_xlfn.IFS(AND($CI181=0, CM181=FALSE), NA(), AND($CI181=1, CM181=FALSE), 0, CM181=TRUE, 1)</f>
        <v>1</v>
      </c>
      <c r="CU181" s="10" cm="1">
        <f t="array" ref="CU181">_xlfn.IFS(AND($CN181=0, CP181=FALSE), NA(), AND($CN181=1, CP181=FALSE), 0, CP181=TRUE, 1)</f>
        <v>1</v>
      </c>
      <c r="CV181" s="10" cm="1">
        <f t="array" ref="CV181">_xlfn.IFS(AND($CN181=0, CQ181=FALSE), NA(), AND($CN181=1, CQ181=FALSE), 0, CQ181=TRUE, 1)</f>
        <v>1</v>
      </c>
    </row>
    <row r="182" spans="1:100" ht="15.75" x14ac:dyDescent="0.25">
      <c r="A182" s="8">
        <v>181</v>
      </c>
      <c r="B182" s="9">
        <v>530</v>
      </c>
      <c r="C182" s="10" t="s">
        <v>34</v>
      </c>
      <c r="D182" s="11" t="s">
        <v>39</v>
      </c>
      <c r="E182" s="12">
        <v>13883</v>
      </c>
      <c r="F182" s="13">
        <v>2</v>
      </c>
      <c r="G182" s="9">
        <v>74.121833801269531</v>
      </c>
      <c r="H182" s="12">
        <v>40956</v>
      </c>
      <c r="I182" s="9">
        <v>1</v>
      </c>
      <c r="J182" s="12">
        <v>40983</v>
      </c>
      <c r="K182" s="9">
        <v>0</v>
      </c>
      <c r="L182" s="9">
        <v>1</v>
      </c>
      <c r="M182" s="10" t="s">
        <v>401</v>
      </c>
      <c r="N182" s="9">
        <v>1</v>
      </c>
      <c r="O182" s="10" t="s">
        <v>401</v>
      </c>
      <c r="P182" s="9">
        <v>1</v>
      </c>
      <c r="Q182" s="10" t="s">
        <v>401</v>
      </c>
      <c r="R182" s="12">
        <v>42782</v>
      </c>
      <c r="S182" s="10" t="s">
        <v>145</v>
      </c>
      <c r="T182" s="9"/>
      <c r="U182" s="10" t="s">
        <v>401</v>
      </c>
      <c r="V182" s="10" t="s">
        <v>401</v>
      </c>
      <c r="W182" s="9"/>
      <c r="X182" s="9"/>
      <c r="Y182" s="9">
        <v>2</v>
      </c>
      <c r="Z182" s="14">
        <v>1</v>
      </c>
      <c r="AA182" s="17">
        <v>13.4</v>
      </c>
      <c r="AB182" s="18">
        <v>101</v>
      </c>
      <c r="AC182" s="18">
        <v>14</v>
      </c>
      <c r="AD182" s="9">
        <v>1</v>
      </c>
      <c r="AE182" s="9">
        <v>2</v>
      </c>
      <c r="AF182" s="9">
        <v>1</v>
      </c>
      <c r="AG182" s="9">
        <v>1</v>
      </c>
      <c r="AH182" s="9">
        <v>1</v>
      </c>
      <c r="AI182" s="9">
        <v>1</v>
      </c>
      <c r="AJ182" s="12">
        <v>43257</v>
      </c>
      <c r="AK182" s="9">
        <v>2</v>
      </c>
      <c r="AL182" s="12">
        <v>43329</v>
      </c>
      <c r="AM182" s="9">
        <v>4</v>
      </c>
      <c r="AN182" s="12">
        <v>43336</v>
      </c>
      <c r="AO182" s="12">
        <v>43336</v>
      </c>
      <c r="AP182" s="12">
        <v>43336</v>
      </c>
      <c r="AQ182" s="9">
        <v>1</v>
      </c>
      <c r="AR182" s="9">
        <f t="shared" si="54"/>
        <v>1</v>
      </c>
      <c r="AS182" s="9">
        <v>1</v>
      </c>
      <c r="AT182" s="9">
        <v>2</v>
      </c>
      <c r="AU182" s="9">
        <v>2</v>
      </c>
      <c r="AV182" s="9">
        <f t="shared" si="55"/>
        <v>1</v>
      </c>
      <c r="AW182" s="12">
        <v>43622</v>
      </c>
      <c r="AX182" s="9">
        <v>3730</v>
      </c>
      <c r="AY182" s="9">
        <v>1420</v>
      </c>
      <c r="AZ182" s="9">
        <v>1440</v>
      </c>
      <c r="BA182" s="9">
        <v>1420</v>
      </c>
      <c r="BB182" s="9">
        <v>1440.0001220703125</v>
      </c>
      <c r="BC182" s="9">
        <v>175000</v>
      </c>
      <c r="BD182" s="9">
        <v>450</v>
      </c>
      <c r="BE182" s="9">
        <v>40</v>
      </c>
      <c r="BF182" s="9">
        <v>233</v>
      </c>
      <c r="BG182" s="9">
        <v>5000</v>
      </c>
      <c r="BH182" s="9">
        <v>2660</v>
      </c>
      <c r="BI182" s="9">
        <v>1700</v>
      </c>
      <c r="BJ182" s="9">
        <v>182000</v>
      </c>
      <c r="BK182" s="9">
        <v>550</v>
      </c>
      <c r="BL182" s="9">
        <v>80</v>
      </c>
      <c r="BM182" s="9"/>
      <c r="BN182" s="9">
        <v>4460</v>
      </c>
      <c r="BO182" s="9">
        <v>2160</v>
      </c>
      <c r="BP182" s="9">
        <v>1490</v>
      </c>
      <c r="BQ182" s="9">
        <v>160000</v>
      </c>
      <c r="BR182" s="9">
        <v>670</v>
      </c>
      <c r="BS182" s="9">
        <v>110</v>
      </c>
      <c r="BT182" s="9">
        <v>198</v>
      </c>
      <c r="BU182" s="9">
        <v>5400</v>
      </c>
      <c r="BV182" s="9">
        <v>2780</v>
      </c>
      <c r="BW182" s="9">
        <v>1740</v>
      </c>
      <c r="BX182" s="9">
        <v>184000</v>
      </c>
      <c r="BY182" s="9">
        <v>650</v>
      </c>
      <c r="BZ182" s="10" t="s">
        <v>547</v>
      </c>
      <c r="CA182" s="9">
        <v>180</v>
      </c>
      <c r="CB182" s="9">
        <v>219</v>
      </c>
      <c r="CC182" s="10">
        <f t="shared" si="56"/>
        <v>0.98611102751744351</v>
      </c>
      <c r="CD182" s="10">
        <f t="shared" si="57"/>
        <v>121.52776747574129</v>
      </c>
      <c r="CE182" s="10">
        <f t="shared" si="71"/>
        <v>172569.4298155526</v>
      </c>
      <c r="CF182" s="10">
        <f t="shared" si="50"/>
        <v>0</v>
      </c>
      <c r="CG182" s="10">
        <f t="shared" si="51"/>
        <v>0</v>
      </c>
      <c r="CH182" s="10">
        <f t="shared" si="52"/>
        <v>2</v>
      </c>
      <c r="CI182" s="9">
        <f t="shared" si="58"/>
        <v>1</v>
      </c>
      <c r="CJ182" s="10">
        <f t="shared" si="53"/>
        <v>12</v>
      </c>
      <c r="CK182" s="10" t="b">
        <f t="shared" si="59"/>
        <v>1</v>
      </c>
      <c r="CL182" s="10" t="b">
        <f t="shared" si="60"/>
        <v>0</v>
      </c>
      <c r="CM182" s="10" t="b">
        <f t="shared" si="61"/>
        <v>0</v>
      </c>
      <c r="CN182" s="9">
        <f t="shared" si="62"/>
        <v>1</v>
      </c>
      <c r="CO182" s="10">
        <f>(YEAR(AO182)-YEAR(AJ182))*12+MONTH(AO182)-MONTH(AJ182)</f>
        <v>2</v>
      </c>
      <c r="CP182" s="10" t="b">
        <f t="shared" si="63"/>
        <v>0</v>
      </c>
      <c r="CQ182" s="10" t="b">
        <f t="shared" si="64"/>
        <v>0</v>
      </c>
      <c r="CR182" s="10" cm="1">
        <f t="array" ref="CR182">_xlfn.IFS(AND($CI182=0, CK182=FALSE), NA(), AND($CI182=1, CK182=FALSE), 0, CK182=TRUE, 1)</f>
        <v>1</v>
      </c>
      <c r="CS182" s="10" cm="1">
        <f t="array" ref="CS182">_xlfn.IFS(AND($CI182=0, CL182=FALSE), NA(), AND($CI182=1, CL182=FALSE), 0, CL182=TRUE, 1)</f>
        <v>0</v>
      </c>
      <c r="CT182" s="10" cm="1">
        <f t="array" ref="CT182">_xlfn.IFS(AND($CI182=0, CM182=FALSE), NA(), AND($CI182=1, CM182=FALSE), 0, CM182=TRUE, 1)</f>
        <v>0</v>
      </c>
      <c r="CU182" s="10" cm="1">
        <f t="array" ref="CU182">_xlfn.IFS(AND($CN182=0, CP182=FALSE), NA(), AND($CN182=1, CP182=FALSE), 0, CP182=TRUE, 1)</f>
        <v>0</v>
      </c>
      <c r="CV182" s="10" cm="1">
        <f t="array" ref="CV182">_xlfn.IFS(AND($CN182=0, CQ182=FALSE), NA(), AND($CN182=1, CQ182=FALSE), 0, CQ182=TRUE, 1)</f>
        <v>0</v>
      </c>
    </row>
    <row r="183" spans="1:100" ht="15.75" x14ac:dyDescent="0.25">
      <c r="A183" s="8">
        <v>182</v>
      </c>
      <c r="B183" s="9">
        <v>312</v>
      </c>
      <c r="C183" s="10" t="s">
        <v>24</v>
      </c>
      <c r="D183" s="11" t="s">
        <v>264</v>
      </c>
      <c r="E183" s="12"/>
      <c r="F183" s="13">
        <v>1</v>
      </c>
      <c r="G183" s="9">
        <v>60</v>
      </c>
      <c r="H183" s="12">
        <v>40968</v>
      </c>
      <c r="I183" s="9">
        <v>1</v>
      </c>
      <c r="J183" s="12">
        <v>40954</v>
      </c>
      <c r="K183" s="9">
        <v>0</v>
      </c>
      <c r="L183" s="9">
        <v>2</v>
      </c>
      <c r="M183" s="10" t="s">
        <v>401</v>
      </c>
      <c r="N183" s="9"/>
      <c r="O183" s="10" t="s">
        <v>401</v>
      </c>
      <c r="P183" s="9"/>
      <c r="Q183" s="10" t="s">
        <v>401</v>
      </c>
      <c r="R183" s="12">
        <v>41575</v>
      </c>
      <c r="S183" s="10" t="s">
        <v>145</v>
      </c>
      <c r="T183" s="9">
        <v>5</v>
      </c>
      <c r="U183" s="10" t="s">
        <v>401</v>
      </c>
      <c r="V183" s="10" t="s">
        <v>401</v>
      </c>
      <c r="W183" s="9"/>
      <c r="X183" s="9"/>
      <c r="Y183" s="9">
        <v>3</v>
      </c>
      <c r="Z183" s="14">
        <v>1</v>
      </c>
      <c r="AA183" s="21">
        <v>11.3</v>
      </c>
      <c r="AB183" s="22">
        <v>88</v>
      </c>
      <c r="AC183" s="22">
        <v>19</v>
      </c>
      <c r="AD183" s="9">
        <v>1</v>
      </c>
      <c r="AE183" s="9">
        <v>1</v>
      </c>
      <c r="AF183" s="9">
        <v>1</v>
      </c>
      <c r="AG183" s="9">
        <v>1</v>
      </c>
      <c r="AH183" s="9">
        <v>1</v>
      </c>
      <c r="AI183" s="9">
        <v>0</v>
      </c>
      <c r="AJ183" s="12">
        <v>42745</v>
      </c>
      <c r="AK183" s="9">
        <v>2</v>
      </c>
      <c r="AL183" s="12">
        <v>42941</v>
      </c>
      <c r="AM183" s="9">
        <v>4</v>
      </c>
      <c r="AN183" s="12">
        <v>42871</v>
      </c>
      <c r="AO183" s="12">
        <v>42871</v>
      </c>
      <c r="AP183" s="12">
        <v>42969</v>
      </c>
      <c r="AQ183" s="9">
        <v>1</v>
      </c>
      <c r="AR183" s="9">
        <f t="shared" si="54"/>
        <v>1</v>
      </c>
      <c r="AS183" s="9">
        <v>1</v>
      </c>
      <c r="AT183" s="9">
        <v>1</v>
      </c>
      <c r="AU183" s="9">
        <v>2</v>
      </c>
      <c r="AV183" s="9">
        <f t="shared" si="55"/>
        <v>1</v>
      </c>
      <c r="AW183" s="12">
        <v>42969</v>
      </c>
      <c r="AX183" s="9">
        <v>13270</v>
      </c>
      <c r="AY183" s="9">
        <v>6830</v>
      </c>
      <c r="AZ183" s="9">
        <v>2380</v>
      </c>
      <c r="BA183" s="9">
        <v>6830</v>
      </c>
      <c r="BB183" s="9">
        <v>2379.999755859375</v>
      </c>
      <c r="BC183" s="9">
        <v>328000</v>
      </c>
      <c r="BD183" s="9">
        <v>660</v>
      </c>
      <c r="BE183" s="9">
        <v>150</v>
      </c>
      <c r="BF183" s="9">
        <v>488</v>
      </c>
      <c r="BG183" s="9">
        <v>10890</v>
      </c>
      <c r="BH183" s="9">
        <v>7822</v>
      </c>
      <c r="BI183" s="9"/>
      <c r="BJ183" s="9">
        <v>357000</v>
      </c>
      <c r="BK183" s="9"/>
      <c r="BL183" s="9"/>
      <c r="BM183" s="9">
        <v>435</v>
      </c>
      <c r="BN183" s="9">
        <v>14630</v>
      </c>
      <c r="BO183" s="9">
        <v>5330</v>
      </c>
      <c r="BP183" s="9">
        <v>1350</v>
      </c>
      <c r="BQ183" s="9">
        <v>257000</v>
      </c>
      <c r="BR183" s="9">
        <v>570</v>
      </c>
      <c r="BS183" s="9">
        <v>10</v>
      </c>
      <c r="BT183" s="9">
        <v>419</v>
      </c>
      <c r="BU183" s="9">
        <v>9610</v>
      </c>
      <c r="BV183" s="9">
        <v>7481</v>
      </c>
      <c r="BW183" s="9"/>
      <c r="BX183" s="9">
        <v>255000</v>
      </c>
      <c r="BY183" s="9"/>
      <c r="BZ183" s="10" t="s">
        <v>401</v>
      </c>
      <c r="CA183" s="9"/>
      <c r="CB183" s="9">
        <v>499</v>
      </c>
      <c r="CC183" s="10">
        <f t="shared" si="56"/>
        <v>2.869748193538705</v>
      </c>
      <c r="CD183" s="10">
        <f t="shared" si="57"/>
        <v>137.81514018751028</v>
      </c>
      <c r="CE183" s="10">
        <f t="shared" si="71"/>
        <v>941277.40748069528</v>
      </c>
      <c r="CF183" s="10">
        <f t="shared" si="50"/>
        <v>0</v>
      </c>
      <c r="CG183" s="10">
        <f t="shared" si="51"/>
        <v>0</v>
      </c>
      <c r="CH183" s="10">
        <f t="shared" si="52"/>
        <v>6</v>
      </c>
      <c r="CI183" s="9">
        <f t="shared" si="58"/>
        <v>1</v>
      </c>
      <c r="CJ183" s="10">
        <f t="shared" si="53"/>
        <v>7</v>
      </c>
      <c r="CK183" s="10" t="b">
        <f t="shared" si="59"/>
        <v>1</v>
      </c>
      <c r="CL183" s="10" t="b">
        <f t="shared" si="60"/>
        <v>0</v>
      </c>
      <c r="CM183" s="10" t="b">
        <f t="shared" si="61"/>
        <v>0</v>
      </c>
      <c r="CN183" s="9">
        <f t="shared" si="62"/>
        <v>1</v>
      </c>
      <c r="CO183" s="10">
        <f>(YEAR(AO183)-YEAR(AJ183))*12+MONTH(AO183)-MONTH(AJ183)</f>
        <v>4</v>
      </c>
      <c r="CP183" s="10" t="b">
        <f t="shared" si="63"/>
        <v>1</v>
      </c>
      <c r="CQ183" s="10" t="b">
        <f t="shared" si="64"/>
        <v>0</v>
      </c>
      <c r="CR183" s="10" cm="1">
        <f t="array" ref="CR183">_xlfn.IFS(AND($CI183=0, CK183=FALSE), NA(), AND($CI183=1, CK183=FALSE), 0, CK183=TRUE, 1)</f>
        <v>1</v>
      </c>
      <c r="CS183" s="10" cm="1">
        <f t="array" ref="CS183">_xlfn.IFS(AND($CI183=0, CL183=FALSE), NA(), AND($CI183=1, CL183=FALSE), 0, CL183=TRUE, 1)</f>
        <v>0</v>
      </c>
      <c r="CT183" s="10" cm="1">
        <f t="array" ref="CT183">_xlfn.IFS(AND($CI183=0, CM183=FALSE), NA(), AND($CI183=1, CM183=FALSE), 0, CM183=TRUE, 1)</f>
        <v>0</v>
      </c>
      <c r="CU183" s="10" cm="1">
        <f t="array" ref="CU183">_xlfn.IFS(AND($CN183=0, CP183=FALSE), NA(), AND($CN183=1, CP183=FALSE), 0, CP183=TRUE, 1)</f>
        <v>1</v>
      </c>
      <c r="CV183" s="10" cm="1">
        <f t="array" ref="CV183">_xlfn.IFS(AND($CN183=0, CQ183=FALSE), NA(), AND($CN183=1, CQ183=FALSE), 0, CQ183=TRUE, 1)</f>
        <v>0</v>
      </c>
    </row>
    <row r="184" spans="1:100" ht="15.75" x14ac:dyDescent="0.25">
      <c r="A184" s="8">
        <v>183</v>
      </c>
      <c r="B184" s="9">
        <v>267</v>
      </c>
      <c r="C184" s="10" t="s">
        <v>21</v>
      </c>
      <c r="D184" s="11" t="s">
        <v>242</v>
      </c>
      <c r="E184" s="12">
        <v>18514</v>
      </c>
      <c r="F184" s="13">
        <v>1</v>
      </c>
      <c r="G184" s="9">
        <v>61.492130279541016</v>
      </c>
      <c r="H184" s="12">
        <v>40974</v>
      </c>
      <c r="I184" s="9">
        <v>0</v>
      </c>
      <c r="J184" s="12"/>
      <c r="K184" s="9">
        <v>1</v>
      </c>
      <c r="L184" s="9">
        <v>1</v>
      </c>
      <c r="M184" s="10" t="s">
        <v>401</v>
      </c>
      <c r="N184" s="9">
        <v>2</v>
      </c>
      <c r="O184" s="10" t="s">
        <v>145</v>
      </c>
      <c r="P184" s="9">
        <v>2</v>
      </c>
      <c r="Q184" s="10" t="s">
        <v>145</v>
      </c>
      <c r="R184" s="12">
        <v>40974</v>
      </c>
      <c r="S184" s="10" t="s">
        <v>146</v>
      </c>
      <c r="T184" s="9"/>
      <c r="U184" s="10" t="s">
        <v>401</v>
      </c>
      <c r="V184" s="10" t="s">
        <v>401</v>
      </c>
      <c r="W184" s="9"/>
      <c r="X184" s="9"/>
      <c r="Y184" s="9">
        <v>2</v>
      </c>
      <c r="Z184" s="14">
        <v>2</v>
      </c>
      <c r="AA184" s="15">
        <v>7.6</v>
      </c>
      <c r="AB184" s="16">
        <v>88</v>
      </c>
      <c r="AC184" s="16">
        <v>21</v>
      </c>
      <c r="AD184" s="9">
        <v>3</v>
      </c>
      <c r="AE184" s="9">
        <v>2</v>
      </c>
      <c r="AF184" s="9">
        <v>1</v>
      </c>
      <c r="AG184" s="9">
        <v>1</v>
      </c>
      <c r="AH184" s="9">
        <v>1</v>
      </c>
      <c r="AI184" s="9">
        <v>0</v>
      </c>
      <c r="AJ184" s="12">
        <v>42499</v>
      </c>
      <c r="AK184" s="9">
        <v>2</v>
      </c>
      <c r="AL184" s="12">
        <v>42613</v>
      </c>
      <c r="AM184" s="9">
        <v>3</v>
      </c>
      <c r="AN184" s="12">
        <v>42522</v>
      </c>
      <c r="AO184" s="12">
        <v>42620</v>
      </c>
      <c r="AP184" s="12">
        <v>42620</v>
      </c>
      <c r="AQ184" s="9">
        <v>1</v>
      </c>
      <c r="AR184" s="9">
        <f t="shared" si="54"/>
        <v>1</v>
      </c>
      <c r="AS184" s="9">
        <v>1</v>
      </c>
      <c r="AT184" s="9">
        <v>2</v>
      </c>
      <c r="AU184" s="9">
        <v>2</v>
      </c>
      <c r="AV184" s="9">
        <f t="shared" si="55"/>
        <v>1</v>
      </c>
      <c r="AW184" s="12">
        <v>42713</v>
      </c>
      <c r="AX184" s="9">
        <v>8540</v>
      </c>
      <c r="AY184" s="9">
        <v>5130</v>
      </c>
      <c r="AZ184" s="9">
        <v>1800</v>
      </c>
      <c r="BA184" s="9">
        <v>5130</v>
      </c>
      <c r="BB184" s="9">
        <v>1800.000244140625</v>
      </c>
      <c r="BC184" s="9">
        <v>245000</v>
      </c>
      <c r="BD184" s="9">
        <v>1400</v>
      </c>
      <c r="BE184" s="9">
        <v>160</v>
      </c>
      <c r="BF184" s="9">
        <v>357</v>
      </c>
      <c r="BG184" s="9">
        <v>10090</v>
      </c>
      <c r="BH184" s="9">
        <v>6600</v>
      </c>
      <c r="BI184" s="9">
        <v>1920</v>
      </c>
      <c r="BJ184" s="9">
        <v>264000</v>
      </c>
      <c r="BK184" s="9">
        <v>1400</v>
      </c>
      <c r="BL184" s="9">
        <v>130</v>
      </c>
      <c r="BM184" s="9">
        <v>375</v>
      </c>
      <c r="BN184" s="9">
        <v>9140</v>
      </c>
      <c r="BO184" s="9">
        <v>5130</v>
      </c>
      <c r="BP184" s="9">
        <v>1800</v>
      </c>
      <c r="BQ184" s="9">
        <v>245000</v>
      </c>
      <c r="BR184" s="9">
        <v>1400</v>
      </c>
      <c r="BS184" s="9">
        <v>160</v>
      </c>
      <c r="BT184" s="9">
        <v>357</v>
      </c>
      <c r="BU184" s="9">
        <v>8160</v>
      </c>
      <c r="BV184" s="9">
        <v>4970</v>
      </c>
      <c r="BW184" s="9">
        <v>1550</v>
      </c>
      <c r="BX184" s="9">
        <v>250000</v>
      </c>
      <c r="BY184" s="9">
        <v>1460</v>
      </c>
      <c r="BZ184" s="10" t="s">
        <v>530</v>
      </c>
      <c r="CA184" s="9">
        <v>140</v>
      </c>
      <c r="CB184" s="9">
        <v>330</v>
      </c>
      <c r="CC184" s="10">
        <f t="shared" si="56"/>
        <v>2.8499996134440631</v>
      </c>
      <c r="CD184" s="10">
        <f t="shared" si="57"/>
        <v>136.11109264986266</v>
      </c>
      <c r="CE184" s="10">
        <f t="shared" si="71"/>
        <v>698249.9052937954</v>
      </c>
      <c r="CF184" s="10">
        <f t="shared" si="50"/>
        <v>1</v>
      </c>
      <c r="CG184" s="10">
        <f t="shared" si="51"/>
        <v>0</v>
      </c>
      <c r="CH184" s="10">
        <f t="shared" si="52"/>
        <v>3</v>
      </c>
      <c r="CI184" s="9">
        <f t="shared" si="58"/>
        <v>1</v>
      </c>
      <c r="CJ184" s="10">
        <f t="shared" si="53"/>
        <v>7</v>
      </c>
      <c r="CK184" s="10" t="b">
        <f t="shared" si="59"/>
        <v>1</v>
      </c>
      <c r="CL184" s="10" t="b">
        <f t="shared" si="60"/>
        <v>0</v>
      </c>
      <c r="CM184" s="10" t="b">
        <f t="shared" si="61"/>
        <v>0</v>
      </c>
      <c r="CN184" s="9">
        <f t="shared" si="62"/>
        <v>1</v>
      </c>
      <c r="CO184" s="10">
        <f>(YEAR(AO184)-YEAR(AJ184))*12+MONTH(AO184)-MONTH(AJ184)</f>
        <v>4</v>
      </c>
      <c r="CP184" s="10" t="b">
        <f t="shared" si="63"/>
        <v>1</v>
      </c>
      <c r="CQ184" s="10" t="b">
        <f t="shared" si="64"/>
        <v>0</v>
      </c>
      <c r="CR184" s="10" cm="1">
        <f t="array" ref="CR184">_xlfn.IFS(AND($CI184=0, CK184=FALSE), NA(), AND($CI184=1, CK184=FALSE), 0, CK184=TRUE, 1)</f>
        <v>1</v>
      </c>
      <c r="CS184" s="10" cm="1">
        <f t="array" ref="CS184">_xlfn.IFS(AND($CI184=0, CL184=FALSE), NA(), AND($CI184=1, CL184=FALSE), 0, CL184=TRUE, 1)</f>
        <v>0</v>
      </c>
      <c r="CT184" s="10" cm="1">
        <f t="array" ref="CT184">_xlfn.IFS(AND($CI184=0, CM184=FALSE), NA(), AND($CI184=1, CM184=FALSE), 0, CM184=TRUE, 1)</f>
        <v>0</v>
      </c>
      <c r="CU184" s="10" cm="1">
        <f t="array" ref="CU184">_xlfn.IFS(AND($CN184=0, CP184=FALSE), NA(), AND($CN184=1, CP184=FALSE), 0, CP184=TRUE, 1)</f>
        <v>1</v>
      </c>
      <c r="CV184" s="10" cm="1">
        <f t="array" ref="CV184">_xlfn.IFS(AND($CN184=0, CQ184=FALSE), NA(), AND($CN184=1, CQ184=FALSE), 0, CQ184=TRUE, 1)</f>
        <v>0</v>
      </c>
    </row>
    <row r="185" spans="1:100" ht="15.75" x14ac:dyDescent="0.25">
      <c r="A185" s="8">
        <v>184</v>
      </c>
      <c r="B185" s="9">
        <v>385</v>
      </c>
      <c r="C185" s="10" t="s">
        <v>29</v>
      </c>
      <c r="D185" s="11" t="s">
        <v>300</v>
      </c>
      <c r="E185" s="12">
        <v>15333</v>
      </c>
      <c r="F185" s="13">
        <v>1</v>
      </c>
      <c r="G185" s="9">
        <v>70.280632019042969</v>
      </c>
      <c r="H185" s="12">
        <v>41003</v>
      </c>
      <c r="I185" s="9">
        <v>1</v>
      </c>
      <c r="J185" s="12">
        <v>41003</v>
      </c>
      <c r="K185" s="9">
        <v>0</v>
      </c>
      <c r="L185" s="9">
        <v>2</v>
      </c>
      <c r="M185" s="10" t="s">
        <v>401</v>
      </c>
      <c r="N185" s="9">
        <v>1</v>
      </c>
      <c r="O185" s="10" t="s">
        <v>401</v>
      </c>
      <c r="P185" s="9">
        <v>1</v>
      </c>
      <c r="Q185" s="10" t="s">
        <v>401</v>
      </c>
      <c r="R185" s="12">
        <v>42710</v>
      </c>
      <c r="S185" s="10" t="s">
        <v>146</v>
      </c>
      <c r="T185" s="9"/>
      <c r="U185" s="10" t="s">
        <v>401</v>
      </c>
      <c r="V185" s="10" t="s">
        <v>401</v>
      </c>
      <c r="W185" s="9"/>
      <c r="X185" s="9"/>
      <c r="Y185" s="9">
        <v>2</v>
      </c>
      <c r="Z185" s="14">
        <v>2</v>
      </c>
      <c r="AA185" s="17">
        <v>15.4</v>
      </c>
      <c r="AB185" s="18">
        <v>91</v>
      </c>
      <c r="AC185" s="18">
        <v>20</v>
      </c>
      <c r="AD185" s="9">
        <v>1</v>
      </c>
      <c r="AE185" s="9">
        <v>1</v>
      </c>
      <c r="AF185" s="9">
        <v>1</v>
      </c>
      <c r="AG185" s="9">
        <v>0</v>
      </c>
      <c r="AH185" s="9">
        <v>1</v>
      </c>
      <c r="AI185" s="9">
        <v>0</v>
      </c>
      <c r="AJ185" s="12">
        <v>42828</v>
      </c>
      <c r="AK185" s="9">
        <v>2</v>
      </c>
      <c r="AL185" s="12">
        <v>42900</v>
      </c>
      <c r="AM185" s="9">
        <v>4</v>
      </c>
      <c r="AN185" s="12">
        <v>42914</v>
      </c>
      <c r="AO185" s="12">
        <v>42914</v>
      </c>
      <c r="AP185" s="12">
        <v>42914</v>
      </c>
      <c r="AQ185" s="9">
        <v>1</v>
      </c>
      <c r="AR185" s="9">
        <f t="shared" si="54"/>
        <v>1</v>
      </c>
      <c r="AS185" s="9">
        <v>1</v>
      </c>
      <c r="AT185" s="9">
        <v>2</v>
      </c>
      <c r="AU185" s="9">
        <v>2</v>
      </c>
      <c r="AV185" s="9">
        <f t="shared" si="55"/>
        <v>1</v>
      </c>
      <c r="AW185" s="12">
        <v>43095</v>
      </c>
      <c r="AX185" s="9">
        <v>5700</v>
      </c>
      <c r="AY185" s="9">
        <v>3180</v>
      </c>
      <c r="AZ185" s="9">
        <v>1680</v>
      </c>
      <c r="BA185" s="9">
        <v>3180</v>
      </c>
      <c r="BB185" s="9">
        <v>1679.999755859375</v>
      </c>
      <c r="BC185" s="9">
        <v>184000</v>
      </c>
      <c r="BD185" s="9">
        <v>66</v>
      </c>
      <c r="BE185" s="9">
        <v>17</v>
      </c>
      <c r="BF185" s="9"/>
      <c r="BG185" s="9">
        <v>6540</v>
      </c>
      <c r="BH185" s="9">
        <v>4040</v>
      </c>
      <c r="BI185" s="9">
        <v>1460</v>
      </c>
      <c r="BJ185" s="9">
        <v>273000</v>
      </c>
      <c r="BK185" s="9">
        <v>87</v>
      </c>
      <c r="BL185" s="9">
        <v>15</v>
      </c>
      <c r="BM185" s="9"/>
      <c r="BN185" s="9">
        <v>4760</v>
      </c>
      <c r="BO185" s="9">
        <v>4760</v>
      </c>
      <c r="BP185" s="9">
        <v>1670</v>
      </c>
      <c r="BQ185" s="9">
        <v>291000</v>
      </c>
      <c r="BR185" s="9">
        <v>88</v>
      </c>
      <c r="BS185" s="9">
        <v>30</v>
      </c>
      <c r="BT185" s="9"/>
      <c r="BU185" s="9">
        <v>9610</v>
      </c>
      <c r="BV185" s="9">
        <v>6390</v>
      </c>
      <c r="BW185" s="9">
        <v>1630</v>
      </c>
      <c r="BX185" s="9">
        <v>315000</v>
      </c>
      <c r="BY185" s="9">
        <v>133</v>
      </c>
      <c r="BZ185" s="10" t="s">
        <v>309</v>
      </c>
      <c r="CA185" s="9">
        <v>22</v>
      </c>
      <c r="CB185" s="9"/>
      <c r="CC185" s="10">
        <f t="shared" si="56"/>
        <v>1.892857417930591</v>
      </c>
      <c r="CD185" s="10">
        <f t="shared" si="57"/>
        <v>109.52382544000905</v>
      </c>
      <c r="CE185" s="10">
        <f t="shared" si="71"/>
        <v>348285.76489922876</v>
      </c>
      <c r="CF185" s="10">
        <f t="shared" si="50"/>
        <v>0</v>
      </c>
      <c r="CG185" s="10">
        <f t="shared" si="51"/>
        <v>0</v>
      </c>
      <c r="CH185" s="10">
        <f t="shared" si="52"/>
        <v>2</v>
      </c>
      <c r="CI185" s="9">
        <f t="shared" si="58"/>
        <v>1</v>
      </c>
      <c r="CJ185" s="10">
        <f t="shared" si="53"/>
        <v>8</v>
      </c>
      <c r="CK185" s="10" t="b">
        <f t="shared" si="59"/>
        <v>1</v>
      </c>
      <c r="CL185" s="10" t="b">
        <f t="shared" si="60"/>
        <v>0</v>
      </c>
      <c r="CM185" s="10" t="b">
        <f t="shared" si="61"/>
        <v>0</v>
      </c>
      <c r="CN185" s="9">
        <f t="shared" si="62"/>
        <v>1</v>
      </c>
      <c r="CO185" s="10">
        <f>(YEAR(AO185)-YEAR(AJ185))*12+MONTH(AO185)-MONTH(AJ185)</f>
        <v>2</v>
      </c>
      <c r="CP185" s="10" t="b">
        <f t="shared" si="63"/>
        <v>0</v>
      </c>
      <c r="CQ185" s="10" t="b">
        <f t="shared" si="64"/>
        <v>0</v>
      </c>
      <c r="CR185" s="10" cm="1">
        <f t="array" ref="CR185">_xlfn.IFS(AND($CI185=0, CK185=FALSE), NA(), AND($CI185=1, CK185=FALSE), 0, CK185=TRUE, 1)</f>
        <v>1</v>
      </c>
      <c r="CS185" s="10" cm="1">
        <f t="array" ref="CS185">_xlfn.IFS(AND($CI185=0, CL185=FALSE), NA(), AND($CI185=1, CL185=FALSE), 0, CL185=TRUE, 1)</f>
        <v>0</v>
      </c>
      <c r="CT185" s="10" cm="1">
        <f t="array" ref="CT185">_xlfn.IFS(AND($CI185=0, CM185=FALSE), NA(), AND($CI185=1, CM185=FALSE), 0, CM185=TRUE, 1)</f>
        <v>0</v>
      </c>
      <c r="CU185" s="10" cm="1">
        <f t="array" ref="CU185">_xlfn.IFS(AND($CN185=0, CP185=FALSE), NA(), AND($CN185=1, CP185=FALSE), 0, CP185=TRUE, 1)</f>
        <v>0</v>
      </c>
      <c r="CV185" s="10" cm="1">
        <f t="array" ref="CV185">_xlfn.IFS(AND($CN185=0, CQ185=FALSE), NA(), AND($CN185=1, CQ185=FALSE), 0, CQ185=TRUE, 1)</f>
        <v>0</v>
      </c>
    </row>
    <row r="186" spans="1:100" ht="15.75" x14ac:dyDescent="0.25">
      <c r="A186" s="8">
        <v>185</v>
      </c>
      <c r="B186" s="9">
        <v>371</v>
      </c>
      <c r="C186" s="10" t="s">
        <v>28</v>
      </c>
      <c r="D186" s="11" t="s">
        <v>291</v>
      </c>
      <c r="E186" s="12">
        <v>11724</v>
      </c>
      <c r="F186" s="13">
        <v>2</v>
      </c>
      <c r="G186" s="9">
        <v>80.180694580078125</v>
      </c>
      <c r="H186" s="12">
        <v>41010</v>
      </c>
      <c r="I186" s="9">
        <v>1</v>
      </c>
      <c r="J186" s="12">
        <v>41031</v>
      </c>
      <c r="K186" s="9">
        <v>0</v>
      </c>
      <c r="L186" s="9">
        <v>3</v>
      </c>
      <c r="M186" s="10" t="s">
        <v>401</v>
      </c>
      <c r="N186" s="9">
        <v>1</v>
      </c>
      <c r="O186" s="10" t="s">
        <v>401</v>
      </c>
      <c r="P186" s="9">
        <v>1</v>
      </c>
      <c r="Q186" s="10" t="s">
        <v>401</v>
      </c>
      <c r="R186" s="12">
        <v>41518</v>
      </c>
      <c r="S186" s="10" t="s">
        <v>145</v>
      </c>
      <c r="T186" s="9"/>
      <c r="U186" s="10" t="s">
        <v>401</v>
      </c>
      <c r="V186" s="10" t="s">
        <v>401</v>
      </c>
      <c r="W186" s="9"/>
      <c r="X186" s="9"/>
      <c r="Y186" s="9">
        <v>2</v>
      </c>
      <c r="Z186" s="14">
        <v>1</v>
      </c>
      <c r="AA186" s="21">
        <v>11.2</v>
      </c>
      <c r="AB186" s="22">
        <v>94</v>
      </c>
      <c r="AC186" s="22">
        <v>13</v>
      </c>
      <c r="AD186" s="9">
        <v>2</v>
      </c>
      <c r="AE186" s="9">
        <v>2</v>
      </c>
      <c r="AF186" s="9">
        <v>1</v>
      </c>
      <c r="AG186" s="9">
        <v>0</v>
      </c>
      <c r="AH186" s="9">
        <v>1</v>
      </c>
      <c r="AI186" s="9">
        <v>1</v>
      </c>
      <c r="AJ186" s="12">
        <v>42489</v>
      </c>
      <c r="AK186" s="9">
        <v>2</v>
      </c>
      <c r="AL186" s="12">
        <v>42846</v>
      </c>
      <c r="AM186" s="9">
        <v>3</v>
      </c>
      <c r="AN186" s="12">
        <v>42542</v>
      </c>
      <c r="AO186" s="12">
        <v>42858</v>
      </c>
      <c r="AP186" s="12">
        <v>42858</v>
      </c>
      <c r="AQ186" s="9">
        <v>1</v>
      </c>
      <c r="AR186" s="9">
        <f t="shared" si="54"/>
        <v>1</v>
      </c>
      <c r="AS186" s="9">
        <v>1</v>
      </c>
      <c r="AT186" s="9">
        <v>2</v>
      </c>
      <c r="AU186" s="9">
        <v>2</v>
      </c>
      <c r="AV186" s="9">
        <f t="shared" si="55"/>
        <v>1</v>
      </c>
      <c r="AW186" s="12">
        <v>42873</v>
      </c>
      <c r="AX186" s="9">
        <v>7240</v>
      </c>
      <c r="AY186" s="9">
        <v>5780</v>
      </c>
      <c r="AZ186" s="9">
        <v>640</v>
      </c>
      <c r="BA186" s="9">
        <v>5780</v>
      </c>
      <c r="BB186" s="9">
        <v>640</v>
      </c>
      <c r="BC186" s="9">
        <v>313000</v>
      </c>
      <c r="BD186" s="9">
        <v>410</v>
      </c>
      <c r="BE186" s="9">
        <v>150</v>
      </c>
      <c r="BF186" s="9">
        <v>339</v>
      </c>
      <c r="BG186" s="9">
        <v>6650</v>
      </c>
      <c r="BH186" s="9">
        <v>5150</v>
      </c>
      <c r="BI186" s="9">
        <v>820</v>
      </c>
      <c r="BJ186" s="9">
        <v>313000</v>
      </c>
      <c r="BK186" s="9">
        <v>390</v>
      </c>
      <c r="BL186" s="9">
        <v>170</v>
      </c>
      <c r="BM186" s="9">
        <v>339</v>
      </c>
      <c r="BN186" s="9">
        <v>8910</v>
      </c>
      <c r="BO186" s="9">
        <v>7270</v>
      </c>
      <c r="BP186" s="9">
        <v>860</v>
      </c>
      <c r="BQ186" s="9">
        <v>296000</v>
      </c>
      <c r="BR186" s="9">
        <v>530</v>
      </c>
      <c r="BS186" s="9">
        <v>140</v>
      </c>
      <c r="BT186" s="9">
        <v>345</v>
      </c>
      <c r="BU186" s="9">
        <v>8510</v>
      </c>
      <c r="BV186" s="9">
        <v>6940</v>
      </c>
      <c r="BW186" s="9">
        <v>740</v>
      </c>
      <c r="BX186" s="9">
        <v>351000</v>
      </c>
      <c r="BY186" s="9">
        <v>490</v>
      </c>
      <c r="BZ186" s="10" t="s">
        <v>526</v>
      </c>
      <c r="CA186" s="9">
        <v>190</v>
      </c>
      <c r="CB186" s="9">
        <v>352</v>
      </c>
      <c r="CC186" s="10">
        <f t="shared" si="56"/>
        <v>9.03125</v>
      </c>
      <c r="CD186" s="10">
        <f t="shared" si="57"/>
        <v>489.0625</v>
      </c>
      <c r="CE186" s="10">
        <f t="shared" si="71"/>
        <v>2826781.25</v>
      </c>
      <c r="CF186" s="10">
        <f t="shared" si="50"/>
        <v>1</v>
      </c>
      <c r="CG186" s="10">
        <f t="shared" si="51"/>
        <v>0</v>
      </c>
      <c r="CH186" s="10">
        <f t="shared" si="52"/>
        <v>12</v>
      </c>
      <c r="CI186" s="9">
        <f t="shared" si="58"/>
        <v>1</v>
      </c>
      <c r="CJ186" s="10">
        <f t="shared" si="53"/>
        <v>13</v>
      </c>
      <c r="CK186" s="10" t="b">
        <f t="shared" si="59"/>
        <v>1</v>
      </c>
      <c r="CL186" s="10" t="b">
        <f t="shared" si="60"/>
        <v>0</v>
      </c>
      <c r="CM186" s="10" t="b">
        <f t="shared" si="61"/>
        <v>0</v>
      </c>
      <c r="CN186" s="9">
        <f t="shared" si="62"/>
        <v>1</v>
      </c>
      <c r="CO186" s="10">
        <f>(YEAR(AO186)-YEAR(AJ186))*12+MONTH(AO186)-MONTH(AJ186)</f>
        <v>13</v>
      </c>
      <c r="CP186" s="10" t="b">
        <f t="shared" si="63"/>
        <v>1</v>
      </c>
      <c r="CQ186" s="10" t="b">
        <f t="shared" si="64"/>
        <v>1</v>
      </c>
      <c r="CR186" s="10" cm="1">
        <f t="array" ref="CR186">_xlfn.IFS(AND($CI186=0, CK186=FALSE), NA(), AND($CI186=1, CK186=FALSE), 0, CK186=TRUE, 1)</f>
        <v>1</v>
      </c>
      <c r="CS186" s="10" cm="1">
        <f t="array" ref="CS186">_xlfn.IFS(AND($CI186=0, CL186=FALSE), NA(), AND($CI186=1, CL186=FALSE), 0, CL186=TRUE, 1)</f>
        <v>0</v>
      </c>
      <c r="CT186" s="10" cm="1">
        <f t="array" ref="CT186">_xlfn.IFS(AND($CI186=0, CM186=FALSE), NA(), AND($CI186=1, CM186=FALSE), 0, CM186=TRUE, 1)</f>
        <v>0</v>
      </c>
      <c r="CU186" s="10" cm="1">
        <f t="array" ref="CU186">_xlfn.IFS(AND($CN186=0, CP186=FALSE), NA(), AND($CN186=1, CP186=FALSE), 0, CP186=TRUE, 1)</f>
        <v>1</v>
      </c>
      <c r="CV186" s="10" cm="1">
        <f t="array" ref="CV186">_xlfn.IFS(AND($CN186=0, CQ186=FALSE), NA(), AND($CN186=1, CQ186=FALSE), 0, CQ186=TRUE, 1)</f>
        <v>1</v>
      </c>
    </row>
    <row r="187" spans="1:100" ht="15.75" x14ac:dyDescent="0.25">
      <c r="A187" s="8">
        <v>186</v>
      </c>
      <c r="B187" s="9">
        <v>400</v>
      </c>
      <c r="C187" s="10" t="s">
        <v>29</v>
      </c>
      <c r="D187" s="11" t="s">
        <v>314</v>
      </c>
      <c r="E187" s="12">
        <v>13951</v>
      </c>
      <c r="F187" s="13">
        <v>2</v>
      </c>
      <c r="G187" s="9">
        <v>74.088981628417969</v>
      </c>
      <c r="H187" s="12">
        <v>41012</v>
      </c>
      <c r="I187" s="9">
        <v>1</v>
      </c>
      <c r="J187" s="12">
        <v>41012</v>
      </c>
      <c r="K187" s="9">
        <v>1</v>
      </c>
      <c r="L187" s="9">
        <v>1</v>
      </c>
      <c r="M187" s="10" t="s">
        <v>401</v>
      </c>
      <c r="N187" s="9">
        <v>2</v>
      </c>
      <c r="O187" s="10" t="s">
        <v>409</v>
      </c>
      <c r="P187" s="9">
        <v>2</v>
      </c>
      <c r="Q187" s="10" t="s">
        <v>409</v>
      </c>
      <c r="R187" s="12">
        <v>41156</v>
      </c>
      <c r="S187" s="10" t="s">
        <v>146</v>
      </c>
      <c r="T187" s="9"/>
      <c r="U187" s="10" t="s">
        <v>401</v>
      </c>
      <c r="V187" s="10" t="s">
        <v>401</v>
      </c>
      <c r="W187" s="9"/>
      <c r="X187" s="9"/>
      <c r="Y187" s="9">
        <v>2</v>
      </c>
      <c r="Z187" s="14">
        <v>2</v>
      </c>
      <c r="AA187" s="17">
        <v>10.1</v>
      </c>
      <c r="AB187" s="18">
        <v>90</v>
      </c>
      <c r="AC187" s="18">
        <v>17</v>
      </c>
      <c r="AD187" s="9">
        <v>2</v>
      </c>
      <c r="AE187" s="9">
        <v>2</v>
      </c>
      <c r="AF187" s="9">
        <v>1</v>
      </c>
      <c r="AG187" s="9">
        <v>0</v>
      </c>
      <c r="AH187" s="9">
        <v>1</v>
      </c>
      <c r="AI187" s="9">
        <v>0</v>
      </c>
      <c r="AJ187" s="12">
        <v>43144</v>
      </c>
      <c r="AK187" s="9">
        <v>2</v>
      </c>
      <c r="AL187" s="12">
        <v>43872</v>
      </c>
      <c r="AM187" s="9">
        <v>2</v>
      </c>
      <c r="AN187" s="12">
        <v>43242</v>
      </c>
      <c r="AO187" s="12"/>
      <c r="AP187" s="12"/>
      <c r="AQ187" s="9">
        <v>2</v>
      </c>
      <c r="AR187" s="9">
        <f t="shared" si="54"/>
        <v>0</v>
      </c>
      <c r="AS187" s="9">
        <v>2</v>
      </c>
      <c r="AT187" s="9"/>
      <c r="AU187" s="9">
        <v>1</v>
      </c>
      <c r="AV187" s="9">
        <f t="shared" si="55"/>
        <v>0</v>
      </c>
      <c r="AW187" s="12">
        <v>44956</v>
      </c>
      <c r="AX187" s="9">
        <v>4890</v>
      </c>
      <c r="AY187" s="9">
        <v>3370</v>
      </c>
      <c r="AZ187" s="9">
        <v>1700</v>
      </c>
      <c r="BA187" s="9">
        <v>3370</v>
      </c>
      <c r="BB187" s="9">
        <v>1700.0001220703125</v>
      </c>
      <c r="BC187" s="9">
        <v>212000</v>
      </c>
      <c r="BD187" s="9">
        <v>37</v>
      </c>
      <c r="BE187" s="9">
        <v>16</v>
      </c>
      <c r="BF187" s="9"/>
      <c r="BG187" s="9">
        <v>5370</v>
      </c>
      <c r="BH187" s="9">
        <v>3540</v>
      </c>
      <c r="BI187" s="9">
        <v>1230</v>
      </c>
      <c r="BJ187" s="9">
        <v>205000</v>
      </c>
      <c r="BK187" s="9">
        <v>40</v>
      </c>
      <c r="BL187" s="9">
        <v>19</v>
      </c>
      <c r="BM187" s="9"/>
      <c r="BN187" s="9">
        <v>8470</v>
      </c>
      <c r="BO187" s="9">
        <v>6230</v>
      </c>
      <c r="BP187" s="9">
        <v>1540</v>
      </c>
      <c r="BQ187" s="9">
        <v>225000</v>
      </c>
      <c r="BR187" s="9">
        <v>49</v>
      </c>
      <c r="BS187" s="9">
        <v>17</v>
      </c>
      <c r="BT187" s="9"/>
      <c r="BU187" s="9">
        <v>6100</v>
      </c>
      <c r="BV187" s="9">
        <v>4360</v>
      </c>
      <c r="BW187" s="9">
        <v>1630</v>
      </c>
      <c r="BX187" s="9">
        <v>216000</v>
      </c>
      <c r="BY187" s="9">
        <v>41</v>
      </c>
      <c r="BZ187" s="10" t="s">
        <v>312</v>
      </c>
      <c r="CA187" s="9">
        <v>25</v>
      </c>
      <c r="CB187" s="9"/>
      <c r="CC187" s="10">
        <f t="shared" si="56"/>
        <v>1.9823527988315144</v>
      </c>
      <c r="CD187" s="10">
        <f t="shared" si="57"/>
        <v>124.70587339830298</v>
      </c>
      <c r="CE187" s="10">
        <f t="shared" si="71"/>
        <v>420258.79335228103</v>
      </c>
      <c r="CF187" s="10">
        <f t="shared" si="50"/>
        <v>1</v>
      </c>
      <c r="CG187" s="10">
        <f t="shared" si="51"/>
        <v>1</v>
      </c>
      <c r="CH187" s="10">
        <f t="shared" si="52"/>
        <v>24</v>
      </c>
      <c r="CI187" s="9">
        <f t="shared" si="58"/>
        <v>0</v>
      </c>
      <c r="CJ187" s="10">
        <f t="shared" si="53"/>
        <v>59</v>
      </c>
      <c r="CK187" s="10" t="b">
        <f t="shared" si="59"/>
        <v>1</v>
      </c>
      <c r="CL187" s="10" t="b">
        <f t="shared" si="60"/>
        <v>1</v>
      </c>
      <c r="CM187" s="10" t="b">
        <f t="shared" si="61"/>
        <v>1</v>
      </c>
      <c r="CN187" s="9">
        <f t="shared" si="62"/>
        <v>0</v>
      </c>
      <c r="CO187" s="10">
        <f>CJ187</f>
        <v>59</v>
      </c>
      <c r="CP187" s="10" t="b">
        <f t="shared" si="63"/>
        <v>1</v>
      </c>
      <c r="CQ187" s="10" t="b">
        <f t="shared" si="64"/>
        <v>1</v>
      </c>
      <c r="CR187" s="10" cm="1">
        <f t="array" ref="CR187">_xlfn.IFS(AND($CI187=0, CK187=FALSE), NA(), AND($CI187=1, CK187=FALSE), 0, CK187=TRUE, 1)</f>
        <v>1</v>
      </c>
      <c r="CS187" s="10" cm="1">
        <f t="array" ref="CS187">_xlfn.IFS(AND($CI187=0, CL187=FALSE), NA(), AND($CI187=1, CL187=FALSE), 0, CL187=TRUE, 1)</f>
        <v>1</v>
      </c>
      <c r="CT187" s="10" cm="1">
        <f t="array" ref="CT187">_xlfn.IFS(AND($CI187=0, CM187=FALSE), NA(), AND($CI187=1, CM187=FALSE), 0, CM187=TRUE, 1)</f>
        <v>1</v>
      </c>
      <c r="CU187" s="10" cm="1">
        <f t="array" ref="CU187">_xlfn.IFS(AND($CN187=0, CP187=FALSE), NA(), AND($CN187=1, CP187=FALSE), 0, CP187=TRUE, 1)</f>
        <v>1</v>
      </c>
      <c r="CV187" s="10" cm="1">
        <f t="array" ref="CV187">_xlfn.IFS(AND($CN187=0, CQ187=FALSE), NA(), AND($CN187=1, CQ187=FALSE), 0, CQ187=TRUE, 1)</f>
        <v>1</v>
      </c>
    </row>
    <row r="188" spans="1:100" ht="15.75" x14ac:dyDescent="0.25">
      <c r="A188" s="8">
        <v>187</v>
      </c>
      <c r="B188" s="9">
        <v>340</v>
      </c>
      <c r="C188" s="10" t="s">
        <v>26</v>
      </c>
      <c r="D188" s="11" t="s">
        <v>278</v>
      </c>
      <c r="E188" s="12">
        <v>15518</v>
      </c>
      <c r="F188" s="13">
        <v>1</v>
      </c>
      <c r="G188" s="9">
        <v>69.848052978515625</v>
      </c>
      <c r="H188" s="12">
        <v>41030</v>
      </c>
      <c r="I188" s="9">
        <v>1</v>
      </c>
      <c r="J188" s="12">
        <v>41093</v>
      </c>
      <c r="K188" s="9">
        <v>0</v>
      </c>
      <c r="L188" s="9">
        <v>1</v>
      </c>
      <c r="M188" s="10" t="s">
        <v>401</v>
      </c>
      <c r="N188" s="9">
        <v>1</v>
      </c>
      <c r="O188" s="10" t="s">
        <v>401</v>
      </c>
      <c r="P188" s="9">
        <v>1</v>
      </c>
      <c r="Q188" s="10" t="s">
        <v>401</v>
      </c>
      <c r="R188" s="12">
        <v>42491</v>
      </c>
      <c r="S188" s="10" t="s">
        <v>145</v>
      </c>
      <c r="T188" s="9"/>
      <c r="U188" s="10" t="s">
        <v>401</v>
      </c>
      <c r="V188" s="10" t="s">
        <v>401</v>
      </c>
      <c r="W188" s="9"/>
      <c r="X188" s="9"/>
      <c r="Y188" s="9">
        <v>2</v>
      </c>
      <c r="Z188" s="14">
        <v>1</v>
      </c>
      <c r="AA188" s="15">
        <v>13</v>
      </c>
      <c r="AB188" s="16" t="s">
        <v>496</v>
      </c>
      <c r="AC188" s="16" t="s">
        <v>491</v>
      </c>
      <c r="AD188" s="9">
        <v>2</v>
      </c>
      <c r="AE188" s="9">
        <v>2</v>
      </c>
      <c r="AF188" s="9">
        <v>1</v>
      </c>
      <c r="AG188" s="9">
        <v>1</v>
      </c>
      <c r="AH188" s="9">
        <v>1</v>
      </c>
      <c r="AI188" s="9">
        <v>1</v>
      </c>
      <c r="AJ188" s="12">
        <v>43122</v>
      </c>
      <c r="AK188" s="9">
        <v>2</v>
      </c>
      <c r="AL188" s="12">
        <v>43895</v>
      </c>
      <c r="AM188" s="9">
        <v>3</v>
      </c>
      <c r="AN188" s="12">
        <v>43178</v>
      </c>
      <c r="AO188" s="12">
        <v>43923</v>
      </c>
      <c r="AP188" s="12">
        <v>43923</v>
      </c>
      <c r="AQ188" s="9">
        <v>1</v>
      </c>
      <c r="AR188" s="9">
        <f t="shared" si="54"/>
        <v>1</v>
      </c>
      <c r="AS188" s="9">
        <v>1</v>
      </c>
      <c r="AT188" s="9">
        <v>2</v>
      </c>
      <c r="AU188" s="9">
        <v>1</v>
      </c>
      <c r="AV188" s="9">
        <f t="shared" si="55"/>
        <v>0</v>
      </c>
      <c r="AW188" s="12">
        <v>44377</v>
      </c>
      <c r="AX188" s="9">
        <v>6310</v>
      </c>
      <c r="AY188" s="9">
        <v>3600</v>
      </c>
      <c r="AZ188" s="9">
        <v>1970</v>
      </c>
      <c r="BA188" s="9">
        <v>3600</v>
      </c>
      <c r="BB188" s="9">
        <v>1969.999755859375</v>
      </c>
      <c r="BC188" s="9">
        <v>229000</v>
      </c>
      <c r="BD188" s="9">
        <v>540</v>
      </c>
      <c r="BE188" s="9">
        <v>190</v>
      </c>
      <c r="BF188" s="9">
        <v>173</v>
      </c>
      <c r="BG188" s="9">
        <v>7730</v>
      </c>
      <c r="BH188" s="9">
        <v>5060</v>
      </c>
      <c r="BI188" s="9">
        <v>1840</v>
      </c>
      <c r="BJ188" s="9">
        <v>280000</v>
      </c>
      <c r="BK188" s="9">
        <v>620</v>
      </c>
      <c r="BL188" s="9">
        <v>190</v>
      </c>
      <c r="BM188" s="9"/>
      <c r="BN188" s="9">
        <v>7610</v>
      </c>
      <c r="BO188" s="9">
        <v>4730</v>
      </c>
      <c r="BP188" s="9">
        <v>2080</v>
      </c>
      <c r="BQ188" s="9">
        <v>206000</v>
      </c>
      <c r="BR188" s="9">
        <v>570</v>
      </c>
      <c r="BS188" s="9">
        <v>200</v>
      </c>
      <c r="BT188" s="9"/>
      <c r="BU188" s="9">
        <v>8380</v>
      </c>
      <c r="BV188" s="9">
        <v>5130</v>
      </c>
      <c r="BW188" s="9">
        <v>2230</v>
      </c>
      <c r="BX188" s="9">
        <v>240000</v>
      </c>
      <c r="BY188" s="9">
        <v>730</v>
      </c>
      <c r="BZ188" s="10" t="s">
        <v>538</v>
      </c>
      <c r="CA188" s="9">
        <v>250</v>
      </c>
      <c r="CB188" s="9"/>
      <c r="CC188" s="10">
        <f t="shared" si="56"/>
        <v>1.8274113939824161</v>
      </c>
      <c r="CD188" s="10">
        <f t="shared" si="57"/>
        <v>116.24366922832591</v>
      </c>
      <c r="CE188" s="10">
        <f t="shared" si="71"/>
        <v>418477.20922197332</v>
      </c>
      <c r="CF188" s="10">
        <f t="shared" si="50"/>
        <v>1</v>
      </c>
      <c r="CG188" s="10">
        <f t="shared" si="51"/>
        <v>0</v>
      </c>
      <c r="CH188" s="10">
        <f t="shared" si="52"/>
        <v>26</v>
      </c>
      <c r="CI188" s="9">
        <f t="shared" si="58"/>
        <v>0</v>
      </c>
      <c r="CJ188" s="10">
        <f t="shared" si="53"/>
        <v>41</v>
      </c>
      <c r="CK188" s="10" t="b">
        <f t="shared" si="59"/>
        <v>1</v>
      </c>
      <c r="CL188" s="10" t="b">
        <f t="shared" si="60"/>
        <v>1</v>
      </c>
      <c r="CM188" s="10" t="b">
        <f t="shared" si="61"/>
        <v>1</v>
      </c>
      <c r="CN188" s="9">
        <f t="shared" si="62"/>
        <v>1</v>
      </c>
      <c r="CO188" s="10">
        <f t="shared" ref="CO188:CO193" si="72">(YEAR(AO188)-YEAR(AJ188))*12+MONTH(AO188)-MONTH(AJ188)</f>
        <v>27</v>
      </c>
      <c r="CP188" s="10" t="b">
        <f t="shared" si="63"/>
        <v>1</v>
      </c>
      <c r="CQ188" s="10" t="b">
        <f t="shared" si="64"/>
        <v>1</v>
      </c>
      <c r="CR188" s="10" cm="1">
        <f t="array" ref="CR188">_xlfn.IFS(AND($CI188=0, CK188=FALSE), NA(), AND($CI188=1, CK188=FALSE), 0, CK188=TRUE, 1)</f>
        <v>1</v>
      </c>
      <c r="CS188" s="10" cm="1">
        <f t="array" ref="CS188">_xlfn.IFS(AND($CI188=0, CL188=FALSE), NA(), AND($CI188=1, CL188=FALSE), 0, CL188=TRUE, 1)</f>
        <v>1</v>
      </c>
      <c r="CT188" s="10" cm="1">
        <f t="array" ref="CT188">_xlfn.IFS(AND($CI188=0, CM188=FALSE), NA(), AND($CI188=1, CM188=FALSE), 0, CM188=TRUE, 1)</f>
        <v>1</v>
      </c>
      <c r="CU188" s="10" cm="1">
        <f t="array" ref="CU188">_xlfn.IFS(AND($CN188=0, CP188=FALSE), NA(), AND($CN188=1, CP188=FALSE), 0, CP188=TRUE, 1)</f>
        <v>1</v>
      </c>
      <c r="CV188" s="10" cm="1">
        <f t="array" ref="CV188">_xlfn.IFS(AND($CN188=0, CQ188=FALSE), NA(), AND($CN188=1, CQ188=FALSE), 0, CQ188=TRUE, 1)</f>
        <v>1</v>
      </c>
    </row>
    <row r="189" spans="1:100" ht="15.75" x14ac:dyDescent="0.25">
      <c r="A189" s="8">
        <v>188</v>
      </c>
      <c r="B189" s="9">
        <v>403</v>
      </c>
      <c r="C189" s="10" t="s">
        <v>29</v>
      </c>
      <c r="D189" s="11" t="s">
        <v>147</v>
      </c>
      <c r="E189" s="12">
        <v>25814</v>
      </c>
      <c r="F189" s="13">
        <v>1</v>
      </c>
      <c r="G189" s="9">
        <v>41.681041717529297</v>
      </c>
      <c r="H189" s="12">
        <v>41038</v>
      </c>
      <c r="I189" s="9">
        <v>1</v>
      </c>
      <c r="J189" s="12">
        <v>41038</v>
      </c>
      <c r="K189" s="9">
        <v>0</v>
      </c>
      <c r="L189" s="9">
        <v>3</v>
      </c>
      <c r="M189" s="10" t="s">
        <v>401</v>
      </c>
      <c r="N189" s="9">
        <v>1</v>
      </c>
      <c r="O189" s="10" t="s">
        <v>401</v>
      </c>
      <c r="P189" s="9">
        <v>1</v>
      </c>
      <c r="Q189" s="10" t="s">
        <v>401</v>
      </c>
      <c r="R189" s="12">
        <v>41760</v>
      </c>
      <c r="S189" s="10" t="s">
        <v>145</v>
      </c>
      <c r="T189" s="9">
        <v>5</v>
      </c>
      <c r="U189" s="10" t="s">
        <v>401</v>
      </c>
      <c r="V189" s="10" t="s">
        <v>401</v>
      </c>
      <c r="W189" s="9"/>
      <c r="X189" s="9"/>
      <c r="Y189" s="9">
        <v>3</v>
      </c>
      <c r="Z189" s="14">
        <v>1</v>
      </c>
      <c r="AA189" s="17">
        <v>13.3</v>
      </c>
      <c r="AB189" s="18">
        <v>98</v>
      </c>
      <c r="AC189" s="18">
        <v>16</v>
      </c>
      <c r="AD189" s="9">
        <v>1</v>
      </c>
      <c r="AE189" s="9">
        <v>1</v>
      </c>
      <c r="AF189" s="9">
        <v>1</v>
      </c>
      <c r="AG189" s="9">
        <v>1</v>
      </c>
      <c r="AH189" s="9">
        <v>1</v>
      </c>
      <c r="AI189" s="9">
        <v>0</v>
      </c>
      <c r="AJ189" s="12">
        <v>43091</v>
      </c>
      <c r="AK189" s="9">
        <v>2</v>
      </c>
      <c r="AL189" s="12">
        <v>43382</v>
      </c>
      <c r="AM189" s="9">
        <v>3</v>
      </c>
      <c r="AN189" s="12">
        <v>43335</v>
      </c>
      <c r="AO189" s="12">
        <v>43397</v>
      </c>
      <c r="AP189" s="12">
        <v>43397</v>
      </c>
      <c r="AQ189" s="9">
        <v>1</v>
      </c>
      <c r="AR189" s="9">
        <f t="shared" si="54"/>
        <v>1</v>
      </c>
      <c r="AS189" s="9">
        <v>1</v>
      </c>
      <c r="AT189" s="9">
        <v>2</v>
      </c>
      <c r="AU189" s="9">
        <v>2</v>
      </c>
      <c r="AV189" s="9">
        <f t="shared" si="55"/>
        <v>1</v>
      </c>
      <c r="AW189" s="12">
        <v>44073</v>
      </c>
      <c r="AX189" s="9">
        <v>7800</v>
      </c>
      <c r="AY189" s="9">
        <v>5330</v>
      </c>
      <c r="AZ189" s="9">
        <v>2300</v>
      </c>
      <c r="BA189" s="9">
        <v>5330</v>
      </c>
      <c r="BB189" s="9">
        <v>2300.000244140625</v>
      </c>
      <c r="BC189" s="9">
        <v>310000</v>
      </c>
      <c r="BD189" s="9">
        <v>530</v>
      </c>
      <c r="BE189" s="9">
        <v>120</v>
      </c>
      <c r="BF189" s="9"/>
      <c r="BG189" s="9">
        <v>7340</v>
      </c>
      <c r="BH189" s="9">
        <v>3230</v>
      </c>
      <c r="BI189" s="9">
        <v>1480</v>
      </c>
      <c r="BJ189" s="9">
        <v>328000</v>
      </c>
      <c r="BK189" s="9">
        <v>58</v>
      </c>
      <c r="BL189" s="9">
        <v>40</v>
      </c>
      <c r="BM189" s="9"/>
      <c r="BN189" s="9">
        <v>9790</v>
      </c>
      <c r="BO189" s="9">
        <v>7080</v>
      </c>
      <c r="BP189" s="9">
        <v>1250</v>
      </c>
      <c r="BQ189" s="9">
        <v>497000</v>
      </c>
      <c r="BR189" s="9">
        <v>1410</v>
      </c>
      <c r="BS189" s="9">
        <v>40</v>
      </c>
      <c r="BT189" s="9"/>
      <c r="BU189" s="9">
        <v>10100</v>
      </c>
      <c r="BV189" s="9">
        <v>8030</v>
      </c>
      <c r="BW189" s="9">
        <v>1410</v>
      </c>
      <c r="BX189" s="9">
        <v>376000</v>
      </c>
      <c r="BY189" s="9">
        <v>1080</v>
      </c>
      <c r="BZ189" s="10" t="s">
        <v>554</v>
      </c>
      <c r="CA189" s="9">
        <v>70</v>
      </c>
      <c r="CB189" s="9"/>
      <c r="CC189" s="10">
        <f t="shared" si="56"/>
        <v>2.3173910583611734</v>
      </c>
      <c r="CD189" s="10">
        <f t="shared" si="57"/>
        <v>134.78259438873616</v>
      </c>
      <c r="CE189" s="10">
        <f t="shared" si="71"/>
        <v>718391.2280919638</v>
      </c>
      <c r="CF189" s="10">
        <f t="shared" si="50"/>
        <v>1</v>
      </c>
      <c r="CG189" s="10">
        <f t="shared" si="51"/>
        <v>0</v>
      </c>
      <c r="CH189" s="10">
        <f t="shared" si="52"/>
        <v>10</v>
      </c>
      <c r="CI189" s="9">
        <f t="shared" si="58"/>
        <v>1</v>
      </c>
      <c r="CJ189" s="10">
        <f t="shared" si="53"/>
        <v>32</v>
      </c>
      <c r="CK189" s="10" t="b">
        <f t="shared" si="59"/>
        <v>1</v>
      </c>
      <c r="CL189" s="10" t="b">
        <f t="shared" si="60"/>
        <v>1</v>
      </c>
      <c r="CM189" s="10" t="b">
        <f t="shared" si="61"/>
        <v>1</v>
      </c>
      <c r="CN189" s="9">
        <f t="shared" si="62"/>
        <v>1</v>
      </c>
      <c r="CO189" s="10">
        <f t="shared" si="72"/>
        <v>10</v>
      </c>
      <c r="CP189" s="10" t="b">
        <f t="shared" si="63"/>
        <v>1</v>
      </c>
      <c r="CQ189" s="10" t="b">
        <f t="shared" si="64"/>
        <v>1</v>
      </c>
      <c r="CR189" s="10" cm="1">
        <f t="array" ref="CR189">_xlfn.IFS(AND($CI189=0, CK189=FALSE), NA(), AND($CI189=1, CK189=FALSE), 0, CK189=TRUE, 1)</f>
        <v>1</v>
      </c>
      <c r="CS189" s="10" cm="1">
        <f t="array" ref="CS189">_xlfn.IFS(AND($CI189=0, CL189=FALSE), NA(), AND($CI189=1, CL189=FALSE), 0, CL189=TRUE, 1)</f>
        <v>1</v>
      </c>
      <c r="CT189" s="10" cm="1">
        <f t="array" ref="CT189">_xlfn.IFS(AND($CI189=0, CM189=FALSE), NA(), AND($CI189=1, CM189=FALSE), 0, CM189=TRUE, 1)</f>
        <v>1</v>
      </c>
      <c r="CU189" s="10" cm="1">
        <f t="array" ref="CU189">_xlfn.IFS(AND($CN189=0, CP189=FALSE), NA(), AND($CN189=1, CP189=FALSE), 0, CP189=TRUE, 1)</f>
        <v>1</v>
      </c>
      <c r="CV189" s="10" cm="1">
        <f t="array" ref="CV189">_xlfn.IFS(AND($CN189=0, CQ189=FALSE), NA(), AND($CN189=1, CQ189=FALSE), 0, CQ189=TRUE, 1)</f>
        <v>1</v>
      </c>
    </row>
    <row r="190" spans="1:100" ht="15.75" x14ac:dyDescent="0.25">
      <c r="A190" s="8">
        <v>189</v>
      </c>
      <c r="B190" s="9">
        <v>304</v>
      </c>
      <c r="C190" s="10" t="s">
        <v>24</v>
      </c>
      <c r="D190" s="11" t="s">
        <v>262</v>
      </c>
      <c r="E190" s="12"/>
      <c r="F190" s="13">
        <v>1</v>
      </c>
      <c r="G190" s="9">
        <v>85</v>
      </c>
      <c r="H190" s="12">
        <v>41062</v>
      </c>
      <c r="I190" s="9">
        <v>1</v>
      </c>
      <c r="J190" s="12">
        <v>41051</v>
      </c>
      <c r="K190" s="9">
        <v>0</v>
      </c>
      <c r="L190" s="9">
        <v>1</v>
      </c>
      <c r="M190" s="10" t="s">
        <v>401</v>
      </c>
      <c r="N190" s="9"/>
      <c r="O190" s="10" t="s">
        <v>401</v>
      </c>
      <c r="P190" s="9"/>
      <c r="Q190" s="10" t="s">
        <v>401</v>
      </c>
      <c r="R190" s="12">
        <v>42251</v>
      </c>
      <c r="S190" s="10" t="s">
        <v>146</v>
      </c>
      <c r="T190" s="9">
        <v>6</v>
      </c>
      <c r="U190" s="10" t="s">
        <v>401</v>
      </c>
      <c r="V190" s="10" t="s">
        <v>401</v>
      </c>
      <c r="W190" s="9"/>
      <c r="X190" s="9"/>
      <c r="Y190" s="9">
        <v>3</v>
      </c>
      <c r="Z190" s="14">
        <v>2</v>
      </c>
      <c r="AA190" s="21">
        <v>8.4</v>
      </c>
      <c r="AB190" s="22">
        <v>82</v>
      </c>
      <c r="AC190" s="22">
        <v>17</v>
      </c>
      <c r="AD190" s="9">
        <v>2</v>
      </c>
      <c r="AE190" s="9">
        <v>2</v>
      </c>
      <c r="AF190" s="9">
        <v>1</v>
      </c>
      <c r="AG190" s="9">
        <v>0</v>
      </c>
      <c r="AH190" s="9">
        <v>1</v>
      </c>
      <c r="AI190" s="9">
        <v>0</v>
      </c>
      <c r="AJ190" s="12">
        <v>43382</v>
      </c>
      <c r="AK190" s="9">
        <v>2</v>
      </c>
      <c r="AL190" s="12">
        <v>43500</v>
      </c>
      <c r="AM190" s="9">
        <v>4</v>
      </c>
      <c r="AN190" s="12">
        <v>43509</v>
      </c>
      <c r="AO190" s="12">
        <v>43509</v>
      </c>
      <c r="AP190" s="12">
        <v>43509</v>
      </c>
      <c r="AQ190" s="9">
        <v>1</v>
      </c>
      <c r="AR190" s="9">
        <f t="shared" si="54"/>
        <v>1</v>
      </c>
      <c r="AS190" s="9">
        <v>1</v>
      </c>
      <c r="AT190" s="9">
        <v>2</v>
      </c>
      <c r="AU190" s="9">
        <v>2</v>
      </c>
      <c r="AV190" s="9">
        <f t="shared" si="55"/>
        <v>1</v>
      </c>
      <c r="AW190" s="12">
        <v>44315</v>
      </c>
      <c r="AX190" s="9">
        <v>4420</v>
      </c>
      <c r="AY190" s="9">
        <v>3330</v>
      </c>
      <c r="AZ190" s="9">
        <v>700</v>
      </c>
      <c r="BA190" s="9">
        <v>3330</v>
      </c>
      <c r="BB190" s="9">
        <v>699.99993896484375</v>
      </c>
      <c r="BC190" s="9">
        <v>306000</v>
      </c>
      <c r="BD190" s="9">
        <v>280</v>
      </c>
      <c r="BE190" s="9">
        <v>110</v>
      </c>
      <c r="BF190" s="9">
        <v>251</v>
      </c>
      <c r="BG190" s="9">
        <v>4100</v>
      </c>
      <c r="BH190" s="9">
        <v>3120</v>
      </c>
      <c r="BI190" s="9"/>
      <c r="BJ190" s="9">
        <v>338000</v>
      </c>
      <c r="BK190" s="9"/>
      <c r="BL190" s="9"/>
      <c r="BM190" s="9"/>
      <c r="BN190" s="9">
        <v>4050</v>
      </c>
      <c r="BO190" s="9">
        <v>3126</v>
      </c>
      <c r="BP190" s="9"/>
      <c r="BQ190" s="9">
        <v>332000</v>
      </c>
      <c r="BR190" s="9"/>
      <c r="BS190" s="9"/>
      <c r="BT190" s="9"/>
      <c r="BU190" s="9">
        <v>4210</v>
      </c>
      <c r="BV190" s="9">
        <v>3321</v>
      </c>
      <c r="BW190" s="9"/>
      <c r="BX190" s="9">
        <v>333000</v>
      </c>
      <c r="BY190" s="9"/>
      <c r="BZ190" s="10" t="s">
        <v>401</v>
      </c>
      <c r="CA190" s="9"/>
      <c r="CB190" s="9"/>
      <c r="CC190" s="10">
        <f t="shared" si="56"/>
        <v>4.7571432719328328</v>
      </c>
      <c r="CD190" s="10">
        <f t="shared" si="57"/>
        <v>437.14289525869276</v>
      </c>
      <c r="CE190" s="10">
        <f t="shared" si="71"/>
        <v>1455685.8412114468</v>
      </c>
      <c r="CF190" s="10">
        <f t="shared" si="50"/>
        <v>0</v>
      </c>
      <c r="CG190" s="10">
        <f t="shared" si="51"/>
        <v>0</v>
      </c>
      <c r="CH190" s="10">
        <f t="shared" si="52"/>
        <v>4</v>
      </c>
      <c r="CI190" s="9">
        <f t="shared" si="58"/>
        <v>1</v>
      </c>
      <c r="CJ190" s="10">
        <f t="shared" si="53"/>
        <v>30</v>
      </c>
      <c r="CK190" s="10" t="b">
        <f t="shared" si="59"/>
        <v>1</v>
      </c>
      <c r="CL190" s="10" t="b">
        <f t="shared" si="60"/>
        <v>1</v>
      </c>
      <c r="CM190" s="10" t="b">
        <f t="shared" si="61"/>
        <v>1</v>
      </c>
      <c r="CN190" s="9">
        <f t="shared" si="62"/>
        <v>1</v>
      </c>
      <c r="CO190" s="10">
        <f t="shared" si="72"/>
        <v>4</v>
      </c>
      <c r="CP190" s="10" t="b">
        <f t="shared" si="63"/>
        <v>1</v>
      </c>
      <c r="CQ190" s="10" t="b">
        <f t="shared" si="64"/>
        <v>0</v>
      </c>
      <c r="CR190" s="10" cm="1">
        <f t="array" ref="CR190">_xlfn.IFS(AND($CI190=0, CK190=FALSE), NA(), AND($CI190=1, CK190=FALSE), 0, CK190=TRUE, 1)</f>
        <v>1</v>
      </c>
      <c r="CS190" s="10" cm="1">
        <f t="array" ref="CS190">_xlfn.IFS(AND($CI190=0, CL190=FALSE), NA(), AND($CI190=1, CL190=FALSE), 0, CL190=TRUE, 1)</f>
        <v>1</v>
      </c>
      <c r="CT190" s="10" cm="1">
        <f t="array" ref="CT190">_xlfn.IFS(AND($CI190=0, CM190=FALSE), NA(), AND($CI190=1, CM190=FALSE), 0, CM190=TRUE, 1)</f>
        <v>1</v>
      </c>
      <c r="CU190" s="10" cm="1">
        <f t="array" ref="CU190">_xlfn.IFS(AND($CN190=0, CP190=FALSE), NA(), AND($CN190=1, CP190=FALSE), 0, CP190=TRUE, 1)</f>
        <v>1</v>
      </c>
      <c r="CV190" s="10" cm="1">
        <f t="array" ref="CV190">_xlfn.IFS(AND($CN190=0, CQ190=FALSE), NA(), AND($CN190=1, CQ190=FALSE), 0, CQ190=TRUE, 1)</f>
        <v>0</v>
      </c>
    </row>
    <row r="191" spans="1:100" ht="15.75" x14ac:dyDescent="0.25">
      <c r="A191" s="8">
        <v>190</v>
      </c>
      <c r="B191" s="9">
        <v>461</v>
      </c>
      <c r="C191" s="10" t="s">
        <v>30</v>
      </c>
      <c r="D191" s="11" t="s">
        <v>220</v>
      </c>
      <c r="E191" s="12">
        <v>23214</v>
      </c>
      <c r="F191" s="13">
        <v>1</v>
      </c>
      <c r="G191" s="9">
        <v>48.873374938964844</v>
      </c>
      <c r="H191" s="12">
        <v>41065</v>
      </c>
      <c r="I191" s="9">
        <v>1</v>
      </c>
      <c r="J191" s="12">
        <v>41065</v>
      </c>
      <c r="K191" s="9">
        <v>1</v>
      </c>
      <c r="L191" s="9">
        <v>1</v>
      </c>
      <c r="M191" s="10" t="s">
        <v>401</v>
      </c>
      <c r="N191" s="9">
        <v>2</v>
      </c>
      <c r="O191" s="10" t="s">
        <v>145</v>
      </c>
      <c r="P191" s="9">
        <v>2</v>
      </c>
      <c r="Q191" s="10" t="s">
        <v>145</v>
      </c>
      <c r="R191" s="12">
        <v>41065</v>
      </c>
      <c r="S191" s="10" t="s">
        <v>146</v>
      </c>
      <c r="T191" s="9"/>
      <c r="U191" s="10" t="s">
        <v>401</v>
      </c>
      <c r="V191" s="10" t="s">
        <v>401</v>
      </c>
      <c r="W191" s="9"/>
      <c r="X191" s="9"/>
      <c r="Y191" s="9">
        <v>2</v>
      </c>
      <c r="Z191" s="14">
        <v>2</v>
      </c>
      <c r="AA191" s="15">
        <v>10.9</v>
      </c>
      <c r="AB191" s="16">
        <v>75</v>
      </c>
      <c r="AC191" s="16">
        <v>10</v>
      </c>
      <c r="AD191" s="9">
        <v>2</v>
      </c>
      <c r="AE191" s="9">
        <v>2</v>
      </c>
      <c r="AF191" s="9">
        <v>1</v>
      </c>
      <c r="AG191" s="9">
        <v>0</v>
      </c>
      <c r="AH191" s="9">
        <v>1</v>
      </c>
      <c r="AI191" s="9">
        <v>0</v>
      </c>
      <c r="AJ191" s="12">
        <v>43381</v>
      </c>
      <c r="AK191" s="9">
        <v>2</v>
      </c>
      <c r="AL191" s="12">
        <v>43845</v>
      </c>
      <c r="AM191" s="9">
        <v>3</v>
      </c>
      <c r="AN191" s="12">
        <v>43435</v>
      </c>
      <c r="AO191" s="12">
        <v>43838</v>
      </c>
      <c r="AP191" s="12">
        <v>43838</v>
      </c>
      <c r="AQ191" s="9">
        <v>1</v>
      </c>
      <c r="AR191" s="9">
        <f t="shared" si="54"/>
        <v>1</v>
      </c>
      <c r="AS191" s="9">
        <v>1</v>
      </c>
      <c r="AT191" s="9">
        <v>2</v>
      </c>
      <c r="AU191" s="9">
        <v>2</v>
      </c>
      <c r="AV191" s="9">
        <f t="shared" si="55"/>
        <v>1</v>
      </c>
      <c r="AW191" s="12">
        <v>44068</v>
      </c>
      <c r="AX191" s="9">
        <v>6140</v>
      </c>
      <c r="AY191" s="9">
        <v>3700</v>
      </c>
      <c r="AZ191" s="9">
        <v>1600</v>
      </c>
      <c r="BA191" s="9">
        <v>3700</v>
      </c>
      <c r="BB191" s="9">
        <v>1600.0001220703125</v>
      </c>
      <c r="BC191" s="9">
        <v>215000</v>
      </c>
      <c r="BD191" s="9">
        <v>680</v>
      </c>
      <c r="BE191" s="9">
        <v>200</v>
      </c>
      <c r="BF191" s="9">
        <v>189</v>
      </c>
      <c r="BG191" s="9">
        <v>6890</v>
      </c>
      <c r="BH191" s="9">
        <v>4700</v>
      </c>
      <c r="BI191" s="9">
        <v>1300</v>
      </c>
      <c r="BJ191" s="9">
        <v>298000</v>
      </c>
      <c r="BK191" s="9">
        <v>670</v>
      </c>
      <c r="BL191" s="9">
        <v>210</v>
      </c>
      <c r="BM191" s="9">
        <v>195</v>
      </c>
      <c r="BN191" s="9">
        <v>5910</v>
      </c>
      <c r="BO191" s="9">
        <v>3900</v>
      </c>
      <c r="BP191" s="9">
        <v>1200</v>
      </c>
      <c r="BQ191" s="9">
        <v>316000</v>
      </c>
      <c r="BR191" s="9">
        <v>590</v>
      </c>
      <c r="BS191" s="9">
        <v>200</v>
      </c>
      <c r="BT191" s="9">
        <v>205</v>
      </c>
      <c r="BU191" s="9">
        <v>8770</v>
      </c>
      <c r="BV191" s="9">
        <v>6000</v>
      </c>
      <c r="BW191" s="9">
        <v>2000</v>
      </c>
      <c r="BX191" s="9">
        <v>274000</v>
      </c>
      <c r="BY191" s="9">
        <v>580</v>
      </c>
      <c r="BZ191" s="10" t="s">
        <v>526</v>
      </c>
      <c r="CA191" s="9">
        <v>190</v>
      </c>
      <c r="CB191" s="9">
        <v>208</v>
      </c>
      <c r="CC191" s="10">
        <f t="shared" si="56"/>
        <v>2.3124998235702647</v>
      </c>
      <c r="CD191" s="10">
        <f t="shared" si="57"/>
        <v>134.37498974800189</v>
      </c>
      <c r="CE191" s="10">
        <f t="shared" si="71"/>
        <v>497187.46206760692</v>
      </c>
      <c r="CF191" s="10">
        <f t="shared" si="50"/>
        <v>1</v>
      </c>
      <c r="CG191" s="10">
        <f t="shared" si="51"/>
        <v>0</v>
      </c>
      <c r="CH191" s="10">
        <f t="shared" si="52"/>
        <v>15</v>
      </c>
      <c r="CI191" s="9">
        <f t="shared" si="58"/>
        <v>1</v>
      </c>
      <c r="CJ191" s="10">
        <f t="shared" si="53"/>
        <v>22</v>
      </c>
      <c r="CK191" s="10" t="b">
        <f t="shared" si="59"/>
        <v>1</v>
      </c>
      <c r="CL191" s="10" t="b">
        <f t="shared" si="60"/>
        <v>1</v>
      </c>
      <c r="CM191" s="10" t="b">
        <f t="shared" si="61"/>
        <v>0</v>
      </c>
      <c r="CN191" s="9">
        <f t="shared" si="62"/>
        <v>1</v>
      </c>
      <c r="CO191" s="10">
        <f t="shared" si="72"/>
        <v>15</v>
      </c>
      <c r="CP191" s="10" t="b">
        <f t="shared" si="63"/>
        <v>1</v>
      </c>
      <c r="CQ191" s="10" t="b">
        <f t="shared" si="64"/>
        <v>1</v>
      </c>
      <c r="CR191" s="10" cm="1">
        <f t="array" ref="CR191">_xlfn.IFS(AND($CI191=0, CK191=FALSE), NA(), AND($CI191=1, CK191=FALSE), 0, CK191=TRUE, 1)</f>
        <v>1</v>
      </c>
      <c r="CS191" s="10" cm="1">
        <f t="array" ref="CS191">_xlfn.IFS(AND($CI191=0, CL191=FALSE), NA(), AND($CI191=1, CL191=FALSE), 0, CL191=TRUE, 1)</f>
        <v>1</v>
      </c>
      <c r="CT191" s="10" cm="1">
        <f t="array" ref="CT191">_xlfn.IFS(AND($CI191=0, CM191=FALSE), NA(), AND($CI191=1, CM191=FALSE), 0, CM191=TRUE, 1)</f>
        <v>0</v>
      </c>
      <c r="CU191" s="10" cm="1">
        <f t="array" ref="CU191">_xlfn.IFS(AND($CN191=0, CP191=FALSE), NA(), AND($CN191=1, CP191=FALSE), 0, CP191=TRUE, 1)</f>
        <v>1</v>
      </c>
      <c r="CV191" s="10" cm="1">
        <f t="array" ref="CV191">_xlfn.IFS(AND($CN191=0, CQ191=FALSE), NA(), AND($CN191=1, CQ191=FALSE), 0, CQ191=TRUE, 1)</f>
        <v>1</v>
      </c>
    </row>
    <row r="192" spans="1:100" ht="15.75" x14ac:dyDescent="0.25">
      <c r="A192" s="8">
        <v>191</v>
      </c>
      <c r="B192" s="9">
        <v>153</v>
      </c>
      <c r="C192" s="10" t="s">
        <v>14</v>
      </c>
      <c r="D192" s="11" t="s">
        <v>148</v>
      </c>
      <c r="E192" s="12">
        <v>14777</v>
      </c>
      <c r="F192" s="13">
        <v>1</v>
      </c>
      <c r="G192" s="9">
        <v>71.991783142089844</v>
      </c>
      <c r="H192" s="12">
        <v>41072</v>
      </c>
      <c r="I192" s="9">
        <v>1</v>
      </c>
      <c r="J192" s="12">
        <v>41123</v>
      </c>
      <c r="K192" s="9">
        <v>0</v>
      </c>
      <c r="L192" s="9">
        <v>1</v>
      </c>
      <c r="M192" s="10" t="s">
        <v>401</v>
      </c>
      <c r="N192" s="9">
        <v>2</v>
      </c>
      <c r="O192" s="10" t="s">
        <v>145</v>
      </c>
      <c r="P192" s="9">
        <v>2</v>
      </c>
      <c r="Q192" s="10" t="s">
        <v>145</v>
      </c>
      <c r="R192" s="12">
        <v>43076</v>
      </c>
      <c r="S192" s="10" t="s">
        <v>146</v>
      </c>
      <c r="T192" s="9"/>
      <c r="U192" s="10" t="s">
        <v>401</v>
      </c>
      <c r="V192" s="10" t="s">
        <v>401</v>
      </c>
      <c r="W192" s="9"/>
      <c r="X192" s="9"/>
      <c r="Y192" s="9">
        <v>2</v>
      </c>
      <c r="Z192" s="14">
        <v>2</v>
      </c>
      <c r="AA192" s="15">
        <v>14.1</v>
      </c>
      <c r="AB192" s="16">
        <v>101</v>
      </c>
      <c r="AC192" s="16">
        <v>13</v>
      </c>
      <c r="AD192" s="9">
        <v>2</v>
      </c>
      <c r="AE192" s="9">
        <v>2</v>
      </c>
      <c r="AF192" s="9">
        <v>1</v>
      </c>
      <c r="AG192" s="9">
        <v>0</v>
      </c>
      <c r="AH192" s="9">
        <v>1</v>
      </c>
      <c r="AI192" s="9">
        <v>0</v>
      </c>
      <c r="AJ192" s="12">
        <v>43154</v>
      </c>
      <c r="AK192" s="9">
        <v>2</v>
      </c>
      <c r="AL192" s="12">
        <v>43196</v>
      </c>
      <c r="AM192" s="9">
        <v>4</v>
      </c>
      <c r="AN192" s="12">
        <v>43206</v>
      </c>
      <c r="AO192" s="12">
        <v>43206</v>
      </c>
      <c r="AP192" s="12">
        <v>43206</v>
      </c>
      <c r="AQ192" s="9">
        <v>1</v>
      </c>
      <c r="AR192" s="9">
        <f t="shared" si="54"/>
        <v>1</v>
      </c>
      <c r="AS192" s="9">
        <v>1</v>
      </c>
      <c r="AT192" s="9">
        <v>2</v>
      </c>
      <c r="AU192" s="9">
        <v>2</v>
      </c>
      <c r="AV192" s="9">
        <f t="shared" si="55"/>
        <v>1</v>
      </c>
      <c r="AW192" s="12">
        <v>43593</v>
      </c>
      <c r="AX192" s="9">
        <v>6700</v>
      </c>
      <c r="AY192" s="9">
        <v>4400</v>
      </c>
      <c r="AZ192" s="9">
        <v>1600</v>
      </c>
      <c r="BA192" s="9">
        <v>4400</v>
      </c>
      <c r="BB192" s="9">
        <v>1600.0001220703125</v>
      </c>
      <c r="BC192" s="9">
        <v>165000</v>
      </c>
      <c r="BD192" s="9">
        <v>600</v>
      </c>
      <c r="BE192" s="9">
        <v>100</v>
      </c>
      <c r="BF192" s="9">
        <v>193</v>
      </c>
      <c r="BG192" s="9">
        <v>8500</v>
      </c>
      <c r="BH192" s="9">
        <v>6000</v>
      </c>
      <c r="BI192" s="9">
        <v>1400</v>
      </c>
      <c r="BJ192" s="9">
        <v>216000</v>
      </c>
      <c r="BK192" s="9">
        <v>900</v>
      </c>
      <c r="BL192" s="9">
        <v>200</v>
      </c>
      <c r="BM192" s="9">
        <v>193</v>
      </c>
      <c r="BN192" s="9">
        <v>9700</v>
      </c>
      <c r="BO192" s="9">
        <v>6900</v>
      </c>
      <c r="BP192" s="9">
        <v>1500</v>
      </c>
      <c r="BQ192" s="9">
        <v>221000</v>
      </c>
      <c r="BR192" s="9">
        <v>1000</v>
      </c>
      <c r="BS192" s="9">
        <v>200</v>
      </c>
      <c r="BT192" s="9">
        <v>297</v>
      </c>
      <c r="BU192" s="9">
        <v>12200</v>
      </c>
      <c r="BV192" s="9">
        <v>9100</v>
      </c>
      <c r="BW192" s="9">
        <v>1600</v>
      </c>
      <c r="BX192" s="9">
        <v>262000</v>
      </c>
      <c r="BY192" s="9">
        <v>1200</v>
      </c>
      <c r="BZ192" s="10" t="s">
        <v>524</v>
      </c>
      <c r="CA192" s="9">
        <v>200</v>
      </c>
      <c r="CB192" s="9">
        <v>1089</v>
      </c>
      <c r="CC192" s="10">
        <f t="shared" si="56"/>
        <v>2.7499997901916662</v>
      </c>
      <c r="CD192" s="10">
        <f t="shared" si="57"/>
        <v>103.12499213218749</v>
      </c>
      <c r="CE192" s="10">
        <f t="shared" si="71"/>
        <v>453749.96538162493</v>
      </c>
      <c r="CF192" s="10">
        <f t="shared" si="50"/>
        <v>0</v>
      </c>
      <c r="CG192" s="10">
        <f t="shared" si="51"/>
        <v>0</v>
      </c>
      <c r="CH192" s="10">
        <f t="shared" si="52"/>
        <v>2</v>
      </c>
      <c r="CI192" s="9">
        <f t="shared" si="58"/>
        <v>1</v>
      </c>
      <c r="CJ192" s="10">
        <f t="shared" si="53"/>
        <v>15</v>
      </c>
      <c r="CK192" s="10" t="b">
        <f t="shared" si="59"/>
        <v>1</v>
      </c>
      <c r="CL192" s="10" t="b">
        <f t="shared" si="60"/>
        <v>0</v>
      </c>
      <c r="CM192" s="10" t="b">
        <f t="shared" si="61"/>
        <v>0</v>
      </c>
      <c r="CN192" s="9">
        <f t="shared" si="62"/>
        <v>1</v>
      </c>
      <c r="CO192" s="10">
        <f t="shared" si="72"/>
        <v>2</v>
      </c>
      <c r="CP192" s="10" t="b">
        <f t="shared" si="63"/>
        <v>0</v>
      </c>
      <c r="CQ192" s="10" t="b">
        <f t="shared" si="64"/>
        <v>0</v>
      </c>
      <c r="CR192" s="10" cm="1">
        <f t="array" ref="CR192">_xlfn.IFS(AND($CI192=0, CK192=FALSE), NA(), AND($CI192=1, CK192=FALSE), 0, CK192=TRUE, 1)</f>
        <v>1</v>
      </c>
      <c r="CS192" s="10" cm="1">
        <f t="array" ref="CS192">_xlfn.IFS(AND($CI192=0, CL192=FALSE), NA(), AND($CI192=1, CL192=FALSE), 0, CL192=TRUE, 1)</f>
        <v>0</v>
      </c>
      <c r="CT192" s="10" cm="1">
        <f t="array" ref="CT192">_xlfn.IFS(AND($CI192=0, CM192=FALSE), NA(), AND($CI192=1, CM192=FALSE), 0, CM192=TRUE, 1)</f>
        <v>0</v>
      </c>
      <c r="CU192" s="10" cm="1">
        <f t="array" ref="CU192">_xlfn.IFS(AND($CN192=0, CP192=FALSE), NA(), AND($CN192=1, CP192=FALSE), 0, CP192=TRUE, 1)</f>
        <v>0</v>
      </c>
      <c r="CV192" s="10" cm="1">
        <f t="array" ref="CV192">_xlfn.IFS(AND($CN192=0, CQ192=FALSE), NA(), AND($CN192=1, CQ192=FALSE), 0, CQ192=TRUE, 1)</f>
        <v>0</v>
      </c>
    </row>
    <row r="193" spans="1:100" ht="15.75" x14ac:dyDescent="0.25">
      <c r="A193" s="8">
        <v>192</v>
      </c>
      <c r="B193" s="9">
        <v>169</v>
      </c>
      <c r="C193" s="10" t="s">
        <v>15</v>
      </c>
      <c r="D193" s="11" t="s">
        <v>162</v>
      </c>
      <c r="E193" s="12">
        <v>15463</v>
      </c>
      <c r="F193" s="13">
        <v>1</v>
      </c>
      <c r="G193" s="9">
        <v>70.119094848632813</v>
      </c>
      <c r="H193" s="12">
        <v>41074</v>
      </c>
      <c r="I193" s="9">
        <v>1</v>
      </c>
      <c r="J193" s="12">
        <v>41165</v>
      </c>
      <c r="K193" s="9">
        <v>0</v>
      </c>
      <c r="L193" s="9">
        <v>1</v>
      </c>
      <c r="M193" s="10" t="s">
        <v>401</v>
      </c>
      <c r="N193" s="9"/>
      <c r="O193" s="10" t="s">
        <v>401</v>
      </c>
      <c r="P193" s="9"/>
      <c r="Q193" s="10" t="s">
        <v>401</v>
      </c>
      <c r="R193" s="12">
        <v>41475</v>
      </c>
      <c r="S193" s="10" t="s">
        <v>146</v>
      </c>
      <c r="T193" s="9">
        <v>1</v>
      </c>
      <c r="U193" s="10" t="s">
        <v>150</v>
      </c>
      <c r="V193" s="10" t="s">
        <v>401</v>
      </c>
      <c r="W193" s="9"/>
      <c r="X193" s="9"/>
      <c r="Y193" s="9">
        <v>4</v>
      </c>
      <c r="Z193" s="14"/>
      <c r="AA193" s="17">
        <v>9.9</v>
      </c>
      <c r="AB193" s="18">
        <v>73</v>
      </c>
      <c r="AC193" s="18">
        <v>23</v>
      </c>
      <c r="AD193" s="9">
        <v>3</v>
      </c>
      <c r="AE193" s="9">
        <v>2</v>
      </c>
      <c r="AF193" s="9">
        <v>1</v>
      </c>
      <c r="AG193" s="9">
        <v>1</v>
      </c>
      <c r="AH193" s="9">
        <v>1</v>
      </c>
      <c r="AI193" s="9">
        <v>0</v>
      </c>
      <c r="AJ193" s="12">
        <v>43208</v>
      </c>
      <c r="AK193" s="9">
        <v>2</v>
      </c>
      <c r="AL193" s="12">
        <v>43440</v>
      </c>
      <c r="AM193" s="9">
        <v>2</v>
      </c>
      <c r="AN193" s="12">
        <v>43349</v>
      </c>
      <c r="AO193" s="12">
        <v>43494</v>
      </c>
      <c r="AP193" s="12">
        <v>43494</v>
      </c>
      <c r="AQ193" s="9">
        <v>1</v>
      </c>
      <c r="AR193" s="9">
        <f t="shared" si="54"/>
        <v>1</v>
      </c>
      <c r="AS193" s="9">
        <v>1</v>
      </c>
      <c r="AT193" s="9">
        <v>2</v>
      </c>
      <c r="AU193" s="9">
        <v>2</v>
      </c>
      <c r="AV193" s="9">
        <f t="shared" si="55"/>
        <v>1</v>
      </c>
      <c r="AW193" s="12">
        <v>43494</v>
      </c>
      <c r="AX193" s="9">
        <v>12380</v>
      </c>
      <c r="AY193" s="9">
        <v>10500</v>
      </c>
      <c r="AZ193" s="9"/>
      <c r="BA193" s="9">
        <v>10500</v>
      </c>
      <c r="BB193" s="9">
        <v>1072.434814453125</v>
      </c>
      <c r="BC193" s="9">
        <v>81000</v>
      </c>
      <c r="BD193" s="9"/>
      <c r="BE193" s="9"/>
      <c r="BF193" s="9"/>
      <c r="BG193" s="9">
        <v>160000</v>
      </c>
      <c r="BH193" s="9">
        <v>13800</v>
      </c>
      <c r="BI193" s="9"/>
      <c r="BJ193" s="9">
        <v>84000</v>
      </c>
      <c r="BK193" s="9"/>
      <c r="BL193" s="9"/>
      <c r="BM193" s="9">
        <v>230</v>
      </c>
      <c r="BN193" s="9">
        <v>11750</v>
      </c>
      <c r="BO193" s="9">
        <v>9900</v>
      </c>
      <c r="BP193" s="9"/>
      <c r="BQ193" s="9">
        <v>82000</v>
      </c>
      <c r="BR193" s="9"/>
      <c r="BS193" s="9"/>
      <c r="BT193" s="9">
        <v>219</v>
      </c>
      <c r="BU193" s="9">
        <v>12350</v>
      </c>
      <c r="BV193" s="9">
        <v>10300</v>
      </c>
      <c r="BW193" s="9"/>
      <c r="BX193" s="9">
        <v>79000</v>
      </c>
      <c r="BY193" s="9"/>
      <c r="BZ193" s="10" t="s">
        <v>401</v>
      </c>
      <c r="CA193" s="9"/>
      <c r="CB193" s="9">
        <v>202</v>
      </c>
      <c r="CC193" s="10">
        <f t="shared" si="56"/>
        <v>9.7908048661720724</v>
      </c>
      <c r="CD193" s="10">
        <f t="shared" si="57"/>
        <v>75.529066110470268</v>
      </c>
      <c r="CE193" s="10">
        <f t="shared" si="71"/>
        <v>793055.19415993791</v>
      </c>
      <c r="CF193" s="10">
        <f t="shared" si="50"/>
        <v>1</v>
      </c>
      <c r="CG193" s="10">
        <f t="shared" si="51"/>
        <v>1</v>
      </c>
      <c r="CH193" s="10">
        <f t="shared" si="52"/>
        <v>8</v>
      </c>
      <c r="CI193" s="9">
        <f t="shared" si="58"/>
        <v>1</v>
      </c>
      <c r="CJ193" s="10">
        <f t="shared" si="53"/>
        <v>9</v>
      </c>
      <c r="CK193" s="10" t="b">
        <f t="shared" si="59"/>
        <v>1</v>
      </c>
      <c r="CL193" s="10" t="b">
        <f t="shared" si="60"/>
        <v>0</v>
      </c>
      <c r="CM193" s="10" t="b">
        <f t="shared" si="61"/>
        <v>0</v>
      </c>
      <c r="CN193" s="9">
        <f t="shared" si="62"/>
        <v>1</v>
      </c>
      <c r="CO193" s="10">
        <f t="shared" si="72"/>
        <v>9</v>
      </c>
      <c r="CP193" s="10" t="b">
        <f t="shared" si="63"/>
        <v>1</v>
      </c>
      <c r="CQ193" s="10" t="b">
        <f t="shared" si="64"/>
        <v>1</v>
      </c>
      <c r="CR193" s="10" cm="1">
        <f t="array" ref="CR193">_xlfn.IFS(AND($CI193=0, CK193=FALSE), NA(), AND($CI193=1, CK193=FALSE), 0, CK193=TRUE, 1)</f>
        <v>1</v>
      </c>
      <c r="CS193" s="10" cm="1">
        <f t="array" ref="CS193">_xlfn.IFS(AND($CI193=0, CL193=FALSE), NA(), AND($CI193=1, CL193=FALSE), 0, CL193=TRUE, 1)</f>
        <v>0</v>
      </c>
      <c r="CT193" s="10" cm="1">
        <f t="array" ref="CT193">_xlfn.IFS(AND($CI193=0, CM193=FALSE), NA(), AND($CI193=1, CM193=FALSE), 0, CM193=TRUE, 1)</f>
        <v>0</v>
      </c>
      <c r="CU193" s="10" cm="1">
        <f t="array" ref="CU193">_xlfn.IFS(AND($CN193=0, CP193=FALSE), NA(), AND($CN193=1, CP193=FALSE), 0, CP193=TRUE, 1)</f>
        <v>1</v>
      </c>
      <c r="CV193" s="10" cm="1">
        <f t="array" ref="CV193">_xlfn.IFS(AND($CN193=0, CQ193=FALSE), NA(), AND($CN193=1, CQ193=FALSE), 0, CQ193=TRUE, 1)</f>
        <v>1</v>
      </c>
    </row>
    <row r="194" spans="1:100" ht="15.75" x14ac:dyDescent="0.25">
      <c r="A194" s="8">
        <v>193</v>
      </c>
      <c r="B194" s="9">
        <v>259</v>
      </c>
      <c r="C194" s="10" t="s">
        <v>21</v>
      </c>
      <c r="D194" s="11" t="s">
        <v>240</v>
      </c>
      <c r="E194" s="12">
        <v>15589</v>
      </c>
      <c r="F194" s="13">
        <v>1</v>
      </c>
      <c r="G194" s="9">
        <v>69.776863098144531</v>
      </c>
      <c r="H194" s="12">
        <v>41075</v>
      </c>
      <c r="I194" s="9">
        <v>1</v>
      </c>
      <c r="J194" s="12">
        <v>41086</v>
      </c>
      <c r="K194" s="9">
        <v>0</v>
      </c>
      <c r="L194" s="9">
        <v>1</v>
      </c>
      <c r="M194" s="10" t="s">
        <v>401</v>
      </c>
      <c r="N194" s="9">
        <v>1</v>
      </c>
      <c r="O194" s="10" t="s">
        <v>401</v>
      </c>
      <c r="P194" s="9">
        <v>1</v>
      </c>
      <c r="Q194" s="10" t="s">
        <v>401</v>
      </c>
      <c r="R194" s="12">
        <v>41725</v>
      </c>
      <c r="S194" s="10" t="s">
        <v>145</v>
      </c>
      <c r="T194" s="9"/>
      <c r="U194" s="10" t="s">
        <v>401</v>
      </c>
      <c r="V194" s="10" t="s">
        <v>401</v>
      </c>
      <c r="W194" s="9"/>
      <c r="X194" s="9"/>
      <c r="Y194" s="9">
        <v>2</v>
      </c>
      <c r="Z194" s="14">
        <v>1</v>
      </c>
      <c r="AA194" s="15">
        <v>12.2</v>
      </c>
      <c r="AB194" s="16">
        <v>101</v>
      </c>
      <c r="AC194" s="16">
        <v>15</v>
      </c>
      <c r="AD194" s="9">
        <v>1</v>
      </c>
      <c r="AE194" s="9">
        <v>1</v>
      </c>
      <c r="AF194" s="9">
        <v>1</v>
      </c>
      <c r="AG194" s="9">
        <v>1</v>
      </c>
      <c r="AH194" s="9">
        <v>1</v>
      </c>
      <c r="AI194" s="9">
        <v>0</v>
      </c>
      <c r="AJ194" s="12">
        <v>42494</v>
      </c>
      <c r="AK194" s="9">
        <v>1</v>
      </c>
      <c r="AL194" s="12">
        <v>44936</v>
      </c>
      <c r="AM194" s="9">
        <v>2</v>
      </c>
      <c r="AN194" s="12">
        <v>42635</v>
      </c>
      <c r="AO194" s="12"/>
      <c r="AP194" s="12"/>
      <c r="AQ194" s="9">
        <v>2</v>
      </c>
      <c r="AR194" s="9">
        <f t="shared" si="54"/>
        <v>0</v>
      </c>
      <c r="AS194" s="9">
        <v>2</v>
      </c>
      <c r="AT194" s="9"/>
      <c r="AU194" s="9">
        <v>1</v>
      </c>
      <c r="AV194" s="9">
        <f t="shared" si="55"/>
        <v>0</v>
      </c>
      <c r="AW194" s="12">
        <v>44935</v>
      </c>
      <c r="AX194" s="9">
        <v>5240</v>
      </c>
      <c r="AY194" s="9">
        <v>3160</v>
      </c>
      <c r="AZ194" s="9">
        <v>1310</v>
      </c>
      <c r="BA194" s="9">
        <v>3160</v>
      </c>
      <c r="BB194" s="9">
        <v>1310.0001220703125</v>
      </c>
      <c r="BC194" s="9">
        <v>214000</v>
      </c>
      <c r="BD194" s="9">
        <v>660</v>
      </c>
      <c r="BE194" s="9">
        <v>100</v>
      </c>
      <c r="BF194" s="9">
        <v>189</v>
      </c>
      <c r="BG194" s="9">
        <v>6000</v>
      </c>
      <c r="BH194" s="9">
        <v>3350</v>
      </c>
      <c r="BI194" s="9">
        <v>1440</v>
      </c>
      <c r="BJ194" s="9">
        <v>333000</v>
      </c>
      <c r="BK194" s="9">
        <v>720</v>
      </c>
      <c r="BL194" s="9">
        <v>200</v>
      </c>
      <c r="BM194" s="9">
        <v>144</v>
      </c>
      <c r="BN194" s="9">
        <v>7190</v>
      </c>
      <c r="BO194" s="9">
        <v>4350</v>
      </c>
      <c r="BP194" s="9">
        <v>1140</v>
      </c>
      <c r="BQ194" s="9">
        <v>207000</v>
      </c>
      <c r="BR194" s="9">
        <v>770</v>
      </c>
      <c r="BS194" s="9">
        <v>30</v>
      </c>
      <c r="BT194" s="9"/>
      <c r="BU194" s="9">
        <v>6100</v>
      </c>
      <c r="BV194" s="9">
        <v>3580</v>
      </c>
      <c r="BW194" s="9">
        <v>1440</v>
      </c>
      <c r="BX194" s="9">
        <v>241000</v>
      </c>
      <c r="BY194" s="9">
        <v>770</v>
      </c>
      <c r="BZ194" s="10" t="s">
        <v>526</v>
      </c>
      <c r="CA194" s="9">
        <v>190</v>
      </c>
      <c r="CB194" s="9">
        <v>155</v>
      </c>
      <c r="CC194" s="10">
        <f t="shared" si="56"/>
        <v>2.4122135156796505</v>
      </c>
      <c r="CD194" s="10">
        <f t="shared" si="57"/>
        <v>163.35876340362191</v>
      </c>
      <c r="CE194" s="10">
        <f t="shared" si="71"/>
        <v>516213.69235544518</v>
      </c>
      <c r="CF194" s="10">
        <f t="shared" ref="CF194:CF257" si="73">IF(AM194=4, 0,1)</f>
        <v>1</v>
      </c>
      <c r="CG194" s="10">
        <f t="shared" ref="CG194:CG257" si="74">IF(OR(AM194=4,AM194=3), 0,1)</f>
        <v>1</v>
      </c>
      <c r="CH194" s="10">
        <f t="shared" ref="CH194:CH257" si="75">(YEAR(AL194)-YEAR(AJ194))*12+MONTH(AL194)-MONTH(AJ194)</f>
        <v>80</v>
      </c>
      <c r="CI194" s="9">
        <f t="shared" si="58"/>
        <v>0</v>
      </c>
      <c r="CJ194" s="10">
        <f t="shared" ref="CJ194:CJ257" si="76">(YEAR(AW194)-YEAR(AJ194))*12+MONTH(AW194)-MONTH(AJ194)</f>
        <v>80</v>
      </c>
      <c r="CK194" s="10" t="b">
        <f t="shared" si="59"/>
        <v>1</v>
      </c>
      <c r="CL194" s="10" t="b">
        <f t="shared" si="60"/>
        <v>1</v>
      </c>
      <c r="CM194" s="10" t="b">
        <f t="shared" si="61"/>
        <v>1</v>
      </c>
      <c r="CN194" s="9">
        <f t="shared" si="62"/>
        <v>0</v>
      </c>
      <c r="CO194" s="10">
        <f t="shared" ref="CO194:CO195" si="77">CJ194</f>
        <v>80</v>
      </c>
      <c r="CP194" s="10" t="b">
        <f t="shared" si="63"/>
        <v>1</v>
      </c>
      <c r="CQ194" s="10" t="b">
        <f t="shared" si="64"/>
        <v>1</v>
      </c>
      <c r="CR194" s="10" cm="1">
        <f t="array" ref="CR194">_xlfn.IFS(AND($CI194=0, CK194=FALSE), NA(), AND($CI194=1, CK194=FALSE), 0, CK194=TRUE, 1)</f>
        <v>1</v>
      </c>
      <c r="CS194" s="10" cm="1">
        <f t="array" ref="CS194">_xlfn.IFS(AND($CI194=0, CL194=FALSE), NA(), AND($CI194=1, CL194=FALSE), 0, CL194=TRUE, 1)</f>
        <v>1</v>
      </c>
      <c r="CT194" s="10" cm="1">
        <f t="array" ref="CT194">_xlfn.IFS(AND($CI194=0, CM194=FALSE), NA(), AND($CI194=1, CM194=FALSE), 0, CM194=TRUE, 1)</f>
        <v>1</v>
      </c>
      <c r="CU194" s="10" cm="1">
        <f t="array" ref="CU194">_xlfn.IFS(AND($CN194=0, CP194=FALSE), NA(), AND($CN194=1, CP194=FALSE), 0, CP194=TRUE, 1)</f>
        <v>1</v>
      </c>
      <c r="CV194" s="10" cm="1">
        <f t="array" ref="CV194">_xlfn.IFS(AND($CN194=0, CQ194=FALSE), NA(), AND($CN194=1, CQ194=FALSE), 0, CQ194=TRUE, 1)</f>
        <v>1</v>
      </c>
    </row>
    <row r="195" spans="1:100" ht="15.75" x14ac:dyDescent="0.25">
      <c r="A195" s="8">
        <v>194</v>
      </c>
      <c r="B195" s="9">
        <v>319</v>
      </c>
      <c r="C195" s="10" t="s">
        <v>25</v>
      </c>
      <c r="D195" s="11" t="s">
        <v>268</v>
      </c>
      <c r="E195" s="12">
        <v>20585</v>
      </c>
      <c r="F195" s="13">
        <v>1</v>
      </c>
      <c r="G195" s="9">
        <v>56.098564147949219</v>
      </c>
      <c r="H195" s="12">
        <v>41075</v>
      </c>
      <c r="I195" s="9">
        <v>1</v>
      </c>
      <c r="J195" s="12">
        <v>41075</v>
      </c>
      <c r="K195" s="9">
        <v>0</v>
      </c>
      <c r="L195" s="9">
        <v>1</v>
      </c>
      <c r="M195" s="10" t="s">
        <v>401</v>
      </c>
      <c r="N195" s="9">
        <v>1</v>
      </c>
      <c r="O195" s="10" t="s">
        <v>401</v>
      </c>
      <c r="P195" s="9">
        <v>1</v>
      </c>
      <c r="Q195" s="10" t="s">
        <v>401</v>
      </c>
      <c r="R195" s="12">
        <v>43132</v>
      </c>
      <c r="S195" s="10" t="s">
        <v>145</v>
      </c>
      <c r="T195" s="9"/>
      <c r="U195" s="10" t="s">
        <v>401</v>
      </c>
      <c r="V195" s="10" t="s">
        <v>401</v>
      </c>
      <c r="W195" s="9"/>
      <c r="X195" s="9"/>
      <c r="Y195" s="9">
        <v>2</v>
      </c>
      <c r="Z195" s="14">
        <v>1</v>
      </c>
      <c r="AA195" s="15">
        <v>14.7</v>
      </c>
      <c r="AB195" s="16">
        <v>82.2</v>
      </c>
      <c r="AC195" s="16">
        <v>12.2</v>
      </c>
      <c r="AD195" s="9">
        <v>1</v>
      </c>
      <c r="AE195" s="9">
        <v>1</v>
      </c>
      <c r="AF195" s="9">
        <v>1</v>
      </c>
      <c r="AG195" s="9">
        <v>1</v>
      </c>
      <c r="AH195" s="9">
        <v>1</v>
      </c>
      <c r="AI195" s="9">
        <v>0</v>
      </c>
      <c r="AJ195" s="12">
        <v>43305</v>
      </c>
      <c r="AK195" s="9">
        <v>2</v>
      </c>
      <c r="AL195" s="12">
        <v>43649</v>
      </c>
      <c r="AM195" s="9">
        <v>2</v>
      </c>
      <c r="AN195" s="12">
        <v>43477</v>
      </c>
      <c r="AO195" s="12"/>
      <c r="AP195" s="12"/>
      <c r="AQ195" s="9">
        <v>2</v>
      </c>
      <c r="AR195" s="9">
        <f t="shared" ref="AR195:AR258" si="78">IF(AQ195=1,1,0)</f>
        <v>0</v>
      </c>
      <c r="AS195" s="9">
        <v>2</v>
      </c>
      <c r="AT195" s="9"/>
      <c r="AU195" s="9">
        <v>1</v>
      </c>
      <c r="AV195" s="9">
        <f t="shared" ref="AV195:AV258" si="79">IF(AU195=2,1,0)</f>
        <v>0</v>
      </c>
      <c r="AW195" s="12">
        <v>44900</v>
      </c>
      <c r="AX195" s="9">
        <v>8460</v>
      </c>
      <c r="AY195" s="9">
        <v>5399</v>
      </c>
      <c r="AZ195" s="9">
        <v>2300</v>
      </c>
      <c r="BA195" s="9">
        <v>5399</v>
      </c>
      <c r="BB195" s="9">
        <v>2300.000244140625</v>
      </c>
      <c r="BC195" s="9">
        <v>230000</v>
      </c>
      <c r="BD195" s="9">
        <v>400</v>
      </c>
      <c r="BE195" s="9">
        <v>200</v>
      </c>
      <c r="BF195" s="9">
        <v>175</v>
      </c>
      <c r="BG195" s="9">
        <v>8200</v>
      </c>
      <c r="BH195" s="9">
        <v>5300</v>
      </c>
      <c r="BI195" s="9">
        <v>2200</v>
      </c>
      <c r="BJ195" s="9">
        <v>200000</v>
      </c>
      <c r="BK195" s="9">
        <v>400</v>
      </c>
      <c r="BL195" s="9">
        <v>200</v>
      </c>
      <c r="BM195" s="9">
        <v>170</v>
      </c>
      <c r="BN195" s="9">
        <v>6520</v>
      </c>
      <c r="BO195" s="9">
        <v>3900</v>
      </c>
      <c r="BP195" s="9">
        <v>1900</v>
      </c>
      <c r="BQ195" s="9">
        <v>180000</v>
      </c>
      <c r="BR195" s="9">
        <v>400</v>
      </c>
      <c r="BS195" s="9">
        <v>200</v>
      </c>
      <c r="BT195" s="9">
        <v>145</v>
      </c>
      <c r="BU195" s="9">
        <v>6990</v>
      </c>
      <c r="BV195" s="9">
        <v>4200</v>
      </c>
      <c r="BW195" s="9">
        <v>2000</v>
      </c>
      <c r="BX195" s="9">
        <v>203000</v>
      </c>
      <c r="BY195" s="9">
        <v>400</v>
      </c>
      <c r="BZ195" s="10" t="s">
        <v>524</v>
      </c>
      <c r="CA195" s="9">
        <v>200</v>
      </c>
      <c r="CB195" s="9">
        <v>142</v>
      </c>
      <c r="CC195" s="10">
        <f t="shared" ref="CC195:CC258" si="80">BA195/BB195</f>
        <v>2.3473910551767307</v>
      </c>
      <c r="CD195" s="10">
        <f t="shared" ref="CD195:CD258" si="81">BC195/BB195</f>
        <v>99.999989385191341</v>
      </c>
      <c r="CE195" s="10">
        <f t="shared" si="71"/>
        <v>539899.94269064802</v>
      </c>
      <c r="CF195" s="10">
        <f t="shared" si="73"/>
        <v>1</v>
      </c>
      <c r="CG195" s="10">
        <f t="shared" si="74"/>
        <v>1</v>
      </c>
      <c r="CH195" s="10">
        <f t="shared" si="75"/>
        <v>12</v>
      </c>
      <c r="CI195" s="9">
        <f t="shared" ref="CI195:CI258" si="82">AV195</f>
        <v>0</v>
      </c>
      <c r="CJ195" s="10">
        <f t="shared" si="76"/>
        <v>53</v>
      </c>
      <c r="CK195" s="10" t="b">
        <f t="shared" ref="CK195:CK258" si="83">IF(CJ195&gt;=6, TRUE, FALSE)</f>
        <v>1</v>
      </c>
      <c r="CL195" s="10" t="b">
        <f t="shared" ref="CL195:CL258" si="84">IF(CJ195&gt;=18, TRUE, FALSE)</f>
        <v>1</v>
      </c>
      <c r="CM195" s="10" t="b">
        <f t="shared" ref="CM195:CM258" si="85">IF(CJ195&gt;=24, TRUE, FALSE)</f>
        <v>1</v>
      </c>
      <c r="CN195" s="9">
        <f t="shared" ref="CN195:CN258" si="86">AR195</f>
        <v>0</v>
      </c>
      <c r="CO195" s="10">
        <f t="shared" si="77"/>
        <v>53</v>
      </c>
      <c r="CP195" s="10" t="b">
        <f t="shared" ref="CP195:CP258" si="87">IF(CO195&gt;=3, TRUE, FALSE)</f>
        <v>1</v>
      </c>
      <c r="CQ195" s="10" t="b">
        <f t="shared" ref="CQ195:CQ258" si="88">IF(CO195&gt;=9, TRUE, FALSE)</f>
        <v>1</v>
      </c>
      <c r="CR195" s="10" cm="1">
        <f t="array" ref="CR195">_xlfn.IFS(AND($CI195=0, CK195=FALSE), NA(), AND($CI195=1, CK195=FALSE), 0, CK195=TRUE, 1)</f>
        <v>1</v>
      </c>
      <c r="CS195" s="10" cm="1">
        <f t="array" ref="CS195">_xlfn.IFS(AND($CI195=0, CL195=FALSE), NA(), AND($CI195=1, CL195=FALSE), 0, CL195=TRUE, 1)</f>
        <v>1</v>
      </c>
      <c r="CT195" s="10" cm="1">
        <f t="array" ref="CT195">_xlfn.IFS(AND($CI195=0, CM195=FALSE), NA(), AND($CI195=1, CM195=FALSE), 0, CM195=TRUE, 1)</f>
        <v>1</v>
      </c>
      <c r="CU195" s="10" cm="1">
        <f t="array" ref="CU195">_xlfn.IFS(AND($CN195=0, CP195=FALSE), NA(), AND($CN195=1, CP195=FALSE), 0, CP195=TRUE, 1)</f>
        <v>1</v>
      </c>
      <c r="CV195" s="10" cm="1">
        <f t="array" ref="CV195">_xlfn.IFS(AND($CN195=0, CQ195=FALSE), NA(), AND($CN195=1, CQ195=FALSE), 0, CQ195=TRUE, 1)</f>
        <v>1</v>
      </c>
    </row>
    <row r="196" spans="1:100" ht="15.75" x14ac:dyDescent="0.25">
      <c r="A196" s="8">
        <v>195</v>
      </c>
      <c r="B196" s="9">
        <v>376</v>
      </c>
      <c r="C196" s="10" t="s">
        <v>28</v>
      </c>
      <c r="D196" s="11" t="s">
        <v>249</v>
      </c>
      <c r="E196" s="12">
        <v>15611</v>
      </c>
      <c r="F196" s="13">
        <v>1</v>
      </c>
      <c r="G196" s="9">
        <v>69.785079956054688</v>
      </c>
      <c r="H196" s="12">
        <v>41100</v>
      </c>
      <c r="I196" s="9">
        <v>1</v>
      </c>
      <c r="J196" s="12">
        <v>41123</v>
      </c>
      <c r="K196" s="9">
        <v>1</v>
      </c>
      <c r="L196" s="9">
        <v>2</v>
      </c>
      <c r="M196" s="10" t="s">
        <v>401</v>
      </c>
      <c r="N196" s="9">
        <v>2</v>
      </c>
      <c r="O196" s="10" t="s">
        <v>409</v>
      </c>
      <c r="P196" s="9">
        <v>2</v>
      </c>
      <c r="Q196" s="10" t="s">
        <v>409</v>
      </c>
      <c r="R196" s="12">
        <v>41100</v>
      </c>
      <c r="S196" s="10" t="s">
        <v>145</v>
      </c>
      <c r="T196" s="9">
        <v>6</v>
      </c>
      <c r="U196" s="10" t="s">
        <v>401</v>
      </c>
      <c r="V196" s="10" t="s">
        <v>401</v>
      </c>
      <c r="W196" s="9"/>
      <c r="X196" s="9"/>
      <c r="Y196" s="9">
        <v>3</v>
      </c>
      <c r="Z196" s="14">
        <v>1</v>
      </c>
      <c r="AA196" s="21">
        <v>8.8000000000000007</v>
      </c>
      <c r="AB196" s="22">
        <v>79</v>
      </c>
      <c r="AC196" s="22">
        <v>21</v>
      </c>
      <c r="AD196" s="9">
        <v>2</v>
      </c>
      <c r="AE196" s="9">
        <v>3</v>
      </c>
      <c r="AF196" s="9">
        <v>1</v>
      </c>
      <c r="AG196" s="9">
        <v>1</v>
      </c>
      <c r="AH196" s="9">
        <v>1</v>
      </c>
      <c r="AI196" s="9">
        <v>0</v>
      </c>
      <c r="AJ196" s="12">
        <v>42506</v>
      </c>
      <c r="AK196" s="9">
        <v>2</v>
      </c>
      <c r="AL196" s="12">
        <v>42719</v>
      </c>
      <c r="AM196" s="9">
        <v>3</v>
      </c>
      <c r="AN196" s="12">
        <v>42563</v>
      </c>
      <c r="AO196" s="12">
        <v>42731</v>
      </c>
      <c r="AP196" s="12">
        <v>42731</v>
      </c>
      <c r="AQ196" s="9">
        <v>1</v>
      </c>
      <c r="AR196" s="9">
        <f t="shared" si="78"/>
        <v>1</v>
      </c>
      <c r="AS196" s="9">
        <v>1</v>
      </c>
      <c r="AT196" s="9">
        <v>2</v>
      </c>
      <c r="AU196" s="9">
        <v>2</v>
      </c>
      <c r="AV196" s="9">
        <f t="shared" si="79"/>
        <v>1</v>
      </c>
      <c r="AW196" s="12">
        <v>44009</v>
      </c>
      <c r="AX196" s="9">
        <v>3580</v>
      </c>
      <c r="AY196" s="9">
        <v>2690</v>
      </c>
      <c r="AZ196" s="9">
        <v>530</v>
      </c>
      <c r="BA196" s="9">
        <v>2690</v>
      </c>
      <c r="BB196" s="9">
        <v>530.0001220703125</v>
      </c>
      <c r="BC196" s="9">
        <v>154000</v>
      </c>
      <c r="BD196" s="9">
        <v>170</v>
      </c>
      <c r="BE196" s="9">
        <v>140</v>
      </c>
      <c r="BF196" s="9">
        <v>612</v>
      </c>
      <c r="BG196" s="9">
        <v>4880</v>
      </c>
      <c r="BH196" s="9">
        <v>3540</v>
      </c>
      <c r="BI196" s="9">
        <v>690</v>
      </c>
      <c r="BJ196" s="9">
        <v>227000</v>
      </c>
      <c r="BK196" s="9">
        <v>390</v>
      </c>
      <c r="BL196" s="9">
        <v>130</v>
      </c>
      <c r="BM196" s="9">
        <v>476</v>
      </c>
      <c r="BN196" s="9">
        <v>5240</v>
      </c>
      <c r="BO196" s="9">
        <v>3850</v>
      </c>
      <c r="BP196" s="9">
        <v>650</v>
      </c>
      <c r="BQ196" s="9">
        <v>216000</v>
      </c>
      <c r="BR196" s="9">
        <v>440</v>
      </c>
      <c r="BS196" s="9">
        <v>210</v>
      </c>
      <c r="BT196" s="9">
        <v>426</v>
      </c>
      <c r="BU196" s="9">
        <v>5040</v>
      </c>
      <c r="BV196" s="9">
        <v>3810</v>
      </c>
      <c r="BW196" s="9">
        <v>600</v>
      </c>
      <c r="BX196" s="9">
        <v>274000</v>
      </c>
      <c r="BY196" s="9">
        <v>400</v>
      </c>
      <c r="BZ196" s="10" t="s">
        <v>536</v>
      </c>
      <c r="CA196" s="9">
        <v>160</v>
      </c>
      <c r="CB196" s="9">
        <v>385</v>
      </c>
      <c r="CC196" s="10">
        <f t="shared" si="80"/>
        <v>5.0754705291240123</v>
      </c>
      <c r="CD196" s="10">
        <f t="shared" si="81"/>
        <v>290.56597081230404</v>
      </c>
      <c r="CE196" s="10">
        <f t="shared" si="71"/>
        <v>781622.46148509788</v>
      </c>
      <c r="CF196" s="10">
        <f t="shared" si="73"/>
        <v>1</v>
      </c>
      <c r="CG196" s="10">
        <f t="shared" si="74"/>
        <v>0</v>
      </c>
      <c r="CH196" s="10">
        <f t="shared" si="75"/>
        <v>7</v>
      </c>
      <c r="CI196" s="9">
        <f t="shared" si="82"/>
        <v>1</v>
      </c>
      <c r="CJ196" s="10">
        <f t="shared" si="76"/>
        <v>49</v>
      </c>
      <c r="CK196" s="10" t="b">
        <f t="shared" si="83"/>
        <v>1</v>
      </c>
      <c r="CL196" s="10" t="b">
        <f t="shared" si="84"/>
        <v>1</v>
      </c>
      <c r="CM196" s="10" t="b">
        <f t="shared" si="85"/>
        <v>1</v>
      </c>
      <c r="CN196" s="9">
        <f t="shared" si="86"/>
        <v>1</v>
      </c>
      <c r="CO196" s="10">
        <f t="shared" ref="CO196:CO202" si="89">(YEAR(AO196)-YEAR(AJ196))*12+MONTH(AO196)-MONTH(AJ196)</f>
        <v>7</v>
      </c>
      <c r="CP196" s="10" t="b">
        <f t="shared" si="87"/>
        <v>1</v>
      </c>
      <c r="CQ196" s="10" t="b">
        <f t="shared" si="88"/>
        <v>0</v>
      </c>
      <c r="CR196" s="10" cm="1">
        <f t="array" ref="CR196">_xlfn.IFS(AND($CI196=0, CK196=FALSE), NA(), AND($CI196=1, CK196=FALSE), 0, CK196=TRUE, 1)</f>
        <v>1</v>
      </c>
      <c r="CS196" s="10" cm="1">
        <f t="array" ref="CS196">_xlfn.IFS(AND($CI196=0, CL196=FALSE), NA(), AND($CI196=1, CL196=FALSE), 0, CL196=TRUE, 1)</f>
        <v>1</v>
      </c>
      <c r="CT196" s="10" cm="1">
        <f t="array" ref="CT196">_xlfn.IFS(AND($CI196=0, CM196=FALSE), NA(), AND($CI196=1, CM196=FALSE), 0, CM196=TRUE, 1)</f>
        <v>1</v>
      </c>
      <c r="CU196" s="10" cm="1">
        <f t="array" ref="CU196">_xlfn.IFS(AND($CN196=0, CP196=FALSE), NA(), AND($CN196=1, CP196=FALSE), 0, CP196=TRUE, 1)</f>
        <v>1</v>
      </c>
      <c r="CV196" s="10" cm="1">
        <f t="array" ref="CV196">_xlfn.IFS(AND($CN196=0, CQ196=FALSE), NA(), AND($CN196=1, CQ196=FALSE), 0, CQ196=TRUE, 1)</f>
        <v>0</v>
      </c>
    </row>
    <row r="197" spans="1:100" ht="15.75" x14ac:dyDescent="0.25">
      <c r="A197" s="8">
        <v>196</v>
      </c>
      <c r="B197" s="9">
        <v>396</v>
      </c>
      <c r="C197" s="10" t="s">
        <v>29</v>
      </c>
      <c r="D197" s="11" t="s">
        <v>310</v>
      </c>
      <c r="E197" s="12">
        <v>29449</v>
      </c>
      <c r="F197" s="13">
        <v>2</v>
      </c>
      <c r="G197" s="9">
        <v>31.906913757324219</v>
      </c>
      <c r="H197" s="12">
        <v>41103</v>
      </c>
      <c r="I197" s="9">
        <v>1</v>
      </c>
      <c r="J197" s="12">
        <v>41103</v>
      </c>
      <c r="K197" s="9">
        <v>0</v>
      </c>
      <c r="L197" s="9">
        <v>1</v>
      </c>
      <c r="M197" s="10" t="s">
        <v>401</v>
      </c>
      <c r="N197" s="9">
        <v>1</v>
      </c>
      <c r="O197" s="10" t="s">
        <v>401</v>
      </c>
      <c r="P197" s="9">
        <v>1</v>
      </c>
      <c r="Q197" s="10" t="s">
        <v>401</v>
      </c>
      <c r="R197" s="12">
        <v>42562</v>
      </c>
      <c r="S197" s="10" t="s">
        <v>145</v>
      </c>
      <c r="T197" s="9"/>
      <c r="U197" s="10" t="s">
        <v>401</v>
      </c>
      <c r="V197" s="10" t="s">
        <v>401</v>
      </c>
      <c r="W197" s="9"/>
      <c r="X197" s="9"/>
      <c r="Y197" s="9">
        <v>2</v>
      </c>
      <c r="Z197" s="14">
        <v>1</v>
      </c>
      <c r="AA197" s="17">
        <v>14.7</v>
      </c>
      <c r="AB197" s="18">
        <v>95</v>
      </c>
      <c r="AC197" s="18">
        <v>14</v>
      </c>
      <c r="AD197" s="9">
        <v>1</v>
      </c>
      <c r="AE197" s="9">
        <v>1</v>
      </c>
      <c r="AF197" s="9">
        <v>1</v>
      </c>
      <c r="AG197" s="9">
        <v>0</v>
      </c>
      <c r="AH197" s="9">
        <v>1</v>
      </c>
      <c r="AI197" s="9">
        <v>0</v>
      </c>
      <c r="AJ197" s="12">
        <v>43339</v>
      </c>
      <c r="AK197" s="9">
        <v>2</v>
      </c>
      <c r="AL197" s="12">
        <v>43339</v>
      </c>
      <c r="AM197" s="9">
        <v>4</v>
      </c>
      <c r="AN197" s="12">
        <v>43423</v>
      </c>
      <c r="AO197" s="12">
        <v>43423</v>
      </c>
      <c r="AP197" s="12">
        <v>43423</v>
      </c>
      <c r="AQ197" s="9">
        <v>1</v>
      </c>
      <c r="AR197" s="9">
        <f t="shared" si="78"/>
        <v>1</v>
      </c>
      <c r="AS197" s="9">
        <v>1</v>
      </c>
      <c r="AT197" s="9">
        <v>2</v>
      </c>
      <c r="AU197" s="9">
        <v>2</v>
      </c>
      <c r="AV197" s="9">
        <f t="shared" si="79"/>
        <v>1</v>
      </c>
      <c r="AW197" s="12">
        <v>43682</v>
      </c>
      <c r="AX197" s="9">
        <v>9780</v>
      </c>
      <c r="AY197" s="9">
        <v>7150</v>
      </c>
      <c r="AZ197" s="9">
        <v>1420</v>
      </c>
      <c r="BA197" s="9">
        <v>7150</v>
      </c>
      <c r="BB197" s="9">
        <v>1420.000244140625</v>
      </c>
      <c r="BC197" s="9">
        <v>461000</v>
      </c>
      <c r="BD197" s="9">
        <v>79</v>
      </c>
      <c r="BE197" s="9">
        <v>6</v>
      </c>
      <c r="BF197" s="9"/>
      <c r="BG197" s="9">
        <v>6510</v>
      </c>
      <c r="BH197" s="9">
        <v>4130</v>
      </c>
      <c r="BI197" s="9">
        <v>1360</v>
      </c>
      <c r="BJ197" s="9">
        <v>348000</v>
      </c>
      <c r="BK197" s="9">
        <v>84</v>
      </c>
      <c r="BL197" s="9">
        <v>11</v>
      </c>
      <c r="BM197" s="9"/>
      <c r="BN197" s="9">
        <v>5170</v>
      </c>
      <c r="BO197" s="9">
        <v>5170</v>
      </c>
      <c r="BP197" s="9">
        <v>1280</v>
      </c>
      <c r="BQ197" s="9">
        <v>364000</v>
      </c>
      <c r="BR197" s="9">
        <v>73</v>
      </c>
      <c r="BS197" s="9">
        <v>44</v>
      </c>
      <c r="BT197" s="9"/>
      <c r="BU197" s="9"/>
      <c r="BV197" s="9"/>
      <c r="BW197" s="9"/>
      <c r="BX197" s="9"/>
      <c r="BY197" s="9"/>
      <c r="BZ197" s="10" t="s">
        <v>401</v>
      </c>
      <c r="CA197" s="9"/>
      <c r="CB197" s="9"/>
      <c r="CC197" s="10">
        <f t="shared" si="80"/>
        <v>5.0352104019018205</v>
      </c>
      <c r="CD197" s="10">
        <f t="shared" si="81"/>
        <v>324.64783150723628</v>
      </c>
      <c r="CE197" s="10">
        <f t="shared" si="71"/>
        <v>2321231.9952767394</v>
      </c>
      <c r="CF197" s="10">
        <f t="shared" si="73"/>
        <v>0</v>
      </c>
      <c r="CG197" s="10">
        <f t="shared" si="74"/>
        <v>0</v>
      </c>
      <c r="CH197" s="10">
        <f t="shared" si="75"/>
        <v>0</v>
      </c>
      <c r="CI197" s="9">
        <f t="shared" si="82"/>
        <v>1</v>
      </c>
      <c r="CJ197" s="10">
        <f t="shared" si="76"/>
        <v>12</v>
      </c>
      <c r="CK197" s="10" t="b">
        <f t="shared" si="83"/>
        <v>1</v>
      </c>
      <c r="CL197" s="10" t="b">
        <f t="shared" si="84"/>
        <v>0</v>
      </c>
      <c r="CM197" s="10" t="b">
        <f t="shared" si="85"/>
        <v>0</v>
      </c>
      <c r="CN197" s="9">
        <f t="shared" si="86"/>
        <v>1</v>
      </c>
      <c r="CO197" s="10">
        <f t="shared" si="89"/>
        <v>3</v>
      </c>
      <c r="CP197" s="10" t="b">
        <f t="shared" si="87"/>
        <v>1</v>
      </c>
      <c r="CQ197" s="10" t="b">
        <f t="shared" si="88"/>
        <v>0</v>
      </c>
      <c r="CR197" s="10" cm="1">
        <f t="array" ref="CR197">_xlfn.IFS(AND($CI197=0, CK197=FALSE), NA(), AND($CI197=1, CK197=FALSE), 0, CK197=TRUE, 1)</f>
        <v>1</v>
      </c>
      <c r="CS197" s="10" cm="1">
        <f t="array" ref="CS197">_xlfn.IFS(AND($CI197=0, CL197=FALSE), NA(), AND($CI197=1, CL197=FALSE), 0, CL197=TRUE, 1)</f>
        <v>0</v>
      </c>
      <c r="CT197" s="10" cm="1">
        <f t="array" ref="CT197">_xlfn.IFS(AND($CI197=0, CM197=FALSE), NA(), AND($CI197=1, CM197=FALSE), 0, CM197=TRUE, 1)</f>
        <v>0</v>
      </c>
      <c r="CU197" s="10" cm="1">
        <f t="array" ref="CU197">_xlfn.IFS(AND($CN197=0, CP197=FALSE), NA(), AND($CN197=1, CP197=FALSE), 0, CP197=TRUE, 1)</f>
        <v>1</v>
      </c>
      <c r="CV197" s="10" cm="1">
        <f t="array" ref="CV197">_xlfn.IFS(AND($CN197=0, CQ197=FALSE), NA(), AND($CN197=1, CQ197=FALSE), 0, CQ197=TRUE, 1)</f>
        <v>0</v>
      </c>
    </row>
    <row r="198" spans="1:100" ht="15.75" x14ac:dyDescent="0.25">
      <c r="A198" s="8">
        <v>197</v>
      </c>
      <c r="B198" s="9">
        <v>357</v>
      </c>
      <c r="C198" s="10" t="s">
        <v>28</v>
      </c>
      <c r="D198" s="11" t="s">
        <v>288</v>
      </c>
      <c r="E198" s="12">
        <v>22113</v>
      </c>
      <c r="F198" s="13">
        <v>2</v>
      </c>
      <c r="G198" s="9">
        <v>52.021903991699219</v>
      </c>
      <c r="H198" s="12">
        <v>41114</v>
      </c>
      <c r="I198" s="9">
        <v>1</v>
      </c>
      <c r="J198" s="12">
        <v>41094</v>
      </c>
      <c r="K198" s="9">
        <v>0</v>
      </c>
      <c r="L198" s="9">
        <v>1</v>
      </c>
      <c r="M198" s="10" t="s">
        <v>401</v>
      </c>
      <c r="N198" s="9">
        <v>2</v>
      </c>
      <c r="O198" s="10" t="s">
        <v>145</v>
      </c>
      <c r="P198" s="9">
        <v>2</v>
      </c>
      <c r="Q198" s="10" t="s">
        <v>145</v>
      </c>
      <c r="R198" s="12">
        <v>41227</v>
      </c>
      <c r="S198" s="10" t="s">
        <v>145</v>
      </c>
      <c r="T198" s="9">
        <v>5</v>
      </c>
      <c r="U198" s="10" t="s">
        <v>401</v>
      </c>
      <c r="V198" s="10" t="s">
        <v>401</v>
      </c>
      <c r="W198" s="9"/>
      <c r="X198" s="9"/>
      <c r="Y198" s="9">
        <v>3</v>
      </c>
      <c r="Z198" s="14">
        <v>1</v>
      </c>
      <c r="AA198" s="35"/>
      <c r="AB198" s="36"/>
      <c r="AC198" s="36"/>
      <c r="AD198" s="9">
        <v>2</v>
      </c>
      <c r="AE198" s="9">
        <v>2</v>
      </c>
      <c r="AF198" s="9">
        <v>1</v>
      </c>
      <c r="AG198" s="9">
        <v>1</v>
      </c>
      <c r="AH198" s="9">
        <v>1</v>
      </c>
      <c r="AI198" s="9">
        <v>0</v>
      </c>
      <c r="AJ198" s="12">
        <v>42460</v>
      </c>
      <c r="AK198" s="9">
        <v>2</v>
      </c>
      <c r="AL198" s="12">
        <v>42647</v>
      </c>
      <c r="AM198" s="9">
        <v>3</v>
      </c>
      <c r="AN198" s="12">
        <v>42507</v>
      </c>
      <c r="AO198" s="12">
        <v>42647</v>
      </c>
      <c r="AP198" s="12">
        <v>42647</v>
      </c>
      <c r="AQ198" s="9">
        <v>1</v>
      </c>
      <c r="AR198" s="9">
        <f t="shared" si="78"/>
        <v>1</v>
      </c>
      <c r="AS198" s="9">
        <v>1</v>
      </c>
      <c r="AT198" s="9">
        <v>2</v>
      </c>
      <c r="AU198" s="9">
        <v>2</v>
      </c>
      <c r="AV198" s="9">
        <f t="shared" si="79"/>
        <v>1</v>
      </c>
      <c r="AW198" s="12">
        <v>43263</v>
      </c>
      <c r="AX198" s="9">
        <v>6740</v>
      </c>
      <c r="AY198" s="9">
        <v>4960</v>
      </c>
      <c r="AZ198" s="9">
        <v>1150</v>
      </c>
      <c r="BA198" s="9">
        <v>4960</v>
      </c>
      <c r="BB198" s="9">
        <v>1150.0001220703125</v>
      </c>
      <c r="BC198" s="9">
        <v>250000</v>
      </c>
      <c r="BD198" s="9">
        <v>400</v>
      </c>
      <c r="BE198" s="9">
        <v>70</v>
      </c>
      <c r="BF198" s="9">
        <v>369</v>
      </c>
      <c r="BG198" s="9">
        <v>5770</v>
      </c>
      <c r="BH198" s="9">
        <v>4030</v>
      </c>
      <c r="BI198" s="9">
        <v>980</v>
      </c>
      <c r="BJ198" s="9">
        <v>229000</v>
      </c>
      <c r="BK198" s="9">
        <v>330</v>
      </c>
      <c r="BL198" s="9">
        <v>250</v>
      </c>
      <c r="BM198" s="9">
        <v>359</v>
      </c>
      <c r="BN198" s="9">
        <v>6310</v>
      </c>
      <c r="BO198" s="9">
        <v>4440</v>
      </c>
      <c r="BP198" s="9">
        <v>1170</v>
      </c>
      <c r="BQ198" s="9">
        <v>251000</v>
      </c>
      <c r="BR198" s="9">
        <v>390</v>
      </c>
      <c r="BS198" s="9">
        <v>90</v>
      </c>
      <c r="BT198" s="9">
        <v>386</v>
      </c>
      <c r="BU198" s="9">
        <v>6240</v>
      </c>
      <c r="BV198" s="9">
        <v>4280</v>
      </c>
      <c r="BW198" s="9">
        <v>1270</v>
      </c>
      <c r="BX198" s="9">
        <v>275000</v>
      </c>
      <c r="BY198" s="9">
        <v>410</v>
      </c>
      <c r="BZ198" s="10" t="s">
        <v>525</v>
      </c>
      <c r="CA198" s="9">
        <v>100</v>
      </c>
      <c r="CB198" s="9">
        <v>410</v>
      </c>
      <c r="CC198" s="10">
        <f t="shared" si="80"/>
        <v>4.3130430204395571</v>
      </c>
      <c r="CD198" s="10">
        <f t="shared" si="81"/>
        <v>217.39128127215508</v>
      </c>
      <c r="CE198" s="10">
        <f t="shared" si="71"/>
        <v>1078260.7551098892</v>
      </c>
      <c r="CF198" s="10">
        <f t="shared" si="73"/>
        <v>1</v>
      </c>
      <c r="CG198" s="10">
        <f t="shared" si="74"/>
        <v>0</v>
      </c>
      <c r="CH198" s="10">
        <f t="shared" si="75"/>
        <v>7</v>
      </c>
      <c r="CI198" s="9">
        <f t="shared" si="82"/>
        <v>1</v>
      </c>
      <c r="CJ198" s="10">
        <f t="shared" si="76"/>
        <v>27</v>
      </c>
      <c r="CK198" s="10" t="b">
        <f t="shared" si="83"/>
        <v>1</v>
      </c>
      <c r="CL198" s="10" t="b">
        <f t="shared" si="84"/>
        <v>1</v>
      </c>
      <c r="CM198" s="10" t="b">
        <f t="shared" si="85"/>
        <v>1</v>
      </c>
      <c r="CN198" s="9">
        <f t="shared" si="86"/>
        <v>1</v>
      </c>
      <c r="CO198" s="10">
        <f t="shared" si="89"/>
        <v>7</v>
      </c>
      <c r="CP198" s="10" t="b">
        <f t="shared" si="87"/>
        <v>1</v>
      </c>
      <c r="CQ198" s="10" t="b">
        <f t="shared" si="88"/>
        <v>0</v>
      </c>
      <c r="CR198" s="10" cm="1">
        <f t="array" ref="CR198">_xlfn.IFS(AND($CI198=0, CK198=FALSE), NA(), AND($CI198=1, CK198=FALSE), 0, CK198=TRUE, 1)</f>
        <v>1</v>
      </c>
      <c r="CS198" s="10" cm="1">
        <f t="array" ref="CS198">_xlfn.IFS(AND($CI198=0, CL198=FALSE), NA(), AND($CI198=1, CL198=FALSE), 0, CL198=TRUE, 1)</f>
        <v>1</v>
      </c>
      <c r="CT198" s="10" cm="1">
        <f t="array" ref="CT198">_xlfn.IFS(AND($CI198=0, CM198=FALSE), NA(), AND($CI198=1, CM198=FALSE), 0, CM198=TRUE, 1)</f>
        <v>1</v>
      </c>
      <c r="CU198" s="10" cm="1">
        <f t="array" ref="CU198">_xlfn.IFS(AND($CN198=0, CP198=FALSE), NA(), AND($CN198=1, CP198=FALSE), 0, CP198=TRUE, 1)</f>
        <v>1</v>
      </c>
      <c r="CV198" s="10" cm="1">
        <f t="array" ref="CV198">_xlfn.IFS(AND($CN198=0, CQ198=FALSE), NA(), AND($CN198=1, CQ198=FALSE), 0, CQ198=TRUE, 1)</f>
        <v>0</v>
      </c>
    </row>
    <row r="199" spans="1:100" ht="15.75" x14ac:dyDescent="0.25">
      <c r="A199" s="8">
        <v>198</v>
      </c>
      <c r="B199" s="9">
        <v>386</v>
      </c>
      <c r="C199" s="10" t="s">
        <v>29</v>
      </c>
      <c r="D199" s="11" t="s">
        <v>301</v>
      </c>
      <c r="E199" s="12">
        <v>18060</v>
      </c>
      <c r="F199" s="13">
        <v>1</v>
      </c>
      <c r="G199" s="9">
        <v>63.123886108398438</v>
      </c>
      <c r="H199" s="12">
        <v>41116</v>
      </c>
      <c r="I199" s="9">
        <v>1</v>
      </c>
      <c r="J199" s="12">
        <v>41116</v>
      </c>
      <c r="K199" s="9">
        <v>0</v>
      </c>
      <c r="L199" s="9">
        <v>1</v>
      </c>
      <c r="M199" s="10" t="s">
        <v>401</v>
      </c>
      <c r="N199" s="9">
        <v>1</v>
      </c>
      <c r="O199" s="10" t="s">
        <v>401</v>
      </c>
      <c r="P199" s="9">
        <v>1</v>
      </c>
      <c r="Q199" s="10" t="s">
        <v>401</v>
      </c>
      <c r="R199" s="12">
        <v>42562</v>
      </c>
      <c r="S199" s="10" t="s">
        <v>146</v>
      </c>
      <c r="T199" s="9"/>
      <c r="U199" s="10" t="s">
        <v>401</v>
      </c>
      <c r="V199" s="10" t="s">
        <v>401</v>
      </c>
      <c r="W199" s="9"/>
      <c r="X199" s="9"/>
      <c r="Y199" s="9">
        <v>2</v>
      </c>
      <c r="Z199" s="14">
        <v>2</v>
      </c>
      <c r="AA199" s="17">
        <v>11.1</v>
      </c>
      <c r="AB199" s="18">
        <v>96</v>
      </c>
      <c r="AC199" s="18"/>
      <c r="AD199" s="9">
        <v>2</v>
      </c>
      <c r="AE199" s="9">
        <v>2</v>
      </c>
      <c r="AF199" s="9">
        <v>1</v>
      </c>
      <c r="AG199" s="9">
        <v>0</v>
      </c>
      <c r="AH199" s="9">
        <v>1</v>
      </c>
      <c r="AI199" s="9">
        <v>1</v>
      </c>
      <c r="AJ199" s="12">
        <v>43426</v>
      </c>
      <c r="AK199" s="9">
        <v>2</v>
      </c>
      <c r="AL199" s="12">
        <v>43510</v>
      </c>
      <c r="AM199" s="9">
        <v>4</v>
      </c>
      <c r="AN199" s="12">
        <v>43524</v>
      </c>
      <c r="AO199" s="12">
        <v>43524</v>
      </c>
      <c r="AP199" s="12">
        <v>43524</v>
      </c>
      <c r="AQ199" s="9">
        <v>1</v>
      </c>
      <c r="AR199" s="9">
        <f t="shared" si="78"/>
        <v>1</v>
      </c>
      <c r="AS199" s="9">
        <v>1</v>
      </c>
      <c r="AT199" s="9">
        <v>2</v>
      </c>
      <c r="AU199" s="9">
        <v>2</v>
      </c>
      <c r="AV199" s="9">
        <f t="shared" si="79"/>
        <v>1</v>
      </c>
      <c r="AW199" s="12">
        <v>43544</v>
      </c>
      <c r="AX199" s="9">
        <v>9370</v>
      </c>
      <c r="AY199" s="9">
        <v>6610</v>
      </c>
      <c r="AZ199" s="9">
        <v>2850</v>
      </c>
      <c r="BA199" s="9">
        <v>6610</v>
      </c>
      <c r="BB199" s="9">
        <v>2850</v>
      </c>
      <c r="BC199" s="9">
        <v>191000</v>
      </c>
      <c r="BD199" s="9">
        <v>100</v>
      </c>
      <c r="BE199" s="9">
        <v>75</v>
      </c>
      <c r="BF199" s="9">
        <v>140</v>
      </c>
      <c r="BG199" s="9">
        <v>8990</v>
      </c>
      <c r="BH199" s="9">
        <v>7050</v>
      </c>
      <c r="BI199" s="9">
        <v>1100</v>
      </c>
      <c r="BJ199" s="9">
        <v>249000</v>
      </c>
      <c r="BK199" s="9">
        <v>63</v>
      </c>
      <c r="BL199" s="9">
        <v>19</v>
      </c>
      <c r="BM199" s="9"/>
      <c r="BN199" s="9">
        <v>7680</v>
      </c>
      <c r="BO199" s="9">
        <v>6333</v>
      </c>
      <c r="BP199" s="9">
        <v>830</v>
      </c>
      <c r="BQ199" s="9">
        <v>183000</v>
      </c>
      <c r="BR199" s="9">
        <v>43</v>
      </c>
      <c r="BS199" s="9">
        <v>7</v>
      </c>
      <c r="BT199" s="9"/>
      <c r="BU199" s="9">
        <v>7080</v>
      </c>
      <c r="BV199" s="9">
        <v>5690</v>
      </c>
      <c r="BW199" s="9">
        <v>750</v>
      </c>
      <c r="BX199" s="9">
        <v>224000</v>
      </c>
      <c r="BY199" s="9">
        <v>64</v>
      </c>
      <c r="BZ199" s="10" t="s">
        <v>442</v>
      </c>
      <c r="CA199" s="9">
        <v>0</v>
      </c>
      <c r="CB199" s="9"/>
      <c r="CC199" s="10">
        <f t="shared" si="80"/>
        <v>2.3192982456140352</v>
      </c>
      <c r="CD199" s="10">
        <f t="shared" si="81"/>
        <v>67.017543859649123</v>
      </c>
      <c r="CE199" s="10">
        <f t="shared" si="71"/>
        <v>442985.96491228073</v>
      </c>
      <c r="CF199" s="10">
        <f t="shared" si="73"/>
        <v>0</v>
      </c>
      <c r="CG199" s="10">
        <f t="shared" si="74"/>
        <v>0</v>
      </c>
      <c r="CH199" s="10">
        <f t="shared" si="75"/>
        <v>3</v>
      </c>
      <c r="CI199" s="9">
        <f t="shared" si="82"/>
        <v>1</v>
      </c>
      <c r="CJ199" s="10">
        <f t="shared" si="76"/>
        <v>4</v>
      </c>
      <c r="CK199" s="10" t="b">
        <f t="shared" si="83"/>
        <v>0</v>
      </c>
      <c r="CL199" s="10" t="b">
        <f t="shared" si="84"/>
        <v>0</v>
      </c>
      <c r="CM199" s="10" t="b">
        <f t="shared" si="85"/>
        <v>0</v>
      </c>
      <c r="CN199" s="9">
        <f t="shared" si="86"/>
        <v>1</v>
      </c>
      <c r="CO199" s="10">
        <f t="shared" si="89"/>
        <v>3</v>
      </c>
      <c r="CP199" s="10" t="b">
        <f t="shared" si="87"/>
        <v>1</v>
      </c>
      <c r="CQ199" s="10" t="b">
        <f t="shared" si="88"/>
        <v>0</v>
      </c>
      <c r="CR199" s="10" cm="1">
        <f t="array" ref="CR199">_xlfn.IFS(AND($CI199=0, CK199=FALSE), NA(), AND($CI199=1, CK199=FALSE), 0, CK199=TRUE, 1)</f>
        <v>0</v>
      </c>
      <c r="CS199" s="10" cm="1">
        <f t="array" ref="CS199">_xlfn.IFS(AND($CI199=0, CL199=FALSE), NA(), AND($CI199=1, CL199=FALSE), 0, CL199=TRUE, 1)</f>
        <v>0</v>
      </c>
      <c r="CT199" s="10" cm="1">
        <f t="array" ref="CT199">_xlfn.IFS(AND($CI199=0, CM199=FALSE), NA(), AND($CI199=1, CM199=FALSE), 0, CM199=TRUE, 1)</f>
        <v>0</v>
      </c>
      <c r="CU199" s="10" cm="1">
        <f t="array" ref="CU199">_xlfn.IFS(AND($CN199=0, CP199=FALSE), NA(), AND($CN199=1, CP199=FALSE), 0, CP199=TRUE, 1)</f>
        <v>1</v>
      </c>
      <c r="CV199" s="10" cm="1">
        <f t="array" ref="CV199">_xlfn.IFS(AND($CN199=0, CQ199=FALSE), NA(), AND($CN199=1, CQ199=FALSE), 0, CQ199=TRUE, 1)</f>
        <v>0</v>
      </c>
    </row>
    <row r="200" spans="1:100" x14ac:dyDescent="0.25">
      <c r="A200" s="8">
        <v>199</v>
      </c>
      <c r="B200" s="9">
        <v>106</v>
      </c>
      <c r="C200" s="10" t="s">
        <v>12</v>
      </c>
      <c r="D200" s="11" t="s">
        <v>131</v>
      </c>
      <c r="E200" s="12">
        <v>13920</v>
      </c>
      <c r="F200" s="13">
        <v>1</v>
      </c>
      <c r="G200" s="9">
        <v>74.475013732910156</v>
      </c>
      <c r="H200" s="12">
        <v>41122</v>
      </c>
      <c r="I200" s="9">
        <v>1</v>
      </c>
      <c r="J200" s="12">
        <v>41157</v>
      </c>
      <c r="K200" s="9">
        <v>0</v>
      </c>
      <c r="L200" s="9">
        <v>1</v>
      </c>
      <c r="M200" s="10" t="s">
        <v>401</v>
      </c>
      <c r="N200" s="9">
        <v>3</v>
      </c>
      <c r="O200" s="10" t="s">
        <v>419</v>
      </c>
      <c r="P200" s="9">
        <v>3</v>
      </c>
      <c r="Q200" s="10" t="s">
        <v>419</v>
      </c>
      <c r="R200" s="12">
        <v>41320</v>
      </c>
      <c r="S200" s="10" t="s">
        <v>146</v>
      </c>
      <c r="T200" s="9">
        <v>6</v>
      </c>
      <c r="U200" s="10" t="s">
        <v>401</v>
      </c>
      <c r="V200" s="10" t="s">
        <v>401</v>
      </c>
      <c r="W200" s="9"/>
      <c r="X200" s="9"/>
      <c r="Y200" s="9">
        <v>3</v>
      </c>
      <c r="Z200" s="19">
        <v>2</v>
      </c>
      <c r="AB200" s="9"/>
      <c r="AC200" s="9"/>
      <c r="AD200" s="9">
        <v>3</v>
      </c>
      <c r="AE200" s="9">
        <v>3</v>
      </c>
      <c r="AF200" s="9">
        <v>2</v>
      </c>
      <c r="AG200" s="9">
        <v>0</v>
      </c>
      <c r="AH200" s="9">
        <v>1</v>
      </c>
      <c r="AI200" s="9">
        <v>0</v>
      </c>
      <c r="AJ200" s="12">
        <v>43129</v>
      </c>
      <c r="AK200" s="9">
        <v>2</v>
      </c>
      <c r="AL200" s="12">
        <v>43144</v>
      </c>
      <c r="AM200" s="9">
        <v>4</v>
      </c>
      <c r="AN200" s="12">
        <v>43208</v>
      </c>
      <c r="AO200" s="12">
        <v>43208</v>
      </c>
      <c r="AP200" s="12">
        <v>43208</v>
      </c>
      <c r="AQ200" s="9">
        <v>1</v>
      </c>
      <c r="AR200" s="9">
        <f t="shared" si="78"/>
        <v>1</v>
      </c>
      <c r="AS200" s="9">
        <v>1</v>
      </c>
      <c r="AT200" s="9">
        <v>2</v>
      </c>
      <c r="AU200" s="9">
        <v>1</v>
      </c>
      <c r="AV200" s="9">
        <f t="shared" si="79"/>
        <v>0</v>
      </c>
      <c r="AW200" s="12">
        <v>43711</v>
      </c>
      <c r="AX200" s="9">
        <v>8690</v>
      </c>
      <c r="AY200" s="9">
        <v>6010</v>
      </c>
      <c r="AZ200" s="9">
        <v>1640</v>
      </c>
      <c r="BA200" s="9">
        <v>6010</v>
      </c>
      <c r="BB200" s="9">
        <v>1640</v>
      </c>
      <c r="BC200" s="9">
        <v>219000</v>
      </c>
      <c r="BD200" s="9">
        <v>910</v>
      </c>
      <c r="BE200" s="9">
        <v>30</v>
      </c>
      <c r="BF200" s="9"/>
      <c r="BG200" s="9">
        <v>7620</v>
      </c>
      <c r="BH200" s="9">
        <v>5030</v>
      </c>
      <c r="BI200" s="9">
        <v>1640</v>
      </c>
      <c r="BJ200" s="9">
        <v>189000</v>
      </c>
      <c r="BK200" s="9">
        <v>710</v>
      </c>
      <c r="BL200" s="9">
        <v>220</v>
      </c>
      <c r="BM200" s="9"/>
      <c r="BN200" s="9">
        <v>6720</v>
      </c>
      <c r="BO200" s="9">
        <v>4370</v>
      </c>
      <c r="BP200" s="9">
        <v>1460</v>
      </c>
      <c r="BQ200" s="9">
        <v>194000</v>
      </c>
      <c r="BR200" s="9">
        <v>680</v>
      </c>
      <c r="BS200" s="9">
        <v>200</v>
      </c>
      <c r="BT200" s="9"/>
      <c r="BU200" s="9"/>
      <c r="BV200" s="9"/>
      <c r="BW200" s="9"/>
      <c r="BX200" s="9"/>
      <c r="BY200" s="9"/>
      <c r="BZ200" s="10" t="s">
        <v>401</v>
      </c>
      <c r="CA200" s="9"/>
      <c r="CB200" s="9"/>
      <c r="CC200" s="10">
        <f t="shared" si="80"/>
        <v>3.6646341463414633</v>
      </c>
      <c r="CD200" s="10">
        <f t="shared" si="81"/>
        <v>133.53658536585365</v>
      </c>
      <c r="CE200" s="10">
        <f t="shared" si="71"/>
        <v>802554.87804878049</v>
      </c>
      <c r="CF200" s="10">
        <f t="shared" si="73"/>
        <v>0</v>
      </c>
      <c r="CG200" s="10">
        <f t="shared" si="74"/>
        <v>0</v>
      </c>
      <c r="CH200" s="10">
        <f t="shared" si="75"/>
        <v>1</v>
      </c>
      <c r="CI200" s="9">
        <f t="shared" si="82"/>
        <v>0</v>
      </c>
      <c r="CJ200" s="10">
        <f t="shared" si="76"/>
        <v>20</v>
      </c>
      <c r="CK200" s="10" t="b">
        <f t="shared" si="83"/>
        <v>1</v>
      </c>
      <c r="CL200" s="10" t="b">
        <f t="shared" si="84"/>
        <v>1</v>
      </c>
      <c r="CM200" s="10" t="b">
        <f t="shared" si="85"/>
        <v>0</v>
      </c>
      <c r="CN200" s="9">
        <f t="shared" si="86"/>
        <v>1</v>
      </c>
      <c r="CO200" s="10">
        <f t="shared" si="89"/>
        <v>3</v>
      </c>
      <c r="CP200" s="10" t="b">
        <f t="shared" si="87"/>
        <v>1</v>
      </c>
      <c r="CQ200" s="10" t="b">
        <f t="shared" si="88"/>
        <v>0</v>
      </c>
      <c r="CR200" s="10" cm="1">
        <f t="array" ref="CR200">_xlfn.IFS(AND($CI200=0, CK200=FALSE), NA(), AND($CI200=1, CK200=FALSE), 0, CK200=TRUE, 1)</f>
        <v>1</v>
      </c>
      <c r="CS200" s="10" cm="1">
        <f t="array" ref="CS200">_xlfn.IFS(AND($CI200=0, CL200=FALSE), NA(), AND($CI200=1, CL200=FALSE), 0, CL200=TRUE, 1)</f>
        <v>1</v>
      </c>
      <c r="CT200" s="10" t="e" cm="1">
        <f t="array" ref="CT200">_xlfn.IFS(AND($CI200=0, CM200=FALSE), NA(), AND($CI200=1, CM200=FALSE), 0, CM200=TRUE, 1)</f>
        <v>#N/A</v>
      </c>
      <c r="CU200" s="10" cm="1">
        <f t="array" ref="CU200">_xlfn.IFS(AND($CN200=0, CP200=FALSE), NA(), AND($CN200=1, CP200=FALSE), 0, CP200=TRUE, 1)</f>
        <v>1</v>
      </c>
      <c r="CV200" s="10" cm="1">
        <f t="array" ref="CV200">_xlfn.IFS(AND($CN200=0, CQ200=FALSE), NA(), AND($CN200=1, CQ200=FALSE), 0, CQ200=TRUE, 1)</f>
        <v>0</v>
      </c>
    </row>
    <row r="201" spans="1:100" ht="15.75" x14ac:dyDescent="0.25">
      <c r="A201" s="8">
        <v>200</v>
      </c>
      <c r="B201" s="9">
        <v>370</v>
      </c>
      <c r="C201" s="10" t="s">
        <v>28</v>
      </c>
      <c r="D201" s="11" t="s">
        <v>54</v>
      </c>
      <c r="E201" s="12">
        <v>18309</v>
      </c>
      <c r="F201" s="13">
        <v>2</v>
      </c>
      <c r="G201" s="9">
        <v>62.494182586669922</v>
      </c>
      <c r="H201" s="12">
        <v>41135</v>
      </c>
      <c r="I201" s="9">
        <v>1</v>
      </c>
      <c r="J201" s="12">
        <v>41243</v>
      </c>
      <c r="K201" s="9">
        <v>1</v>
      </c>
      <c r="L201" s="9">
        <v>1</v>
      </c>
      <c r="M201" s="10" t="s">
        <v>401</v>
      </c>
      <c r="N201" s="9">
        <v>2</v>
      </c>
      <c r="O201" s="10" t="s">
        <v>409</v>
      </c>
      <c r="P201" s="9">
        <v>2</v>
      </c>
      <c r="Q201" s="10" t="s">
        <v>409</v>
      </c>
      <c r="R201" s="12">
        <v>41135</v>
      </c>
      <c r="S201" s="10" t="s">
        <v>145</v>
      </c>
      <c r="T201" s="9"/>
      <c r="U201" s="10" t="s">
        <v>401</v>
      </c>
      <c r="V201" s="10" t="s">
        <v>401</v>
      </c>
      <c r="W201" s="9"/>
      <c r="X201" s="9"/>
      <c r="Y201" s="9">
        <v>2</v>
      </c>
      <c r="Z201" s="14">
        <v>1</v>
      </c>
      <c r="AA201" s="21">
        <v>9.9</v>
      </c>
      <c r="AB201" s="22">
        <v>32</v>
      </c>
      <c r="AC201" s="22">
        <v>16</v>
      </c>
      <c r="AD201" s="9">
        <v>2</v>
      </c>
      <c r="AE201" s="9">
        <v>2</v>
      </c>
      <c r="AF201" s="9">
        <v>1</v>
      </c>
      <c r="AG201" s="9">
        <v>0</v>
      </c>
      <c r="AH201" s="9">
        <v>1</v>
      </c>
      <c r="AI201" s="9">
        <v>0</v>
      </c>
      <c r="AJ201" s="12">
        <v>42489</v>
      </c>
      <c r="AK201" s="9">
        <v>2</v>
      </c>
      <c r="AL201" s="12">
        <v>42872</v>
      </c>
      <c r="AM201" s="9">
        <v>3</v>
      </c>
      <c r="AN201" s="12">
        <v>42536</v>
      </c>
      <c r="AO201" s="12">
        <v>43286</v>
      </c>
      <c r="AP201" s="12">
        <v>43286</v>
      </c>
      <c r="AQ201" s="9">
        <v>1</v>
      </c>
      <c r="AR201" s="9">
        <f t="shared" si="78"/>
        <v>1</v>
      </c>
      <c r="AS201" s="9">
        <v>1</v>
      </c>
      <c r="AT201" s="9">
        <v>2</v>
      </c>
      <c r="AU201" s="9">
        <v>2</v>
      </c>
      <c r="AV201" s="9">
        <f t="shared" si="79"/>
        <v>1</v>
      </c>
      <c r="AW201" s="12">
        <v>44332</v>
      </c>
      <c r="AX201" s="9">
        <v>5870</v>
      </c>
      <c r="AY201" s="9">
        <v>3710</v>
      </c>
      <c r="AZ201" s="9">
        <v>1180</v>
      </c>
      <c r="BA201" s="9">
        <v>3710</v>
      </c>
      <c r="BB201" s="9">
        <v>1180.0001220703125</v>
      </c>
      <c r="BC201" s="9">
        <v>233000</v>
      </c>
      <c r="BD201" s="9">
        <v>570</v>
      </c>
      <c r="BE201" s="9">
        <v>260</v>
      </c>
      <c r="BF201" s="9">
        <v>337</v>
      </c>
      <c r="BG201" s="9">
        <v>6090</v>
      </c>
      <c r="BH201" s="9">
        <v>4170</v>
      </c>
      <c r="BI201" s="9">
        <v>1200</v>
      </c>
      <c r="BJ201" s="9">
        <v>246000</v>
      </c>
      <c r="BK201" s="9">
        <v>320</v>
      </c>
      <c r="BL201" s="9">
        <v>290</v>
      </c>
      <c r="BM201" s="9">
        <v>360</v>
      </c>
      <c r="BN201" s="9">
        <v>8330</v>
      </c>
      <c r="BO201" s="9">
        <v>5230</v>
      </c>
      <c r="BP201" s="9">
        <v>1900</v>
      </c>
      <c r="BQ201" s="9">
        <v>304000</v>
      </c>
      <c r="BR201" s="9">
        <v>520</v>
      </c>
      <c r="BS201" s="9">
        <v>500</v>
      </c>
      <c r="BT201" s="9">
        <v>354</v>
      </c>
      <c r="BU201" s="9">
        <v>7690</v>
      </c>
      <c r="BV201" s="9">
        <v>5980</v>
      </c>
      <c r="BW201" s="9">
        <v>1000</v>
      </c>
      <c r="BX201" s="9">
        <v>291000</v>
      </c>
      <c r="BY201" s="9">
        <v>430</v>
      </c>
      <c r="BZ201" s="10" t="s">
        <v>527</v>
      </c>
      <c r="CA201" s="9">
        <v>120</v>
      </c>
      <c r="CB201" s="9">
        <v>368</v>
      </c>
      <c r="CC201" s="10">
        <f t="shared" si="80"/>
        <v>3.1440674713582215</v>
      </c>
      <c r="CD201" s="10">
        <f t="shared" si="81"/>
        <v>197.45760669176971</v>
      </c>
      <c r="CE201" s="10">
        <f t="shared" si="71"/>
        <v>732567.72082646564</v>
      </c>
      <c r="CF201" s="10">
        <f t="shared" si="73"/>
        <v>1</v>
      </c>
      <c r="CG201" s="10">
        <f t="shared" si="74"/>
        <v>0</v>
      </c>
      <c r="CH201" s="10">
        <f t="shared" si="75"/>
        <v>13</v>
      </c>
      <c r="CI201" s="9">
        <f t="shared" si="82"/>
        <v>1</v>
      </c>
      <c r="CJ201" s="10">
        <f t="shared" si="76"/>
        <v>61</v>
      </c>
      <c r="CK201" s="10" t="b">
        <f t="shared" si="83"/>
        <v>1</v>
      </c>
      <c r="CL201" s="10" t="b">
        <f t="shared" si="84"/>
        <v>1</v>
      </c>
      <c r="CM201" s="10" t="b">
        <f t="shared" si="85"/>
        <v>1</v>
      </c>
      <c r="CN201" s="9">
        <f t="shared" si="86"/>
        <v>1</v>
      </c>
      <c r="CO201" s="10">
        <f t="shared" si="89"/>
        <v>27</v>
      </c>
      <c r="CP201" s="10" t="b">
        <f t="shared" si="87"/>
        <v>1</v>
      </c>
      <c r="CQ201" s="10" t="b">
        <f t="shared" si="88"/>
        <v>1</v>
      </c>
      <c r="CR201" s="10" cm="1">
        <f t="array" ref="CR201">_xlfn.IFS(AND($CI201=0, CK201=FALSE), NA(), AND($CI201=1, CK201=FALSE), 0, CK201=TRUE, 1)</f>
        <v>1</v>
      </c>
      <c r="CS201" s="10" cm="1">
        <f t="array" ref="CS201">_xlfn.IFS(AND($CI201=0, CL201=FALSE), NA(), AND($CI201=1, CL201=FALSE), 0, CL201=TRUE, 1)</f>
        <v>1</v>
      </c>
      <c r="CT201" s="10" cm="1">
        <f t="array" ref="CT201">_xlfn.IFS(AND($CI201=0, CM201=FALSE), NA(), AND($CI201=1, CM201=FALSE), 0, CM201=TRUE, 1)</f>
        <v>1</v>
      </c>
      <c r="CU201" s="10" cm="1">
        <f t="array" ref="CU201">_xlfn.IFS(AND($CN201=0, CP201=FALSE), NA(), AND($CN201=1, CP201=FALSE), 0, CP201=TRUE, 1)</f>
        <v>1</v>
      </c>
      <c r="CV201" s="10" cm="1">
        <f t="array" ref="CV201">_xlfn.IFS(AND($CN201=0, CQ201=FALSE), NA(), AND($CN201=1, CQ201=FALSE), 0, CQ201=TRUE, 1)</f>
        <v>1</v>
      </c>
    </row>
    <row r="202" spans="1:100" ht="15.75" x14ac:dyDescent="0.25">
      <c r="A202" s="8">
        <v>201</v>
      </c>
      <c r="B202" s="9">
        <v>163</v>
      </c>
      <c r="C202" s="10" t="s">
        <v>15</v>
      </c>
      <c r="D202" s="11" t="s">
        <v>158</v>
      </c>
      <c r="E202" s="12">
        <v>17142</v>
      </c>
      <c r="F202" s="13">
        <v>1</v>
      </c>
      <c r="G202" s="9">
        <v>65.691993713378906</v>
      </c>
      <c r="H202" s="12">
        <v>41136</v>
      </c>
      <c r="I202" s="9">
        <v>1</v>
      </c>
      <c r="J202" s="12">
        <v>41172</v>
      </c>
      <c r="K202" s="9">
        <v>0</v>
      </c>
      <c r="L202" s="9">
        <v>1</v>
      </c>
      <c r="M202" s="10" t="s">
        <v>401</v>
      </c>
      <c r="N202" s="9"/>
      <c r="O202" s="10" t="s">
        <v>401</v>
      </c>
      <c r="P202" s="9"/>
      <c r="Q202" s="10" t="s">
        <v>401</v>
      </c>
      <c r="R202" s="12">
        <v>42536</v>
      </c>
      <c r="S202" s="10" t="s">
        <v>146</v>
      </c>
      <c r="T202" s="9"/>
      <c r="U202" s="10" t="s">
        <v>401</v>
      </c>
      <c r="V202" s="10" t="s">
        <v>401</v>
      </c>
      <c r="W202" s="9"/>
      <c r="X202" s="9"/>
      <c r="Y202" s="9">
        <v>2</v>
      </c>
      <c r="Z202" s="14">
        <v>2</v>
      </c>
      <c r="AA202" s="17">
        <v>14.4</v>
      </c>
      <c r="AB202" s="18">
        <v>84</v>
      </c>
      <c r="AC202" s="18">
        <v>14</v>
      </c>
      <c r="AD202" s="9">
        <v>1</v>
      </c>
      <c r="AE202" s="9">
        <v>1</v>
      </c>
      <c r="AF202" s="9">
        <v>1</v>
      </c>
      <c r="AG202" s="9">
        <v>1</v>
      </c>
      <c r="AH202" s="9">
        <v>1</v>
      </c>
      <c r="AI202" s="9">
        <v>0</v>
      </c>
      <c r="AJ202" s="12">
        <v>43054</v>
      </c>
      <c r="AK202" s="9">
        <v>2</v>
      </c>
      <c r="AL202" s="12">
        <v>43867</v>
      </c>
      <c r="AM202" s="9">
        <v>2</v>
      </c>
      <c r="AN202" s="12">
        <v>43792</v>
      </c>
      <c r="AO202" s="12">
        <v>44629</v>
      </c>
      <c r="AP202" s="12">
        <v>44629</v>
      </c>
      <c r="AQ202" s="9">
        <v>1</v>
      </c>
      <c r="AR202" s="9">
        <f t="shared" si="78"/>
        <v>1</v>
      </c>
      <c r="AS202" s="9">
        <v>1</v>
      </c>
      <c r="AT202" s="9">
        <v>2</v>
      </c>
      <c r="AU202" s="9">
        <v>1</v>
      </c>
      <c r="AV202" s="9">
        <f t="shared" si="79"/>
        <v>0</v>
      </c>
      <c r="AW202" s="12">
        <v>44987</v>
      </c>
      <c r="AX202" s="9">
        <v>5580</v>
      </c>
      <c r="AY202" s="9">
        <v>4080</v>
      </c>
      <c r="AZ202" s="9">
        <v>910</v>
      </c>
      <c r="BA202" s="9">
        <v>4080</v>
      </c>
      <c r="BB202" s="9">
        <v>910</v>
      </c>
      <c r="BC202" s="9">
        <v>187000</v>
      </c>
      <c r="BD202" s="9">
        <v>430</v>
      </c>
      <c r="BE202" s="9">
        <v>70</v>
      </c>
      <c r="BF202" s="9">
        <v>173</v>
      </c>
      <c r="BG202" s="9">
        <v>5190</v>
      </c>
      <c r="BH202" s="9">
        <v>3700</v>
      </c>
      <c r="BI202" s="9"/>
      <c r="BJ202" s="9">
        <v>172000</v>
      </c>
      <c r="BK202" s="9"/>
      <c r="BL202" s="9"/>
      <c r="BM202" s="9">
        <v>193</v>
      </c>
      <c r="BN202" s="9">
        <v>5820</v>
      </c>
      <c r="BO202" s="9">
        <v>4000</v>
      </c>
      <c r="BP202" s="9"/>
      <c r="BQ202" s="9">
        <v>157</v>
      </c>
      <c r="BR202" s="9"/>
      <c r="BS202" s="9"/>
      <c r="BT202" s="9"/>
      <c r="BU202" s="9">
        <v>5840</v>
      </c>
      <c r="BV202" s="9">
        <v>4100</v>
      </c>
      <c r="BW202" s="9"/>
      <c r="BX202" s="9">
        <v>134000</v>
      </c>
      <c r="BY202" s="9"/>
      <c r="BZ202" s="10" t="s">
        <v>401</v>
      </c>
      <c r="CA202" s="9"/>
      <c r="CB202" s="9">
        <v>203</v>
      </c>
      <c r="CC202" s="10">
        <f t="shared" si="80"/>
        <v>4.4835164835164836</v>
      </c>
      <c r="CD202" s="10">
        <f t="shared" si="81"/>
        <v>205.49450549450549</v>
      </c>
      <c r="CE202" s="10">
        <f t="shared" si="71"/>
        <v>838417.58241758239</v>
      </c>
      <c r="CF202" s="10">
        <f t="shared" si="73"/>
        <v>1</v>
      </c>
      <c r="CG202" s="10">
        <f t="shared" si="74"/>
        <v>1</v>
      </c>
      <c r="CH202" s="10">
        <f t="shared" si="75"/>
        <v>27</v>
      </c>
      <c r="CI202" s="9">
        <f t="shared" si="82"/>
        <v>0</v>
      </c>
      <c r="CJ202" s="10">
        <f t="shared" si="76"/>
        <v>64</v>
      </c>
      <c r="CK202" s="10" t="b">
        <f t="shared" si="83"/>
        <v>1</v>
      </c>
      <c r="CL202" s="10" t="b">
        <f t="shared" si="84"/>
        <v>1</v>
      </c>
      <c r="CM202" s="10" t="b">
        <f t="shared" si="85"/>
        <v>1</v>
      </c>
      <c r="CN202" s="9">
        <f t="shared" si="86"/>
        <v>1</v>
      </c>
      <c r="CO202" s="10">
        <f t="shared" si="89"/>
        <v>52</v>
      </c>
      <c r="CP202" s="10" t="b">
        <f t="shared" si="87"/>
        <v>1</v>
      </c>
      <c r="CQ202" s="10" t="b">
        <f t="shared" si="88"/>
        <v>1</v>
      </c>
      <c r="CR202" s="10" cm="1">
        <f t="array" ref="CR202">_xlfn.IFS(AND($CI202=0, CK202=FALSE), NA(), AND($CI202=1, CK202=FALSE), 0, CK202=TRUE, 1)</f>
        <v>1</v>
      </c>
      <c r="CS202" s="10" cm="1">
        <f t="array" ref="CS202">_xlfn.IFS(AND($CI202=0, CL202=FALSE), NA(), AND($CI202=1, CL202=FALSE), 0, CL202=TRUE, 1)</f>
        <v>1</v>
      </c>
      <c r="CT202" s="10" cm="1">
        <f t="array" ref="CT202">_xlfn.IFS(AND($CI202=0, CM202=FALSE), NA(), AND($CI202=1, CM202=FALSE), 0, CM202=TRUE, 1)</f>
        <v>1</v>
      </c>
      <c r="CU202" s="10" cm="1">
        <f t="array" ref="CU202">_xlfn.IFS(AND($CN202=0, CP202=FALSE), NA(), AND($CN202=1, CP202=FALSE), 0, CP202=TRUE, 1)</f>
        <v>1</v>
      </c>
      <c r="CV202" s="10" cm="1">
        <f t="array" ref="CV202">_xlfn.IFS(AND($CN202=0, CQ202=FALSE), NA(), AND($CN202=1, CQ202=FALSE), 0, CQ202=TRUE, 1)</f>
        <v>1</v>
      </c>
    </row>
    <row r="203" spans="1:100" ht="15.75" x14ac:dyDescent="0.25">
      <c r="A203" s="8">
        <v>202</v>
      </c>
      <c r="B203" s="9">
        <v>81</v>
      </c>
      <c r="C203" s="10" t="s">
        <v>9</v>
      </c>
      <c r="D203" s="11" t="s">
        <v>109</v>
      </c>
      <c r="E203" s="12">
        <v>21756</v>
      </c>
      <c r="F203" s="13">
        <v>1</v>
      </c>
      <c r="G203" s="9">
        <v>53.108829498291016</v>
      </c>
      <c r="H203" s="12">
        <v>41154</v>
      </c>
      <c r="I203" s="9">
        <v>1</v>
      </c>
      <c r="J203" s="12">
        <v>41219</v>
      </c>
      <c r="K203" s="9">
        <v>1</v>
      </c>
      <c r="L203" s="9">
        <v>1</v>
      </c>
      <c r="M203" s="10" t="s">
        <v>401</v>
      </c>
      <c r="N203" s="9">
        <v>2</v>
      </c>
      <c r="O203" s="10" t="s">
        <v>145</v>
      </c>
      <c r="P203" s="9">
        <v>2</v>
      </c>
      <c r="Q203" s="10" t="s">
        <v>145</v>
      </c>
      <c r="R203" s="12">
        <v>41219</v>
      </c>
      <c r="S203" s="10" t="s">
        <v>145</v>
      </c>
      <c r="T203" s="9">
        <v>5</v>
      </c>
      <c r="U203" s="10" t="s">
        <v>401</v>
      </c>
      <c r="V203" s="10" t="s">
        <v>401</v>
      </c>
      <c r="W203" s="9"/>
      <c r="X203" s="9"/>
      <c r="Y203" s="9">
        <v>3</v>
      </c>
      <c r="Z203" s="14">
        <v>1</v>
      </c>
      <c r="AA203" s="15">
        <v>14.7</v>
      </c>
      <c r="AB203" s="9"/>
      <c r="AC203" s="9"/>
      <c r="AD203" s="9">
        <v>2</v>
      </c>
      <c r="AE203" s="9">
        <v>2</v>
      </c>
      <c r="AF203" s="9">
        <v>1</v>
      </c>
      <c r="AG203" s="9">
        <v>0</v>
      </c>
      <c r="AH203" s="9">
        <v>1</v>
      </c>
      <c r="AI203" s="9">
        <v>1</v>
      </c>
      <c r="AJ203" s="12">
        <v>42826</v>
      </c>
      <c r="AK203" s="9">
        <v>2</v>
      </c>
      <c r="AL203" s="12">
        <v>44805</v>
      </c>
      <c r="AM203" s="9">
        <v>2</v>
      </c>
      <c r="AN203" s="12">
        <v>43391</v>
      </c>
      <c r="AO203" s="12"/>
      <c r="AP203" s="12"/>
      <c r="AQ203" s="9">
        <v>2</v>
      </c>
      <c r="AR203" s="9">
        <f t="shared" si="78"/>
        <v>0</v>
      </c>
      <c r="AS203" s="9">
        <v>2</v>
      </c>
      <c r="AT203" s="9"/>
      <c r="AU203" s="9">
        <v>1</v>
      </c>
      <c r="AV203" s="9">
        <f t="shared" si="79"/>
        <v>0</v>
      </c>
      <c r="AW203" s="12">
        <v>44937</v>
      </c>
      <c r="AX203" s="9">
        <v>5720</v>
      </c>
      <c r="AY203" s="9">
        <v>3600</v>
      </c>
      <c r="AZ203" s="9">
        <v>1400</v>
      </c>
      <c r="BA203" s="9">
        <v>3600</v>
      </c>
      <c r="BB203" s="9">
        <v>1399.9998779296875</v>
      </c>
      <c r="BC203" s="9">
        <v>343000</v>
      </c>
      <c r="BD203" s="9">
        <v>500</v>
      </c>
      <c r="BE203" s="9">
        <v>200</v>
      </c>
      <c r="BF203" s="9">
        <v>145</v>
      </c>
      <c r="BG203" s="9">
        <v>5740</v>
      </c>
      <c r="BH203" s="9">
        <v>3500</v>
      </c>
      <c r="BI203" s="9">
        <v>1400</v>
      </c>
      <c r="BJ203" s="9">
        <v>3170000</v>
      </c>
      <c r="BK203" s="9">
        <v>400</v>
      </c>
      <c r="BL203" s="9">
        <v>400</v>
      </c>
      <c r="BM203" s="9">
        <v>142</v>
      </c>
      <c r="BN203" s="9">
        <v>4250</v>
      </c>
      <c r="BO203" s="9">
        <v>2400</v>
      </c>
      <c r="BP203" s="9">
        <v>1200</v>
      </c>
      <c r="BQ203" s="9">
        <v>283000</v>
      </c>
      <c r="BR203" s="9">
        <v>300</v>
      </c>
      <c r="BS203" s="9">
        <v>300</v>
      </c>
      <c r="BT203" s="9">
        <v>142</v>
      </c>
      <c r="BU203" s="9">
        <v>4000</v>
      </c>
      <c r="BV203" s="9">
        <v>2200</v>
      </c>
      <c r="BW203" s="9">
        <v>1200</v>
      </c>
      <c r="BX203" s="9">
        <v>234000</v>
      </c>
      <c r="BY203" s="9">
        <v>400</v>
      </c>
      <c r="BZ203" s="10" t="s">
        <v>542</v>
      </c>
      <c r="CA203" s="9">
        <v>300</v>
      </c>
      <c r="CB203" s="9">
        <v>143</v>
      </c>
      <c r="CC203" s="10">
        <f t="shared" si="80"/>
        <v>2.5714287956393691</v>
      </c>
      <c r="CD203" s="10">
        <f t="shared" si="81"/>
        <v>245.00002136230654</v>
      </c>
      <c r="CE203" s="10">
        <f t="shared" si="71"/>
        <v>882000.07690430363</v>
      </c>
      <c r="CF203" s="10">
        <f t="shared" si="73"/>
        <v>1</v>
      </c>
      <c r="CG203" s="10">
        <f t="shared" si="74"/>
        <v>1</v>
      </c>
      <c r="CH203" s="10">
        <f t="shared" si="75"/>
        <v>65</v>
      </c>
      <c r="CI203" s="9">
        <f t="shared" si="82"/>
        <v>0</v>
      </c>
      <c r="CJ203" s="10">
        <f t="shared" si="76"/>
        <v>69</v>
      </c>
      <c r="CK203" s="10" t="b">
        <f t="shared" si="83"/>
        <v>1</v>
      </c>
      <c r="CL203" s="10" t="b">
        <f t="shared" si="84"/>
        <v>1</v>
      </c>
      <c r="CM203" s="10" t="b">
        <f t="shared" si="85"/>
        <v>1</v>
      </c>
      <c r="CN203" s="9">
        <f t="shared" si="86"/>
        <v>0</v>
      </c>
      <c r="CO203" s="10">
        <f>CJ203</f>
        <v>69</v>
      </c>
      <c r="CP203" s="10" t="b">
        <f t="shared" si="87"/>
        <v>1</v>
      </c>
      <c r="CQ203" s="10" t="b">
        <f t="shared" si="88"/>
        <v>1</v>
      </c>
      <c r="CR203" s="10" cm="1">
        <f t="array" ref="CR203">_xlfn.IFS(AND($CI203=0, CK203=FALSE), NA(), AND($CI203=1, CK203=FALSE), 0, CK203=TRUE, 1)</f>
        <v>1</v>
      </c>
      <c r="CS203" s="10" cm="1">
        <f t="array" ref="CS203">_xlfn.IFS(AND($CI203=0, CL203=FALSE), NA(), AND($CI203=1, CL203=FALSE), 0, CL203=TRUE, 1)</f>
        <v>1</v>
      </c>
      <c r="CT203" s="10" cm="1">
        <f t="array" ref="CT203">_xlfn.IFS(AND($CI203=0, CM203=FALSE), NA(), AND($CI203=1, CM203=FALSE), 0, CM203=TRUE, 1)</f>
        <v>1</v>
      </c>
      <c r="CU203" s="10" cm="1">
        <f t="array" ref="CU203">_xlfn.IFS(AND($CN203=0, CP203=FALSE), NA(), AND($CN203=1, CP203=FALSE), 0, CP203=TRUE, 1)</f>
        <v>1</v>
      </c>
      <c r="CV203" s="10" cm="1">
        <f t="array" ref="CV203">_xlfn.IFS(AND($CN203=0, CQ203=FALSE), NA(), AND($CN203=1, CQ203=FALSE), 0, CQ203=TRUE, 1)</f>
        <v>1</v>
      </c>
    </row>
    <row r="204" spans="1:100" ht="15.75" x14ac:dyDescent="0.25">
      <c r="A204" s="8">
        <v>203</v>
      </c>
      <c r="B204" s="9">
        <v>256</v>
      </c>
      <c r="C204" s="10" t="s">
        <v>21</v>
      </c>
      <c r="D204" s="11" t="s">
        <v>50</v>
      </c>
      <c r="E204" s="12">
        <v>15302</v>
      </c>
      <c r="F204" s="13">
        <v>1</v>
      </c>
      <c r="G204" s="9">
        <v>70.784393310546875</v>
      </c>
      <c r="H204" s="12">
        <v>41156</v>
      </c>
      <c r="I204" s="9">
        <v>1</v>
      </c>
      <c r="J204" s="12">
        <v>41156</v>
      </c>
      <c r="K204" s="9">
        <v>0</v>
      </c>
      <c r="L204" s="9">
        <v>1</v>
      </c>
      <c r="M204" s="10" t="s">
        <v>401</v>
      </c>
      <c r="N204" s="9"/>
      <c r="O204" s="10" t="s">
        <v>401</v>
      </c>
      <c r="P204" s="9"/>
      <c r="Q204" s="10" t="s">
        <v>401</v>
      </c>
      <c r="R204" s="12">
        <v>41285</v>
      </c>
      <c r="S204" s="10" t="s">
        <v>146</v>
      </c>
      <c r="T204" s="9">
        <v>1</v>
      </c>
      <c r="U204" s="10" t="s">
        <v>149</v>
      </c>
      <c r="V204" s="10" t="s">
        <v>401</v>
      </c>
      <c r="W204" s="9"/>
      <c r="X204" s="9"/>
      <c r="Y204" s="9">
        <v>4</v>
      </c>
      <c r="Z204" s="14"/>
      <c r="AA204" s="15">
        <v>11.6</v>
      </c>
      <c r="AB204" s="16">
        <v>81</v>
      </c>
      <c r="AC204" s="16">
        <v>18</v>
      </c>
      <c r="AD204" s="9">
        <v>2</v>
      </c>
      <c r="AE204" s="9">
        <v>3</v>
      </c>
      <c r="AF204" s="9">
        <v>1</v>
      </c>
      <c r="AG204" s="9">
        <v>1</v>
      </c>
      <c r="AH204" s="9">
        <v>1</v>
      </c>
      <c r="AI204" s="9">
        <v>1</v>
      </c>
      <c r="AJ204" s="12">
        <v>42864</v>
      </c>
      <c r="AK204" s="9">
        <v>2</v>
      </c>
      <c r="AL204" s="12">
        <v>44152</v>
      </c>
      <c r="AM204" s="9">
        <v>2</v>
      </c>
      <c r="AN204" s="12">
        <v>43377</v>
      </c>
      <c r="AO204" s="12">
        <v>44736</v>
      </c>
      <c r="AP204" s="12">
        <v>44736</v>
      </c>
      <c r="AQ204" s="9">
        <v>1</v>
      </c>
      <c r="AR204" s="9">
        <f t="shared" si="78"/>
        <v>1</v>
      </c>
      <c r="AS204" s="9">
        <v>1</v>
      </c>
      <c r="AT204" s="9">
        <v>2</v>
      </c>
      <c r="AU204" s="9">
        <v>2</v>
      </c>
      <c r="AV204" s="9">
        <f t="shared" si="79"/>
        <v>1</v>
      </c>
      <c r="AW204" s="12">
        <v>44736</v>
      </c>
      <c r="AX204" s="9">
        <v>5510</v>
      </c>
      <c r="AY204" s="9">
        <v>3830</v>
      </c>
      <c r="AZ204" s="9">
        <v>900</v>
      </c>
      <c r="BA204" s="9">
        <v>3830</v>
      </c>
      <c r="BB204" s="9">
        <v>900.0001220703125</v>
      </c>
      <c r="BC204" s="9">
        <v>173000</v>
      </c>
      <c r="BD204" s="9">
        <v>600</v>
      </c>
      <c r="BE204" s="9">
        <v>150</v>
      </c>
      <c r="BF204" s="9">
        <v>279</v>
      </c>
      <c r="BG204" s="9">
        <v>8470</v>
      </c>
      <c r="BH204" s="9">
        <v>6030</v>
      </c>
      <c r="BI204" s="9">
        <v>1440</v>
      </c>
      <c r="BJ204" s="9">
        <v>258000</v>
      </c>
      <c r="BK204" s="9">
        <v>830</v>
      </c>
      <c r="BL204" s="9">
        <v>150</v>
      </c>
      <c r="BM204" s="9"/>
      <c r="BN204" s="9">
        <v>7900</v>
      </c>
      <c r="BO204" s="9">
        <v>5550</v>
      </c>
      <c r="BP204" s="9">
        <v>1400</v>
      </c>
      <c r="BQ204" s="9">
        <v>202000</v>
      </c>
      <c r="BR204" s="9">
        <v>770</v>
      </c>
      <c r="BS204" s="9">
        <v>150</v>
      </c>
      <c r="BT204" s="9"/>
      <c r="BU204" s="9">
        <v>8700</v>
      </c>
      <c r="BV204" s="9">
        <v>5980</v>
      </c>
      <c r="BW204" s="9">
        <v>1740</v>
      </c>
      <c r="BX204" s="9">
        <v>254000</v>
      </c>
      <c r="BY204" s="9">
        <v>810</v>
      </c>
      <c r="BZ204" s="10" t="s">
        <v>540</v>
      </c>
      <c r="CA204" s="9">
        <v>150</v>
      </c>
      <c r="CB204" s="9"/>
      <c r="CC204" s="10">
        <f t="shared" si="80"/>
        <v>4.2555549783589708</v>
      </c>
      <c r="CD204" s="10">
        <f t="shared" si="81"/>
        <v>192.22219615041828</v>
      </c>
      <c r="CE204" s="10">
        <f t="shared" si="71"/>
        <v>736211.01125610189</v>
      </c>
      <c r="CF204" s="10">
        <f t="shared" si="73"/>
        <v>1</v>
      </c>
      <c r="CG204" s="10">
        <f t="shared" si="74"/>
        <v>1</v>
      </c>
      <c r="CH204" s="10">
        <f t="shared" si="75"/>
        <v>42</v>
      </c>
      <c r="CI204" s="9">
        <f t="shared" si="82"/>
        <v>1</v>
      </c>
      <c r="CJ204" s="10">
        <f t="shared" si="76"/>
        <v>61</v>
      </c>
      <c r="CK204" s="10" t="b">
        <f t="shared" si="83"/>
        <v>1</v>
      </c>
      <c r="CL204" s="10" t="b">
        <f t="shared" si="84"/>
        <v>1</v>
      </c>
      <c r="CM204" s="10" t="b">
        <f t="shared" si="85"/>
        <v>1</v>
      </c>
      <c r="CN204" s="9">
        <f t="shared" si="86"/>
        <v>1</v>
      </c>
      <c r="CO204" s="10">
        <f>(YEAR(AO204)-YEAR(AJ204))*12+MONTH(AO204)-MONTH(AJ204)</f>
        <v>61</v>
      </c>
      <c r="CP204" s="10" t="b">
        <f t="shared" si="87"/>
        <v>1</v>
      </c>
      <c r="CQ204" s="10" t="b">
        <f t="shared" si="88"/>
        <v>1</v>
      </c>
      <c r="CR204" s="10" cm="1">
        <f t="array" ref="CR204">_xlfn.IFS(AND($CI204=0, CK204=FALSE), NA(), AND($CI204=1, CK204=FALSE), 0, CK204=TRUE, 1)</f>
        <v>1</v>
      </c>
      <c r="CS204" s="10" cm="1">
        <f t="array" ref="CS204">_xlfn.IFS(AND($CI204=0, CL204=FALSE), NA(), AND($CI204=1, CL204=FALSE), 0, CL204=TRUE, 1)</f>
        <v>1</v>
      </c>
      <c r="CT204" s="10" cm="1">
        <f t="array" ref="CT204">_xlfn.IFS(AND($CI204=0, CM204=FALSE), NA(), AND($CI204=1, CM204=FALSE), 0, CM204=TRUE, 1)</f>
        <v>1</v>
      </c>
      <c r="CU204" s="10" cm="1">
        <f t="array" ref="CU204">_xlfn.IFS(AND($CN204=0, CP204=FALSE), NA(), AND($CN204=1, CP204=FALSE), 0, CP204=TRUE, 1)</f>
        <v>1</v>
      </c>
      <c r="CV204" s="10" cm="1">
        <f t="array" ref="CV204">_xlfn.IFS(AND($CN204=0, CQ204=FALSE), NA(), AND($CN204=1, CQ204=FALSE), 0, CQ204=TRUE, 1)</f>
        <v>1</v>
      </c>
    </row>
    <row r="205" spans="1:100" ht="15.75" x14ac:dyDescent="0.25">
      <c r="A205" s="8">
        <v>204</v>
      </c>
      <c r="B205" s="9">
        <v>306</v>
      </c>
      <c r="C205" s="10" t="s">
        <v>24</v>
      </c>
      <c r="D205" s="11" t="s">
        <v>61</v>
      </c>
      <c r="E205" s="12"/>
      <c r="F205" s="13">
        <v>1</v>
      </c>
      <c r="G205" s="9">
        <v>69</v>
      </c>
      <c r="H205" s="12">
        <v>41163</v>
      </c>
      <c r="I205" s="9">
        <v>1</v>
      </c>
      <c r="J205" s="12">
        <v>41157</v>
      </c>
      <c r="K205" s="9">
        <v>0</v>
      </c>
      <c r="L205" s="9">
        <v>1</v>
      </c>
      <c r="M205" s="10" t="s">
        <v>401</v>
      </c>
      <c r="N205" s="9"/>
      <c r="O205" s="10" t="s">
        <v>401</v>
      </c>
      <c r="P205" s="9"/>
      <c r="Q205" s="10" t="s">
        <v>401</v>
      </c>
      <c r="R205" s="12">
        <v>42216</v>
      </c>
      <c r="S205" s="10" t="s">
        <v>146</v>
      </c>
      <c r="T205" s="9">
        <v>6</v>
      </c>
      <c r="U205" s="10" t="s">
        <v>401</v>
      </c>
      <c r="V205" s="10" t="s">
        <v>401</v>
      </c>
      <c r="W205" s="9"/>
      <c r="X205" s="9"/>
      <c r="Y205" s="9">
        <v>3</v>
      </c>
      <c r="Z205" s="14">
        <v>2</v>
      </c>
      <c r="AA205" s="21">
        <v>11.8</v>
      </c>
      <c r="AB205" s="22">
        <v>92</v>
      </c>
      <c r="AC205" s="22">
        <v>16</v>
      </c>
      <c r="AD205" s="9">
        <v>1</v>
      </c>
      <c r="AE205" s="9">
        <v>1</v>
      </c>
      <c r="AF205" s="9">
        <v>1</v>
      </c>
      <c r="AG205" s="9">
        <v>0</v>
      </c>
      <c r="AH205" s="9">
        <v>1</v>
      </c>
      <c r="AI205" s="9">
        <v>0</v>
      </c>
      <c r="AJ205" s="12">
        <v>42800</v>
      </c>
      <c r="AK205" s="9">
        <v>2</v>
      </c>
      <c r="AL205" s="12">
        <v>42857</v>
      </c>
      <c r="AM205" s="9">
        <v>4</v>
      </c>
      <c r="AN205" s="12">
        <v>42948</v>
      </c>
      <c r="AO205" s="12">
        <v>42948</v>
      </c>
      <c r="AP205" s="12">
        <v>42948</v>
      </c>
      <c r="AQ205" s="9">
        <v>1</v>
      </c>
      <c r="AR205" s="9">
        <f t="shared" si="78"/>
        <v>1</v>
      </c>
      <c r="AS205" s="9">
        <v>1</v>
      </c>
      <c r="AT205" s="9">
        <v>2</v>
      </c>
      <c r="AU205" s="9">
        <v>1</v>
      </c>
      <c r="AV205" s="9">
        <f t="shared" si="79"/>
        <v>0</v>
      </c>
      <c r="AW205" s="12">
        <v>44732</v>
      </c>
      <c r="AX205" s="9">
        <v>2350</v>
      </c>
      <c r="AY205" s="9">
        <v>1621</v>
      </c>
      <c r="AZ205" s="9"/>
      <c r="BA205" s="9">
        <v>1621</v>
      </c>
      <c r="BB205" s="9">
        <v>831.90057373046875</v>
      </c>
      <c r="BC205" s="9">
        <v>100000</v>
      </c>
      <c r="BD205" s="9"/>
      <c r="BE205" s="9"/>
      <c r="BF205" s="9">
        <v>272</v>
      </c>
      <c r="BG205" s="9">
        <v>3450</v>
      </c>
      <c r="BH205" s="9">
        <v>2420</v>
      </c>
      <c r="BI205" s="9">
        <v>550</v>
      </c>
      <c r="BJ205" s="9">
        <v>77000</v>
      </c>
      <c r="BK205" s="9">
        <v>380</v>
      </c>
      <c r="BL205" s="9">
        <v>90</v>
      </c>
      <c r="BM205" s="9">
        <v>372</v>
      </c>
      <c r="BN205" s="9">
        <v>3350</v>
      </c>
      <c r="BO205" s="9">
        <v>2030</v>
      </c>
      <c r="BP205" s="9">
        <v>610</v>
      </c>
      <c r="BQ205" s="9">
        <v>106000</v>
      </c>
      <c r="BR205" s="9">
        <v>270</v>
      </c>
      <c r="BS205" s="9">
        <v>100</v>
      </c>
      <c r="BT205" s="9">
        <v>320</v>
      </c>
      <c r="BU205" s="9">
        <v>3030</v>
      </c>
      <c r="BV205" s="9">
        <v>2530</v>
      </c>
      <c r="BW205" s="9">
        <v>530</v>
      </c>
      <c r="BX205" s="9">
        <v>99000</v>
      </c>
      <c r="BY205" s="9">
        <v>250</v>
      </c>
      <c r="BZ205" s="10" t="s">
        <v>532</v>
      </c>
      <c r="CA205" s="9">
        <v>90</v>
      </c>
      <c r="CB205" s="9">
        <v>349</v>
      </c>
      <c r="CC205" s="10">
        <f t="shared" si="80"/>
        <v>1.9485501647522545</v>
      </c>
      <c r="CD205" s="10">
        <f t="shared" si="81"/>
        <v>120.20667271759744</v>
      </c>
      <c r="CE205" s="10">
        <f t="shared" si="71"/>
        <v>194855.01647522545</v>
      </c>
      <c r="CF205" s="10">
        <f t="shared" si="73"/>
        <v>0</v>
      </c>
      <c r="CG205" s="10">
        <f t="shared" si="74"/>
        <v>0</v>
      </c>
      <c r="CH205" s="10">
        <f t="shared" si="75"/>
        <v>2</v>
      </c>
      <c r="CI205" s="9">
        <f t="shared" si="82"/>
        <v>0</v>
      </c>
      <c r="CJ205" s="10">
        <f t="shared" si="76"/>
        <v>63</v>
      </c>
      <c r="CK205" s="10" t="b">
        <f t="shared" si="83"/>
        <v>1</v>
      </c>
      <c r="CL205" s="10" t="b">
        <f t="shared" si="84"/>
        <v>1</v>
      </c>
      <c r="CM205" s="10" t="b">
        <f t="shared" si="85"/>
        <v>1</v>
      </c>
      <c r="CN205" s="9">
        <f t="shared" si="86"/>
        <v>1</v>
      </c>
      <c r="CO205" s="10">
        <f>(YEAR(AO205)-YEAR(AJ205))*12+MONTH(AO205)-MONTH(AJ205)</f>
        <v>5</v>
      </c>
      <c r="CP205" s="10" t="b">
        <f t="shared" si="87"/>
        <v>1</v>
      </c>
      <c r="CQ205" s="10" t="b">
        <f t="shared" si="88"/>
        <v>0</v>
      </c>
      <c r="CR205" s="10" cm="1">
        <f t="array" ref="CR205">_xlfn.IFS(AND($CI205=0, CK205=FALSE), NA(), AND($CI205=1, CK205=FALSE), 0, CK205=TRUE, 1)</f>
        <v>1</v>
      </c>
      <c r="CS205" s="10" cm="1">
        <f t="array" ref="CS205">_xlfn.IFS(AND($CI205=0, CL205=FALSE), NA(), AND($CI205=1, CL205=FALSE), 0, CL205=TRUE, 1)</f>
        <v>1</v>
      </c>
      <c r="CT205" s="10" cm="1">
        <f t="array" ref="CT205">_xlfn.IFS(AND($CI205=0, CM205=FALSE), NA(), AND($CI205=1, CM205=FALSE), 0, CM205=TRUE, 1)</f>
        <v>1</v>
      </c>
      <c r="CU205" s="10" cm="1">
        <f t="array" ref="CU205">_xlfn.IFS(AND($CN205=0, CP205=FALSE), NA(), AND($CN205=1, CP205=FALSE), 0, CP205=TRUE, 1)</f>
        <v>1</v>
      </c>
      <c r="CV205" s="10" cm="1">
        <f t="array" ref="CV205">_xlfn.IFS(AND($CN205=0, CQ205=FALSE), NA(), AND($CN205=1, CQ205=FALSE), 0, CQ205=TRUE, 1)</f>
        <v>0</v>
      </c>
    </row>
    <row r="206" spans="1:100" ht="15.75" x14ac:dyDescent="0.25">
      <c r="A206" s="8">
        <v>205</v>
      </c>
      <c r="B206" s="9">
        <v>158</v>
      </c>
      <c r="C206" s="10" t="s">
        <v>15</v>
      </c>
      <c r="D206" s="11" t="s">
        <v>153</v>
      </c>
      <c r="E206" s="12">
        <v>14983</v>
      </c>
      <c r="F206" s="13">
        <v>2</v>
      </c>
      <c r="G206" s="9">
        <v>71.734428405761719</v>
      </c>
      <c r="H206" s="12">
        <v>41184</v>
      </c>
      <c r="I206" s="9">
        <v>1</v>
      </c>
      <c r="J206" s="12">
        <v>41215</v>
      </c>
      <c r="K206" s="9">
        <v>0</v>
      </c>
      <c r="L206" s="9">
        <v>1</v>
      </c>
      <c r="M206" s="10" t="s">
        <v>401</v>
      </c>
      <c r="N206" s="9"/>
      <c r="O206" s="10" t="s">
        <v>401</v>
      </c>
      <c r="P206" s="9"/>
      <c r="Q206" s="10" t="s">
        <v>401</v>
      </c>
      <c r="R206" s="12">
        <v>41660</v>
      </c>
      <c r="S206" s="10" t="s">
        <v>146</v>
      </c>
      <c r="T206" s="9">
        <v>1</v>
      </c>
      <c r="U206" s="10" t="s">
        <v>401</v>
      </c>
      <c r="V206" s="10" t="s">
        <v>401</v>
      </c>
      <c r="W206" s="9"/>
      <c r="X206" s="9"/>
      <c r="Y206" s="9">
        <v>3</v>
      </c>
      <c r="Z206" s="14"/>
      <c r="AA206" s="17">
        <v>11.5</v>
      </c>
      <c r="AB206" s="18">
        <v>100</v>
      </c>
      <c r="AC206" s="18">
        <v>16</v>
      </c>
      <c r="AD206" s="9">
        <v>2</v>
      </c>
      <c r="AE206" s="9">
        <v>2</v>
      </c>
      <c r="AF206" s="9">
        <v>1</v>
      </c>
      <c r="AG206" s="9">
        <v>1</v>
      </c>
      <c r="AH206" s="9">
        <v>1</v>
      </c>
      <c r="AI206" s="9">
        <v>0</v>
      </c>
      <c r="AJ206" s="12">
        <v>43413</v>
      </c>
      <c r="AK206" s="9">
        <v>2</v>
      </c>
      <c r="AL206" s="12">
        <v>44342</v>
      </c>
      <c r="AM206" s="9">
        <v>2</v>
      </c>
      <c r="AN206" s="12">
        <v>43578</v>
      </c>
      <c r="AO206" s="12"/>
      <c r="AP206" s="12"/>
      <c r="AQ206" s="9">
        <v>2</v>
      </c>
      <c r="AR206" s="9">
        <f t="shared" si="78"/>
        <v>0</v>
      </c>
      <c r="AS206" s="9">
        <v>2</v>
      </c>
      <c r="AT206" s="9"/>
      <c r="AU206" s="9">
        <v>1</v>
      </c>
      <c r="AV206" s="9">
        <f t="shared" si="79"/>
        <v>0</v>
      </c>
      <c r="AW206" s="12">
        <v>44972</v>
      </c>
      <c r="AX206" s="9">
        <v>7200</v>
      </c>
      <c r="AY206" s="9">
        <v>3700</v>
      </c>
      <c r="AZ206" s="9"/>
      <c r="BA206" s="9">
        <v>3700</v>
      </c>
      <c r="BB206" s="9">
        <v>2165.800537109375</v>
      </c>
      <c r="BC206" s="9">
        <v>295000</v>
      </c>
      <c r="BD206" s="9"/>
      <c r="BE206" s="9"/>
      <c r="BF206" s="9">
        <v>189</v>
      </c>
      <c r="BG206" s="9">
        <v>9470</v>
      </c>
      <c r="BH206" s="9">
        <v>5700</v>
      </c>
      <c r="BI206" s="9"/>
      <c r="BJ206" s="9">
        <v>294000</v>
      </c>
      <c r="BK206" s="9"/>
      <c r="BL206" s="9"/>
      <c r="BM206" s="9">
        <v>195</v>
      </c>
      <c r="BN206" s="9">
        <v>12020</v>
      </c>
      <c r="BO206" s="9">
        <v>8620</v>
      </c>
      <c r="BP206" s="9"/>
      <c r="BQ206" s="9">
        <v>355000</v>
      </c>
      <c r="BR206" s="9"/>
      <c r="BS206" s="9"/>
      <c r="BT206" s="9">
        <v>220</v>
      </c>
      <c r="BU206" s="9">
        <v>10460</v>
      </c>
      <c r="BV206" s="9">
        <v>6740</v>
      </c>
      <c r="BW206" s="9"/>
      <c r="BX206" s="9">
        <v>376000</v>
      </c>
      <c r="BY206" s="9"/>
      <c r="BZ206" s="10" t="s">
        <v>401</v>
      </c>
      <c r="CA206" s="9"/>
      <c r="CB206" s="9">
        <v>250</v>
      </c>
      <c r="CC206" s="10">
        <f t="shared" si="80"/>
        <v>1.7083752342855507</v>
      </c>
      <c r="CD206" s="10">
        <f t="shared" si="81"/>
        <v>136.20829570655067</v>
      </c>
      <c r="CE206" s="10">
        <f t="shared" si="71"/>
        <v>503970.69411423744</v>
      </c>
      <c r="CF206" s="10">
        <f t="shared" si="73"/>
        <v>1</v>
      </c>
      <c r="CG206" s="10">
        <f t="shared" si="74"/>
        <v>1</v>
      </c>
      <c r="CH206" s="10">
        <f t="shared" si="75"/>
        <v>30</v>
      </c>
      <c r="CI206" s="9">
        <f t="shared" si="82"/>
        <v>0</v>
      </c>
      <c r="CJ206" s="10">
        <f t="shared" si="76"/>
        <v>51</v>
      </c>
      <c r="CK206" s="10" t="b">
        <f t="shared" si="83"/>
        <v>1</v>
      </c>
      <c r="CL206" s="10" t="b">
        <f t="shared" si="84"/>
        <v>1</v>
      </c>
      <c r="CM206" s="10" t="b">
        <f t="shared" si="85"/>
        <v>1</v>
      </c>
      <c r="CN206" s="9">
        <f t="shared" si="86"/>
        <v>0</v>
      </c>
      <c r="CO206" s="10">
        <f>CJ206</f>
        <v>51</v>
      </c>
      <c r="CP206" s="10" t="b">
        <f t="shared" si="87"/>
        <v>1</v>
      </c>
      <c r="CQ206" s="10" t="b">
        <f t="shared" si="88"/>
        <v>1</v>
      </c>
      <c r="CR206" s="10" cm="1">
        <f t="array" ref="CR206">_xlfn.IFS(AND($CI206=0, CK206=FALSE), NA(), AND($CI206=1, CK206=FALSE), 0, CK206=TRUE, 1)</f>
        <v>1</v>
      </c>
      <c r="CS206" s="10" cm="1">
        <f t="array" ref="CS206">_xlfn.IFS(AND($CI206=0, CL206=FALSE), NA(), AND($CI206=1, CL206=FALSE), 0, CL206=TRUE, 1)</f>
        <v>1</v>
      </c>
      <c r="CT206" s="10" cm="1">
        <f t="array" ref="CT206">_xlfn.IFS(AND($CI206=0, CM206=FALSE), NA(), AND($CI206=1, CM206=FALSE), 0, CM206=TRUE, 1)</f>
        <v>1</v>
      </c>
      <c r="CU206" s="10" cm="1">
        <f t="array" ref="CU206">_xlfn.IFS(AND($CN206=0, CP206=FALSE), NA(), AND($CN206=1, CP206=FALSE), 0, CP206=TRUE, 1)</f>
        <v>1</v>
      </c>
      <c r="CV206" s="10" cm="1">
        <f t="array" ref="CV206">_xlfn.IFS(AND($CN206=0, CQ206=FALSE), NA(), AND($CN206=1, CQ206=FALSE), 0, CQ206=TRUE, 1)</f>
        <v>1</v>
      </c>
    </row>
    <row r="207" spans="1:100" ht="15.75" x14ac:dyDescent="0.25">
      <c r="A207" s="8">
        <v>206</v>
      </c>
      <c r="B207" s="9">
        <v>58</v>
      </c>
      <c r="C207" s="10" t="s">
        <v>8</v>
      </c>
      <c r="D207" s="11" t="s">
        <v>53</v>
      </c>
      <c r="E207" s="12">
        <v>34124</v>
      </c>
      <c r="F207" s="13">
        <v>2</v>
      </c>
      <c r="G207" s="9">
        <v>19.449691772460938</v>
      </c>
      <c r="H207" s="12">
        <v>41228</v>
      </c>
      <c r="I207" s="9">
        <v>1</v>
      </c>
      <c r="J207" s="12">
        <v>41576</v>
      </c>
      <c r="K207" s="9">
        <v>0</v>
      </c>
      <c r="L207" s="9">
        <v>2</v>
      </c>
      <c r="M207" s="10" t="s">
        <v>401</v>
      </c>
      <c r="N207" s="9">
        <v>1</v>
      </c>
      <c r="O207" s="10" t="s">
        <v>401</v>
      </c>
      <c r="P207" s="9">
        <v>1</v>
      </c>
      <c r="Q207" s="10" t="s">
        <v>401</v>
      </c>
      <c r="R207" s="12">
        <v>41729</v>
      </c>
      <c r="S207" s="10" t="s">
        <v>145</v>
      </c>
      <c r="T207" s="9"/>
      <c r="U207" s="10" t="s">
        <v>401</v>
      </c>
      <c r="V207" s="10" t="s">
        <v>401</v>
      </c>
      <c r="W207" s="9"/>
      <c r="X207" s="9"/>
      <c r="Y207" s="9">
        <v>2</v>
      </c>
      <c r="Z207" s="14">
        <v>1</v>
      </c>
      <c r="AA207" s="17">
        <v>12</v>
      </c>
      <c r="AB207" s="9"/>
      <c r="AC207" s="9"/>
      <c r="AD207" s="9">
        <v>1</v>
      </c>
      <c r="AE207" s="9">
        <v>1</v>
      </c>
      <c r="AF207" s="9">
        <v>1</v>
      </c>
      <c r="AG207" s="9">
        <v>1</v>
      </c>
      <c r="AH207" s="9">
        <v>0</v>
      </c>
      <c r="AI207" s="9">
        <v>0</v>
      </c>
      <c r="AJ207" s="12">
        <v>42838</v>
      </c>
      <c r="AK207" s="9">
        <v>2</v>
      </c>
      <c r="AL207" s="12">
        <v>43010</v>
      </c>
      <c r="AM207" s="9">
        <v>3</v>
      </c>
      <c r="AN207" s="12">
        <v>42926</v>
      </c>
      <c r="AO207" s="12">
        <v>43014</v>
      </c>
      <c r="AP207" s="12">
        <v>43014</v>
      </c>
      <c r="AQ207" s="9">
        <v>1</v>
      </c>
      <c r="AR207" s="9">
        <f t="shared" si="78"/>
        <v>1</v>
      </c>
      <c r="AS207" s="9">
        <v>1</v>
      </c>
      <c r="AT207" s="9">
        <v>2</v>
      </c>
      <c r="AU207" s="9">
        <v>2</v>
      </c>
      <c r="AV207" s="9">
        <f t="shared" si="79"/>
        <v>1</v>
      </c>
      <c r="AW207" s="12">
        <v>43932</v>
      </c>
      <c r="AX207" s="9">
        <v>4900</v>
      </c>
      <c r="AY207" s="9">
        <v>2770</v>
      </c>
      <c r="AZ207" s="9"/>
      <c r="BA207" s="9">
        <v>2770</v>
      </c>
      <c r="BB207" s="9">
        <v>1187.1376953125</v>
      </c>
      <c r="BC207" s="9">
        <v>196000</v>
      </c>
      <c r="BD207" s="9"/>
      <c r="BE207" s="9"/>
      <c r="BF207" s="9"/>
      <c r="BG207" s="9">
        <v>3200</v>
      </c>
      <c r="BH207" s="9">
        <v>3200</v>
      </c>
      <c r="BI207" s="9">
        <v>1850</v>
      </c>
      <c r="BJ207" s="9">
        <v>350000</v>
      </c>
      <c r="BK207" s="9"/>
      <c r="BL207" s="9"/>
      <c r="BM207" s="9"/>
      <c r="BN207" s="9">
        <v>5100</v>
      </c>
      <c r="BO207" s="9">
        <v>3260</v>
      </c>
      <c r="BP207" s="9">
        <v>1326</v>
      </c>
      <c r="BQ207" s="9">
        <v>293000</v>
      </c>
      <c r="BR207" s="9"/>
      <c r="BS207" s="9"/>
      <c r="BT207" s="9"/>
      <c r="BU207" s="9">
        <v>5300</v>
      </c>
      <c r="BV207" s="9">
        <v>3240</v>
      </c>
      <c r="BW207" s="9">
        <v>1420</v>
      </c>
      <c r="BX207" s="9">
        <v>277000</v>
      </c>
      <c r="BY207" s="9">
        <v>546</v>
      </c>
      <c r="BZ207" s="10" t="s">
        <v>567</v>
      </c>
      <c r="CA207" s="9">
        <v>78</v>
      </c>
      <c r="CB207" s="9"/>
      <c r="CC207" s="10">
        <f t="shared" si="80"/>
        <v>2.3333434789726142</v>
      </c>
      <c r="CD207" s="10">
        <f t="shared" si="81"/>
        <v>165.10300428831493</v>
      </c>
      <c r="CE207" s="10">
        <f t="shared" si="71"/>
        <v>457335.32187863236</v>
      </c>
      <c r="CF207" s="10">
        <f t="shared" si="73"/>
        <v>1</v>
      </c>
      <c r="CG207" s="10">
        <f t="shared" si="74"/>
        <v>0</v>
      </c>
      <c r="CH207" s="10">
        <f t="shared" si="75"/>
        <v>6</v>
      </c>
      <c r="CI207" s="9">
        <f t="shared" si="82"/>
        <v>1</v>
      </c>
      <c r="CJ207" s="10">
        <f t="shared" si="76"/>
        <v>36</v>
      </c>
      <c r="CK207" s="10" t="b">
        <f t="shared" si="83"/>
        <v>1</v>
      </c>
      <c r="CL207" s="10" t="b">
        <f t="shared" si="84"/>
        <v>1</v>
      </c>
      <c r="CM207" s="10" t="b">
        <f t="shared" si="85"/>
        <v>1</v>
      </c>
      <c r="CN207" s="9">
        <f t="shared" si="86"/>
        <v>1</v>
      </c>
      <c r="CO207" s="10">
        <f t="shared" ref="CO207:CO229" si="90">(YEAR(AO207)-YEAR(AJ207))*12+MONTH(AO207)-MONTH(AJ207)</f>
        <v>6</v>
      </c>
      <c r="CP207" s="10" t="b">
        <f t="shared" si="87"/>
        <v>1</v>
      </c>
      <c r="CQ207" s="10" t="b">
        <f t="shared" si="88"/>
        <v>0</v>
      </c>
      <c r="CR207" s="10" cm="1">
        <f t="array" ref="CR207">_xlfn.IFS(AND($CI207=0, CK207=FALSE), NA(), AND($CI207=1, CK207=FALSE), 0, CK207=TRUE, 1)</f>
        <v>1</v>
      </c>
      <c r="CS207" s="10" cm="1">
        <f t="array" ref="CS207">_xlfn.IFS(AND($CI207=0, CL207=FALSE), NA(), AND($CI207=1, CL207=FALSE), 0, CL207=TRUE, 1)</f>
        <v>1</v>
      </c>
      <c r="CT207" s="10" cm="1">
        <f t="array" ref="CT207">_xlfn.IFS(AND($CI207=0, CM207=FALSE), NA(), AND($CI207=1, CM207=FALSE), 0, CM207=TRUE, 1)</f>
        <v>1</v>
      </c>
      <c r="CU207" s="10" cm="1">
        <f t="array" ref="CU207">_xlfn.IFS(AND($CN207=0, CP207=FALSE), NA(), AND($CN207=1, CP207=FALSE), 0, CP207=TRUE, 1)</f>
        <v>1</v>
      </c>
      <c r="CV207" s="10" cm="1">
        <f t="array" ref="CV207">_xlfn.IFS(AND($CN207=0, CQ207=FALSE), NA(), AND($CN207=1, CQ207=FALSE), 0, CQ207=TRUE, 1)</f>
        <v>0</v>
      </c>
    </row>
    <row r="208" spans="1:100" ht="15.75" x14ac:dyDescent="0.25">
      <c r="A208" s="8">
        <v>207</v>
      </c>
      <c r="B208" s="9">
        <v>54</v>
      </c>
      <c r="C208" s="10" t="s">
        <v>7</v>
      </c>
      <c r="D208" s="11" t="s">
        <v>54</v>
      </c>
      <c r="E208" s="12">
        <v>24982</v>
      </c>
      <c r="F208" s="13">
        <v>1</v>
      </c>
      <c r="G208" s="9">
        <v>44.517452239990234</v>
      </c>
      <c r="H208" s="12">
        <v>41242</v>
      </c>
      <c r="I208" s="9">
        <v>1</v>
      </c>
      <c r="J208" s="12">
        <v>41242</v>
      </c>
      <c r="K208" s="9">
        <v>0</v>
      </c>
      <c r="L208" s="9">
        <v>1</v>
      </c>
      <c r="M208" s="10" t="s">
        <v>401</v>
      </c>
      <c r="N208" s="9">
        <v>2</v>
      </c>
      <c r="O208" s="10" t="s">
        <v>412</v>
      </c>
      <c r="P208" s="9">
        <v>2</v>
      </c>
      <c r="Q208" s="10" t="s">
        <v>412</v>
      </c>
      <c r="R208" s="12">
        <v>41562</v>
      </c>
      <c r="S208" s="10" t="s">
        <v>145</v>
      </c>
      <c r="T208" s="9">
        <v>2</v>
      </c>
      <c r="U208" s="10" t="s">
        <v>401</v>
      </c>
      <c r="V208" s="10" t="s">
        <v>401</v>
      </c>
      <c r="W208" s="9"/>
      <c r="X208" s="9"/>
      <c r="Y208" s="9">
        <v>2</v>
      </c>
      <c r="Z208" s="14">
        <v>1</v>
      </c>
      <c r="AA208" s="21">
        <v>12.4</v>
      </c>
      <c r="AB208" s="22">
        <v>97</v>
      </c>
      <c r="AC208" s="22">
        <v>13.8</v>
      </c>
      <c r="AD208" s="9">
        <v>2</v>
      </c>
      <c r="AE208" s="9">
        <v>2</v>
      </c>
      <c r="AF208" s="9">
        <v>1</v>
      </c>
      <c r="AG208" s="9">
        <v>0</v>
      </c>
      <c r="AH208" s="9">
        <v>1</v>
      </c>
      <c r="AI208" s="9">
        <v>1</v>
      </c>
      <c r="AJ208" s="12">
        <v>43006</v>
      </c>
      <c r="AK208" s="9">
        <v>1</v>
      </c>
      <c r="AL208" s="12">
        <v>44944</v>
      </c>
      <c r="AM208" s="9">
        <v>1</v>
      </c>
      <c r="AN208" s="12">
        <v>43112</v>
      </c>
      <c r="AO208" s="12">
        <v>43311</v>
      </c>
      <c r="AP208" s="12"/>
      <c r="AQ208" s="9">
        <v>1</v>
      </c>
      <c r="AR208" s="9">
        <f t="shared" si="78"/>
        <v>1</v>
      </c>
      <c r="AS208" s="9">
        <v>2</v>
      </c>
      <c r="AT208" s="9">
        <v>1</v>
      </c>
      <c r="AU208" s="9">
        <v>1</v>
      </c>
      <c r="AV208" s="9">
        <f t="shared" si="79"/>
        <v>0</v>
      </c>
      <c r="AW208" s="12">
        <v>44944</v>
      </c>
      <c r="AX208" s="9">
        <v>6660</v>
      </c>
      <c r="AY208" s="9">
        <v>4370</v>
      </c>
      <c r="AZ208" s="9">
        <v>1480</v>
      </c>
      <c r="BA208" s="9">
        <v>4370</v>
      </c>
      <c r="BB208" s="9">
        <v>1480.000244140625</v>
      </c>
      <c r="BC208" s="9">
        <v>259000</v>
      </c>
      <c r="BD208" s="9">
        <v>430</v>
      </c>
      <c r="BE208" s="9">
        <v>350</v>
      </c>
      <c r="BF208" s="9"/>
      <c r="BG208" s="9">
        <v>8350</v>
      </c>
      <c r="BH208" s="9">
        <v>6260</v>
      </c>
      <c r="BI208" s="9">
        <v>1340</v>
      </c>
      <c r="BJ208" s="9">
        <v>369000</v>
      </c>
      <c r="BK208" s="9">
        <v>510</v>
      </c>
      <c r="BL208" s="9">
        <v>180</v>
      </c>
      <c r="BM208" s="9"/>
      <c r="BN208" s="9">
        <v>7330</v>
      </c>
      <c r="BO208" s="9">
        <v>5410</v>
      </c>
      <c r="BP208" s="9">
        <v>1170</v>
      </c>
      <c r="BQ208" s="9">
        <v>387000</v>
      </c>
      <c r="BR208" s="9">
        <v>450</v>
      </c>
      <c r="BS208" s="9">
        <v>230</v>
      </c>
      <c r="BT208" s="9"/>
      <c r="BU208" s="9">
        <v>4580</v>
      </c>
      <c r="BV208" s="9">
        <v>2860</v>
      </c>
      <c r="BW208" s="9">
        <v>1080</v>
      </c>
      <c r="BX208" s="9">
        <v>250000</v>
      </c>
      <c r="BY208" s="9">
        <v>310</v>
      </c>
      <c r="BZ208" s="10" t="s">
        <v>535</v>
      </c>
      <c r="CA208" s="9">
        <v>260</v>
      </c>
      <c r="CB208" s="9"/>
      <c r="CC208" s="10">
        <f t="shared" si="80"/>
        <v>2.9527022156252944</v>
      </c>
      <c r="CD208" s="10">
        <f t="shared" si="81"/>
        <v>174.99997113202545</v>
      </c>
      <c r="CE208" s="10">
        <f t="shared" si="71"/>
        <v>764749.87384695129</v>
      </c>
      <c r="CF208" s="10">
        <f t="shared" si="73"/>
        <v>1</v>
      </c>
      <c r="CG208" s="10">
        <f t="shared" si="74"/>
        <v>1</v>
      </c>
      <c r="CH208" s="10">
        <f t="shared" si="75"/>
        <v>64</v>
      </c>
      <c r="CI208" s="9">
        <f t="shared" si="82"/>
        <v>0</v>
      </c>
      <c r="CJ208" s="10">
        <f t="shared" si="76"/>
        <v>64</v>
      </c>
      <c r="CK208" s="10" t="b">
        <f t="shared" si="83"/>
        <v>1</v>
      </c>
      <c r="CL208" s="10" t="b">
        <f t="shared" si="84"/>
        <v>1</v>
      </c>
      <c r="CM208" s="10" t="b">
        <f t="shared" si="85"/>
        <v>1</v>
      </c>
      <c r="CN208" s="9">
        <f t="shared" si="86"/>
        <v>1</v>
      </c>
      <c r="CO208" s="10">
        <f t="shared" si="90"/>
        <v>10</v>
      </c>
      <c r="CP208" s="10" t="b">
        <f t="shared" si="87"/>
        <v>1</v>
      </c>
      <c r="CQ208" s="10" t="b">
        <f t="shared" si="88"/>
        <v>1</v>
      </c>
      <c r="CR208" s="10" cm="1">
        <f t="array" ref="CR208">_xlfn.IFS(AND($CI208=0, CK208=FALSE), NA(), AND($CI208=1, CK208=FALSE), 0, CK208=TRUE, 1)</f>
        <v>1</v>
      </c>
      <c r="CS208" s="10" cm="1">
        <f t="array" ref="CS208">_xlfn.IFS(AND($CI208=0, CL208=FALSE), NA(), AND($CI208=1, CL208=FALSE), 0, CL208=TRUE, 1)</f>
        <v>1</v>
      </c>
      <c r="CT208" s="10" cm="1">
        <f t="array" ref="CT208">_xlfn.IFS(AND($CI208=0, CM208=FALSE), NA(), AND($CI208=1, CM208=FALSE), 0, CM208=TRUE, 1)</f>
        <v>1</v>
      </c>
      <c r="CU208" s="10" cm="1">
        <f t="array" ref="CU208">_xlfn.IFS(AND($CN208=0, CP208=FALSE), NA(), AND($CN208=1, CP208=FALSE), 0, CP208=TRUE, 1)</f>
        <v>1</v>
      </c>
      <c r="CV208" s="10" cm="1">
        <f t="array" ref="CV208">_xlfn.IFS(AND($CN208=0, CQ208=FALSE), NA(), AND($CN208=1, CQ208=FALSE), 0, CQ208=TRUE, 1)</f>
        <v>1</v>
      </c>
    </row>
    <row r="209" spans="1:100" ht="15.75" x14ac:dyDescent="0.25">
      <c r="A209" s="8">
        <v>208</v>
      </c>
      <c r="B209" s="9">
        <v>292</v>
      </c>
      <c r="C209" s="10" t="s">
        <v>22</v>
      </c>
      <c r="D209" s="11" t="s">
        <v>139</v>
      </c>
      <c r="E209" s="12">
        <v>13462</v>
      </c>
      <c r="F209" s="13">
        <v>2</v>
      </c>
      <c r="G209" s="9">
        <v>76.087608337402344</v>
      </c>
      <c r="H209" s="12">
        <v>41253</v>
      </c>
      <c r="I209" s="9">
        <v>1</v>
      </c>
      <c r="J209" s="12">
        <v>41253</v>
      </c>
      <c r="K209" s="9">
        <v>1</v>
      </c>
      <c r="L209" s="9">
        <v>1</v>
      </c>
      <c r="M209" s="10" t="s">
        <v>401</v>
      </c>
      <c r="N209" s="9">
        <v>2</v>
      </c>
      <c r="O209" s="10" t="s">
        <v>145</v>
      </c>
      <c r="P209" s="9">
        <v>2</v>
      </c>
      <c r="Q209" s="10" t="s">
        <v>145</v>
      </c>
      <c r="R209" s="12">
        <v>41253</v>
      </c>
      <c r="S209" s="10" t="s">
        <v>145</v>
      </c>
      <c r="T209" s="9"/>
      <c r="U209" s="10" t="s">
        <v>401</v>
      </c>
      <c r="V209" s="10" t="s">
        <v>401</v>
      </c>
      <c r="W209" s="9"/>
      <c r="X209" s="9"/>
      <c r="Y209" s="9">
        <v>2</v>
      </c>
      <c r="Z209" s="14">
        <v>1</v>
      </c>
      <c r="AB209" s="9"/>
      <c r="AC209" s="9"/>
      <c r="AD209" s="9">
        <v>2</v>
      </c>
      <c r="AE209" s="9">
        <v>2</v>
      </c>
      <c r="AF209" s="9">
        <v>1</v>
      </c>
      <c r="AG209" s="9">
        <v>0</v>
      </c>
      <c r="AH209" s="9">
        <v>1</v>
      </c>
      <c r="AI209" s="9">
        <v>0</v>
      </c>
      <c r="AJ209" s="12">
        <v>43678</v>
      </c>
      <c r="AK209" s="9">
        <v>2</v>
      </c>
      <c r="AL209" s="12">
        <v>43912</v>
      </c>
      <c r="AM209" s="9">
        <v>2</v>
      </c>
      <c r="AN209" s="12">
        <v>43781</v>
      </c>
      <c r="AO209" s="12">
        <v>43933</v>
      </c>
      <c r="AP209" s="12">
        <v>43933</v>
      </c>
      <c r="AQ209" s="9">
        <v>1</v>
      </c>
      <c r="AR209" s="9">
        <f t="shared" si="78"/>
        <v>1</v>
      </c>
      <c r="AS209" s="9">
        <v>1</v>
      </c>
      <c r="AT209" s="9">
        <v>2</v>
      </c>
      <c r="AU209" s="9">
        <v>1</v>
      </c>
      <c r="AV209" s="9">
        <f t="shared" si="79"/>
        <v>0</v>
      </c>
      <c r="AW209" s="12">
        <v>44022</v>
      </c>
      <c r="AX209" s="9">
        <v>6980</v>
      </c>
      <c r="AY209" s="9">
        <v>3750</v>
      </c>
      <c r="AZ209" s="9">
        <v>1920</v>
      </c>
      <c r="BA209" s="9">
        <v>3750</v>
      </c>
      <c r="BB209" s="9">
        <v>1920.0001220703125</v>
      </c>
      <c r="BC209" s="9">
        <v>234000</v>
      </c>
      <c r="BD209" s="9">
        <v>670</v>
      </c>
      <c r="BE209" s="9">
        <v>910</v>
      </c>
      <c r="BF209" s="9"/>
      <c r="BG209" s="9">
        <v>5290</v>
      </c>
      <c r="BH209" s="9">
        <v>3100</v>
      </c>
      <c r="BI209" s="9">
        <v>1480</v>
      </c>
      <c r="BJ209" s="9">
        <v>161000</v>
      </c>
      <c r="BK209" s="9">
        <v>710</v>
      </c>
      <c r="BL209" s="9">
        <v>230</v>
      </c>
      <c r="BM209" s="9"/>
      <c r="BN209" s="9">
        <v>7350</v>
      </c>
      <c r="BO209" s="9">
        <v>4810</v>
      </c>
      <c r="BP209" s="9">
        <v>1450</v>
      </c>
      <c r="BQ209" s="9">
        <v>249000</v>
      </c>
      <c r="BR209" s="9">
        <v>740</v>
      </c>
      <c r="BS209" s="9">
        <v>150</v>
      </c>
      <c r="BT209" s="9"/>
      <c r="BU209" s="9">
        <v>5930</v>
      </c>
      <c r="BV209" s="9">
        <v>2950</v>
      </c>
      <c r="BW209" s="9">
        <v>1890</v>
      </c>
      <c r="BX209" s="9">
        <v>203000</v>
      </c>
      <c r="BY209" s="9">
        <v>560</v>
      </c>
      <c r="BZ209" s="10" t="s">
        <v>560</v>
      </c>
      <c r="CA209" s="9">
        <v>170</v>
      </c>
      <c r="CB209" s="9"/>
      <c r="CC209" s="10">
        <f t="shared" si="80"/>
        <v>1.9531248758236646</v>
      </c>
      <c r="CD209" s="10">
        <f t="shared" si="81"/>
        <v>121.87499225139668</v>
      </c>
      <c r="CE209" s="10">
        <f t="shared" si="71"/>
        <v>457031.22094273753</v>
      </c>
      <c r="CF209" s="10">
        <f t="shared" si="73"/>
        <v>1</v>
      </c>
      <c r="CG209" s="10">
        <f t="shared" si="74"/>
        <v>1</v>
      </c>
      <c r="CH209" s="10">
        <f t="shared" si="75"/>
        <v>7</v>
      </c>
      <c r="CI209" s="9">
        <f t="shared" si="82"/>
        <v>0</v>
      </c>
      <c r="CJ209" s="10">
        <f t="shared" si="76"/>
        <v>11</v>
      </c>
      <c r="CK209" s="10" t="b">
        <f t="shared" si="83"/>
        <v>1</v>
      </c>
      <c r="CL209" s="10" t="b">
        <f t="shared" si="84"/>
        <v>0</v>
      </c>
      <c r="CM209" s="10" t="b">
        <f t="shared" si="85"/>
        <v>0</v>
      </c>
      <c r="CN209" s="9">
        <f t="shared" si="86"/>
        <v>1</v>
      </c>
      <c r="CO209" s="10">
        <f t="shared" si="90"/>
        <v>8</v>
      </c>
      <c r="CP209" s="10" t="b">
        <f t="shared" si="87"/>
        <v>1</v>
      </c>
      <c r="CQ209" s="10" t="b">
        <f t="shared" si="88"/>
        <v>0</v>
      </c>
      <c r="CR209" s="10" cm="1">
        <f t="array" ref="CR209">_xlfn.IFS(AND($CI209=0, CK209=FALSE), NA(), AND($CI209=1, CK209=FALSE), 0, CK209=TRUE, 1)</f>
        <v>1</v>
      </c>
      <c r="CS209" s="10" t="e" cm="1">
        <f t="array" ref="CS209">_xlfn.IFS(AND($CI209=0, CL209=FALSE), NA(), AND($CI209=1, CL209=FALSE), 0, CL209=TRUE, 1)</f>
        <v>#N/A</v>
      </c>
      <c r="CT209" s="10" t="e" cm="1">
        <f t="array" ref="CT209">_xlfn.IFS(AND($CI209=0, CM209=FALSE), NA(), AND($CI209=1, CM209=FALSE), 0, CM209=TRUE, 1)</f>
        <v>#N/A</v>
      </c>
      <c r="CU209" s="10" cm="1">
        <f t="array" ref="CU209">_xlfn.IFS(AND($CN209=0, CP209=FALSE), NA(), AND($CN209=1, CP209=FALSE), 0, CP209=TRUE, 1)</f>
        <v>1</v>
      </c>
      <c r="CV209" s="10" cm="1">
        <f t="array" ref="CV209">_xlfn.IFS(AND($CN209=0, CQ209=FALSE), NA(), AND($CN209=1, CQ209=FALSE), 0, CQ209=TRUE, 1)</f>
        <v>0</v>
      </c>
    </row>
    <row r="210" spans="1:100" x14ac:dyDescent="0.25">
      <c r="A210" s="8">
        <v>209</v>
      </c>
      <c r="B210" s="9">
        <v>476</v>
      </c>
      <c r="C210" s="10" t="s">
        <v>31</v>
      </c>
      <c r="D210" s="11" t="s">
        <v>368</v>
      </c>
      <c r="E210" s="12"/>
      <c r="F210" s="13">
        <v>1</v>
      </c>
      <c r="G210" s="9">
        <v>65</v>
      </c>
      <c r="H210" s="12">
        <v>41254</v>
      </c>
      <c r="I210" s="9">
        <v>0</v>
      </c>
      <c r="J210" s="12"/>
      <c r="K210" s="9">
        <v>1</v>
      </c>
      <c r="L210" s="9">
        <v>1</v>
      </c>
      <c r="M210" s="10" t="s">
        <v>401</v>
      </c>
      <c r="N210" s="9">
        <v>2</v>
      </c>
      <c r="O210" s="10" t="s">
        <v>145</v>
      </c>
      <c r="P210" s="9">
        <v>2</v>
      </c>
      <c r="Q210" s="10" t="s">
        <v>145</v>
      </c>
      <c r="R210" s="12">
        <v>41244</v>
      </c>
      <c r="S210" s="10" t="s">
        <v>145</v>
      </c>
      <c r="T210" s="9"/>
      <c r="U210" s="10" t="s">
        <v>401</v>
      </c>
      <c r="V210" s="10" t="s">
        <v>401</v>
      </c>
      <c r="W210" s="9"/>
      <c r="X210" s="9"/>
      <c r="Y210" s="9">
        <v>2</v>
      </c>
      <c r="Z210" s="19">
        <v>1</v>
      </c>
      <c r="AB210" s="9"/>
      <c r="AC210" s="9"/>
      <c r="AD210" s="9">
        <v>2</v>
      </c>
      <c r="AE210" s="9">
        <v>2</v>
      </c>
      <c r="AF210" s="9">
        <v>1</v>
      </c>
      <c r="AG210" s="9">
        <v>0</v>
      </c>
      <c r="AH210" s="9">
        <v>1</v>
      </c>
      <c r="AI210" s="9">
        <v>0</v>
      </c>
      <c r="AJ210" s="12">
        <v>42514</v>
      </c>
      <c r="AK210" s="9">
        <v>2</v>
      </c>
      <c r="AL210" s="12">
        <v>42629</v>
      </c>
      <c r="AM210" s="9">
        <v>4</v>
      </c>
      <c r="AN210" s="12">
        <v>42583</v>
      </c>
      <c r="AO210" s="12">
        <v>42583</v>
      </c>
      <c r="AP210" s="12">
        <v>42668</v>
      </c>
      <c r="AQ210" s="9">
        <v>1</v>
      </c>
      <c r="AR210" s="9">
        <f t="shared" si="78"/>
        <v>1</v>
      </c>
      <c r="AS210" s="9">
        <v>1</v>
      </c>
      <c r="AT210" s="9">
        <v>1</v>
      </c>
      <c r="AU210" s="9">
        <v>2</v>
      </c>
      <c r="AV210" s="9">
        <f t="shared" si="79"/>
        <v>1</v>
      </c>
      <c r="AW210" s="12">
        <v>42815</v>
      </c>
      <c r="AX210" s="9">
        <v>10660</v>
      </c>
      <c r="AY210" s="9">
        <v>8040</v>
      </c>
      <c r="AZ210" s="9">
        <v>1430</v>
      </c>
      <c r="BA210" s="9">
        <v>8040</v>
      </c>
      <c r="BB210" s="9">
        <v>1429.9996337890625</v>
      </c>
      <c r="BC210" s="9">
        <v>227000</v>
      </c>
      <c r="BD210" s="9">
        <v>990</v>
      </c>
      <c r="BE210" s="9">
        <v>150</v>
      </c>
      <c r="BF210" s="9"/>
      <c r="BG210" s="9">
        <v>7630</v>
      </c>
      <c r="BH210" s="9">
        <v>4880</v>
      </c>
      <c r="BI210" s="9">
        <v>1550</v>
      </c>
      <c r="BJ210" s="9">
        <v>404000</v>
      </c>
      <c r="BK210" s="9">
        <v>860</v>
      </c>
      <c r="BL210" s="9">
        <v>280</v>
      </c>
      <c r="BM210" s="9">
        <v>368</v>
      </c>
      <c r="BN210" s="9">
        <v>8230</v>
      </c>
      <c r="BO210" s="9">
        <v>6160</v>
      </c>
      <c r="BP210" s="9">
        <v>940</v>
      </c>
      <c r="BQ210" s="9">
        <v>313000</v>
      </c>
      <c r="BR210" s="9">
        <v>740</v>
      </c>
      <c r="BS210" s="9">
        <v>310</v>
      </c>
      <c r="BT210" s="9">
        <v>384</v>
      </c>
      <c r="BU210" s="9">
        <v>7180</v>
      </c>
      <c r="BV210" s="9">
        <v>4910</v>
      </c>
      <c r="BW210" s="9">
        <v>1090</v>
      </c>
      <c r="BX210" s="9">
        <v>365000</v>
      </c>
      <c r="BY210" s="9">
        <v>820</v>
      </c>
      <c r="BZ210" s="10" t="s">
        <v>568</v>
      </c>
      <c r="CA210" s="9">
        <v>320</v>
      </c>
      <c r="CB210" s="9"/>
      <c r="CC210" s="10">
        <f t="shared" si="80"/>
        <v>5.6223790622214738</v>
      </c>
      <c r="CD210" s="10">
        <f t="shared" si="81"/>
        <v>158.74129939356649</v>
      </c>
      <c r="CE210" s="10">
        <f t="shared" si="71"/>
        <v>1276280.0471242745</v>
      </c>
      <c r="CF210" s="10">
        <f t="shared" si="73"/>
        <v>0</v>
      </c>
      <c r="CG210" s="10">
        <f t="shared" si="74"/>
        <v>0</v>
      </c>
      <c r="CH210" s="10">
        <f t="shared" si="75"/>
        <v>4</v>
      </c>
      <c r="CI210" s="9">
        <f t="shared" si="82"/>
        <v>1</v>
      </c>
      <c r="CJ210" s="10">
        <f t="shared" si="76"/>
        <v>10</v>
      </c>
      <c r="CK210" s="10" t="b">
        <f t="shared" si="83"/>
        <v>1</v>
      </c>
      <c r="CL210" s="10" t="b">
        <f t="shared" si="84"/>
        <v>0</v>
      </c>
      <c r="CM210" s="10" t="b">
        <f t="shared" si="85"/>
        <v>0</v>
      </c>
      <c r="CN210" s="9">
        <f t="shared" si="86"/>
        <v>1</v>
      </c>
      <c r="CO210" s="10">
        <f t="shared" si="90"/>
        <v>3</v>
      </c>
      <c r="CP210" s="10" t="b">
        <f t="shared" si="87"/>
        <v>1</v>
      </c>
      <c r="CQ210" s="10" t="b">
        <f t="shared" si="88"/>
        <v>0</v>
      </c>
      <c r="CR210" s="10" cm="1">
        <f t="array" ref="CR210">_xlfn.IFS(AND($CI210=0, CK210=FALSE), NA(), AND($CI210=1, CK210=FALSE), 0, CK210=TRUE, 1)</f>
        <v>1</v>
      </c>
      <c r="CS210" s="10" cm="1">
        <f t="array" ref="CS210">_xlfn.IFS(AND($CI210=0, CL210=FALSE), NA(), AND($CI210=1, CL210=FALSE), 0, CL210=TRUE, 1)</f>
        <v>0</v>
      </c>
      <c r="CT210" s="10" cm="1">
        <f t="array" ref="CT210">_xlfn.IFS(AND($CI210=0, CM210=FALSE), NA(), AND($CI210=1, CM210=FALSE), 0, CM210=TRUE, 1)</f>
        <v>0</v>
      </c>
      <c r="CU210" s="10" cm="1">
        <f t="array" ref="CU210">_xlfn.IFS(AND($CN210=0, CP210=FALSE), NA(), AND($CN210=1, CP210=FALSE), 0, CP210=TRUE, 1)</f>
        <v>1</v>
      </c>
      <c r="CV210" s="10" cm="1">
        <f t="array" ref="CV210">_xlfn.IFS(AND($CN210=0, CQ210=FALSE), NA(), AND($CN210=1, CQ210=FALSE), 0, CQ210=TRUE, 1)</f>
        <v>0</v>
      </c>
    </row>
    <row r="211" spans="1:100" ht="15.75" x14ac:dyDescent="0.25">
      <c r="A211" s="8">
        <v>210</v>
      </c>
      <c r="B211" s="9">
        <v>41</v>
      </c>
      <c r="C211" s="10" t="s">
        <v>6</v>
      </c>
      <c r="D211" s="11" t="s">
        <v>75</v>
      </c>
      <c r="E211" s="12">
        <v>25450</v>
      </c>
      <c r="F211" s="13">
        <v>2</v>
      </c>
      <c r="G211" s="9">
        <v>43.268993377685547</v>
      </c>
      <c r="H211" s="12">
        <v>41254</v>
      </c>
      <c r="I211" s="9">
        <v>1</v>
      </c>
      <c r="J211" s="12">
        <v>41254</v>
      </c>
      <c r="K211" s="9">
        <v>0</v>
      </c>
      <c r="L211" s="9">
        <v>2</v>
      </c>
      <c r="M211" s="10" t="s">
        <v>401</v>
      </c>
      <c r="N211" s="9">
        <v>2</v>
      </c>
      <c r="O211" s="10" t="s">
        <v>145</v>
      </c>
      <c r="P211" s="9">
        <v>2</v>
      </c>
      <c r="Q211" s="10" t="s">
        <v>145</v>
      </c>
      <c r="R211" s="12">
        <v>41351</v>
      </c>
      <c r="S211" s="10" t="s">
        <v>145</v>
      </c>
      <c r="T211" s="9">
        <v>5</v>
      </c>
      <c r="U211" s="10" t="s">
        <v>401</v>
      </c>
      <c r="V211" s="10" t="s">
        <v>401</v>
      </c>
      <c r="W211" s="9"/>
      <c r="X211" s="9"/>
      <c r="Y211" s="9">
        <v>3</v>
      </c>
      <c r="Z211" s="14">
        <v>1</v>
      </c>
      <c r="AA211" s="17">
        <v>11.4</v>
      </c>
      <c r="AB211" s="18" t="s">
        <v>466</v>
      </c>
      <c r="AC211" s="18">
        <v>14</v>
      </c>
      <c r="AD211" s="9">
        <v>3</v>
      </c>
      <c r="AE211" s="9">
        <v>3</v>
      </c>
      <c r="AF211" s="9">
        <v>2</v>
      </c>
      <c r="AG211" s="9">
        <v>0</v>
      </c>
      <c r="AH211" s="9">
        <v>1</v>
      </c>
      <c r="AI211" s="9">
        <v>1</v>
      </c>
      <c r="AJ211" s="12">
        <v>42955</v>
      </c>
      <c r="AK211" s="9">
        <v>2</v>
      </c>
      <c r="AL211" s="12">
        <v>43028</v>
      </c>
      <c r="AM211" s="9">
        <v>4</v>
      </c>
      <c r="AN211" s="12">
        <v>43049</v>
      </c>
      <c r="AO211" s="12">
        <v>43049</v>
      </c>
      <c r="AP211" s="12">
        <v>43049</v>
      </c>
      <c r="AQ211" s="9">
        <v>1</v>
      </c>
      <c r="AR211" s="9">
        <f t="shared" si="78"/>
        <v>1</v>
      </c>
      <c r="AS211" s="9">
        <v>1</v>
      </c>
      <c r="AT211" s="9">
        <v>2</v>
      </c>
      <c r="AU211" s="9">
        <v>2</v>
      </c>
      <c r="AV211" s="9">
        <f t="shared" si="79"/>
        <v>1</v>
      </c>
      <c r="AW211" s="12">
        <v>43070</v>
      </c>
      <c r="AX211" s="9">
        <v>6050</v>
      </c>
      <c r="AY211" s="9">
        <v>3400</v>
      </c>
      <c r="AZ211" s="9">
        <v>2300</v>
      </c>
      <c r="BA211" s="9">
        <v>3400</v>
      </c>
      <c r="BB211" s="9">
        <v>2300.000244140625</v>
      </c>
      <c r="BC211" s="9">
        <v>684000</v>
      </c>
      <c r="BD211" s="9"/>
      <c r="BE211" s="9"/>
      <c r="BF211" s="9">
        <v>356</v>
      </c>
      <c r="BG211" s="9">
        <v>6160</v>
      </c>
      <c r="BH211" s="9">
        <v>4100</v>
      </c>
      <c r="BI211" s="9">
        <v>2100</v>
      </c>
      <c r="BJ211" s="9">
        <v>358000</v>
      </c>
      <c r="BK211" s="9"/>
      <c r="BL211" s="9"/>
      <c r="BM211" s="9">
        <v>397</v>
      </c>
      <c r="BN211" s="9">
        <v>5300</v>
      </c>
      <c r="BO211" s="9">
        <v>3240</v>
      </c>
      <c r="BP211" s="9">
        <v>1900</v>
      </c>
      <c r="BQ211" s="9">
        <v>285000</v>
      </c>
      <c r="BR211" s="9"/>
      <c r="BS211" s="9"/>
      <c r="BT211" s="9">
        <v>402</v>
      </c>
      <c r="BU211" s="9">
        <v>10700</v>
      </c>
      <c r="BV211" s="9">
        <v>9100</v>
      </c>
      <c r="BW211" s="9">
        <v>2100</v>
      </c>
      <c r="BX211" s="9">
        <v>200000</v>
      </c>
      <c r="BY211" s="9"/>
      <c r="BZ211" s="10" t="s">
        <v>401</v>
      </c>
      <c r="CA211" s="9"/>
      <c r="CB211" s="9">
        <v>398</v>
      </c>
      <c r="CC211" s="10">
        <f t="shared" si="80"/>
        <v>1.4782607126506546</v>
      </c>
      <c r="CD211" s="10">
        <f t="shared" si="81"/>
        <v>297.39127278030816</v>
      </c>
      <c r="CE211" s="10">
        <f t="shared" si="71"/>
        <v>1011130.3274530477</v>
      </c>
      <c r="CF211" s="10">
        <f t="shared" si="73"/>
        <v>0</v>
      </c>
      <c r="CG211" s="10">
        <f t="shared" si="74"/>
        <v>0</v>
      </c>
      <c r="CH211" s="10">
        <f t="shared" si="75"/>
        <v>2</v>
      </c>
      <c r="CI211" s="9">
        <f t="shared" si="82"/>
        <v>1</v>
      </c>
      <c r="CJ211" s="10">
        <f t="shared" si="76"/>
        <v>4</v>
      </c>
      <c r="CK211" s="10" t="b">
        <f t="shared" si="83"/>
        <v>0</v>
      </c>
      <c r="CL211" s="10" t="b">
        <f t="shared" si="84"/>
        <v>0</v>
      </c>
      <c r="CM211" s="10" t="b">
        <f t="shared" si="85"/>
        <v>0</v>
      </c>
      <c r="CN211" s="9">
        <f t="shared" si="86"/>
        <v>1</v>
      </c>
      <c r="CO211" s="10">
        <f t="shared" si="90"/>
        <v>3</v>
      </c>
      <c r="CP211" s="10" t="b">
        <f t="shared" si="87"/>
        <v>1</v>
      </c>
      <c r="CQ211" s="10" t="b">
        <f t="shared" si="88"/>
        <v>0</v>
      </c>
      <c r="CR211" s="10" cm="1">
        <f t="array" ref="CR211">_xlfn.IFS(AND($CI211=0, CK211=FALSE), NA(), AND($CI211=1, CK211=FALSE), 0, CK211=TRUE, 1)</f>
        <v>0</v>
      </c>
      <c r="CS211" s="10" cm="1">
        <f t="array" ref="CS211">_xlfn.IFS(AND($CI211=0, CL211=FALSE), NA(), AND($CI211=1, CL211=FALSE), 0, CL211=TRUE, 1)</f>
        <v>0</v>
      </c>
      <c r="CT211" s="10" cm="1">
        <f t="array" ref="CT211">_xlfn.IFS(AND($CI211=0, CM211=FALSE), NA(), AND($CI211=1, CM211=FALSE), 0, CM211=TRUE, 1)</f>
        <v>0</v>
      </c>
      <c r="CU211" s="10" cm="1">
        <f t="array" ref="CU211">_xlfn.IFS(AND($CN211=0, CP211=FALSE), NA(), AND($CN211=1, CP211=FALSE), 0, CP211=TRUE, 1)</f>
        <v>1</v>
      </c>
      <c r="CV211" s="10" cm="1">
        <f t="array" ref="CV211">_xlfn.IFS(AND($CN211=0, CQ211=FALSE), NA(), AND($CN211=1, CQ211=FALSE), 0, CQ211=TRUE, 1)</f>
        <v>0</v>
      </c>
    </row>
    <row r="212" spans="1:100" ht="15.75" x14ac:dyDescent="0.25">
      <c r="A212" s="8">
        <v>211</v>
      </c>
      <c r="B212" s="9">
        <v>185</v>
      </c>
      <c r="C212" s="10" t="s">
        <v>17</v>
      </c>
      <c r="D212" s="11" t="s">
        <v>193</v>
      </c>
      <c r="E212" s="12">
        <v>22119</v>
      </c>
      <c r="F212" s="13">
        <v>2</v>
      </c>
      <c r="G212" s="9">
        <v>52.391513824462891</v>
      </c>
      <c r="H212" s="12">
        <v>41255</v>
      </c>
      <c r="I212" s="9">
        <v>1</v>
      </c>
      <c r="J212" s="12">
        <v>41267</v>
      </c>
      <c r="K212" s="9">
        <v>1</v>
      </c>
      <c r="L212" s="9">
        <v>1</v>
      </c>
      <c r="M212" s="10" t="s">
        <v>401</v>
      </c>
      <c r="N212" s="9">
        <v>2</v>
      </c>
      <c r="O212" s="10" t="s">
        <v>145</v>
      </c>
      <c r="P212" s="9">
        <v>2</v>
      </c>
      <c r="Q212" s="10" t="s">
        <v>145</v>
      </c>
      <c r="R212" s="12">
        <v>41255</v>
      </c>
      <c r="S212" s="10" t="s">
        <v>145</v>
      </c>
      <c r="T212" s="9">
        <v>5</v>
      </c>
      <c r="U212" s="10" t="s">
        <v>401</v>
      </c>
      <c r="V212" s="10" t="s">
        <v>401</v>
      </c>
      <c r="W212" s="9"/>
      <c r="X212" s="9"/>
      <c r="Y212" s="9">
        <v>3</v>
      </c>
      <c r="Z212" s="14">
        <v>1</v>
      </c>
      <c r="AA212" s="17">
        <v>11.9</v>
      </c>
      <c r="AB212" s="18">
        <v>89</v>
      </c>
      <c r="AC212" s="18">
        <v>14</v>
      </c>
      <c r="AD212" s="9">
        <v>2</v>
      </c>
      <c r="AE212" s="9">
        <v>2</v>
      </c>
      <c r="AF212" s="9">
        <v>2</v>
      </c>
      <c r="AG212" s="9">
        <v>0</v>
      </c>
      <c r="AH212" s="9">
        <v>1</v>
      </c>
      <c r="AI212" s="9">
        <v>1</v>
      </c>
      <c r="AJ212" s="12">
        <v>43025</v>
      </c>
      <c r="AK212" s="9">
        <v>2</v>
      </c>
      <c r="AL212" s="12">
        <v>43518</v>
      </c>
      <c r="AM212" s="9">
        <v>2</v>
      </c>
      <c r="AN212" s="12">
        <v>43173</v>
      </c>
      <c r="AO212" s="12">
        <v>43529</v>
      </c>
      <c r="AP212" s="12">
        <v>43529</v>
      </c>
      <c r="AQ212" s="9">
        <v>1</v>
      </c>
      <c r="AR212" s="9">
        <f t="shared" si="78"/>
        <v>1</v>
      </c>
      <c r="AS212" s="9">
        <v>1</v>
      </c>
      <c r="AT212" s="9">
        <v>2</v>
      </c>
      <c r="AU212" s="9">
        <v>2</v>
      </c>
      <c r="AV212" s="9">
        <f t="shared" si="79"/>
        <v>1</v>
      </c>
      <c r="AW212" s="12">
        <v>43562</v>
      </c>
      <c r="AX212" s="9">
        <v>4220</v>
      </c>
      <c r="AY212" s="9">
        <v>3700</v>
      </c>
      <c r="AZ212" s="9">
        <v>200</v>
      </c>
      <c r="BA212" s="9">
        <v>3700</v>
      </c>
      <c r="BB212" s="9">
        <v>200.00001525878906</v>
      </c>
      <c r="BC212" s="9">
        <v>166000</v>
      </c>
      <c r="BD212" s="9">
        <v>300</v>
      </c>
      <c r="BE212" s="9">
        <v>0</v>
      </c>
      <c r="BF212" s="9"/>
      <c r="BG212" s="9">
        <v>3580</v>
      </c>
      <c r="BH212" s="9">
        <v>3100</v>
      </c>
      <c r="BI212" s="9">
        <v>200</v>
      </c>
      <c r="BJ212" s="9">
        <v>117000</v>
      </c>
      <c r="BK212" s="9">
        <v>300</v>
      </c>
      <c r="BL212" s="9">
        <v>0</v>
      </c>
      <c r="BM212" s="9"/>
      <c r="BN212" s="9">
        <v>4550</v>
      </c>
      <c r="BO212" s="9">
        <v>4000</v>
      </c>
      <c r="BP212" s="9">
        <v>200</v>
      </c>
      <c r="BQ212" s="9">
        <v>117000</v>
      </c>
      <c r="BR212" s="9">
        <v>300</v>
      </c>
      <c r="BS212" s="9">
        <v>0</v>
      </c>
      <c r="BT212" s="9"/>
      <c r="BU212" s="9">
        <v>3610</v>
      </c>
      <c r="BV212" s="9">
        <v>3100</v>
      </c>
      <c r="BW212" s="9">
        <v>200</v>
      </c>
      <c r="BX212" s="9">
        <v>118000</v>
      </c>
      <c r="BY212" s="9">
        <v>300</v>
      </c>
      <c r="BZ212" s="10" t="s">
        <v>442</v>
      </c>
      <c r="CA212" s="9">
        <v>0</v>
      </c>
      <c r="CB212" s="9"/>
      <c r="CC212" s="10">
        <f t="shared" si="80"/>
        <v>18.499998588562118</v>
      </c>
      <c r="CD212" s="10">
        <f t="shared" si="81"/>
        <v>829.99993667603019</v>
      </c>
      <c r="CE212" s="10">
        <f t="shared" si="71"/>
        <v>3070999.7657013116</v>
      </c>
      <c r="CF212" s="10">
        <f t="shared" si="73"/>
        <v>1</v>
      </c>
      <c r="CG212" s="10">
        <f t="shared" si="74"/>
        <v>1</v>
      </c>
      <c r="CH212" s="10">
        <f t="shared" si="75"/>
        <v>16</v>
      </c>
      <c r="CI212" s="9">
        <f t="shared" si="82"/>
        <v>1</v>
      </c>
      <c r="CJ212" s="10">
        <f t="shared" si="76"/>
        <v>18</v>
      </c>
      <c r="CK212" s="10" t="b">
        <f t="shared" si="83"/>
        <v>1</v>
      </c>
      <c r="CL212" s="10" t="b">
        <f t="shared" si="84"/>
        <v>1</v>
      </c>
      <c r="CM212" s="10" t="b">
        <f t="shared" si="85"/>
        <v>0</v>
      </c>
      <c r="CN212" s="9">
        <f t="shared" si="86"/>
        <v>1</v>
      </c>
      <c r="CO212" s="10">
        <f t="shared" si="90"/>
        <v>17</v>
      </c>
      <c r="CP212" s="10" t="b">
        <f t="shared" si="87"/>
        <v>1</v>
      </c>
      <c r="CQ212" s="10" t="b">
        <f t="shared" si="88"/>
        <v>1</v>
      </c>
      <c r="CR212" s="10" cm="1">
        <f t="array" ref="CR212">_xlfn.IFS(AND($CI212=0, CK212=FALSE), NA(), AND($CI212=1, CK212=FALSE), 0, CK212=TRUE, 1)</f>
        <v>1</v>
      </c>
      <c r="CS212" s="10" cm="1">
        <f t="array" ref="CS212">_xlfn.IFS(AND($CI212=0, CL212=FALSE), NA(), AND($CI212=1, CL212=FALSE), 0, CL212=TRUE, 1)</f>
        <v>1</v>
      </c>
      <c r="CT212" s="10" cm="1">
        <f t="array" ref="CT212">_xlfn.IFS(AND($CI212=0, CM212=FALSE), NA(), AND($CI212=1, CM212=FALSE), 0, CM212=TRUE, 1)</f>
        <v>0</v>
      </c>
      <c r="CU212" s="10" cm="1">
        <f t="array" ref="CU212">_xlfn.IFS(AND($CN212=0, CP212=FALSE), NA(), AND($CN212=1, CP212=FALSE), 0, CP212=TRUE, 1)</f>
        <v>1</v>
      </c>
      <c r="CV212" s="10" cm="1">
        <f t="array" ref="CV212">_xlfn.IFS(AND($CN212=0, CQ212=FALSE), NA(), AND($CN212=1, CQ212=FALSE), 0, CQ212=TRUE, 1)</f>
        <v>1</v>
      </c>
    </row>
    <row r="213" spans="1:100" ht="15.75" x14ac:dyDescent="0.25">
      <c r="A213" s="8">
        <v>212</v>
      </c>
      <c r="B213" s="9">
        <v>265</v>
      </c>
      <c r="C213" s="10" t="s">
        <v>21</v>
      </c>
      <c r="D213" s="11" t="s">
        <v>85</v>
      </c>
      <c r="E213" s="12">
        <v>16841</v>
      </c>
      <c r="F213" s="13">
        <v>1</v>
      </c>
      <c r="G213" s="9">
        <v>66.893905639648438</v>
      </c>
      <c r="H213" s="12">
        <v>41274</v>
      </c>
      <c r="I213" s="9">
        <v>1</v>
      </c>
      <c r="J213" s="12">
        <v>41289</v>
      </c>
      <c r="K213" s="9">
        <v>0</v>
      </c>
      <c r="L213" s="9">
        <v>1</v>
      </c>
      <c r="M213" s="10" t="s">
        <v>401</v>
      </c>
      <c r="N213" s="9">
        <v>2</v>
      </c>
      <c r="O213" s="10" t="s">
        <v>149</v>
      </c>
      <c r="P213" s="9">
        <v>1</v>
      </c>
      <c r="Q213" s="10" t="s">
        <v>401</v>
      </c>
      <c r="R213" s="12">
        <v>42093</v>
      </c>
      <c r="S213" s="10" t="s">
        <v>145</v>
      </c>
      <c r="T213" s="9">
        <v>6</v>
      </c>
      <c r="U213" s="10" t="s">
        <v>401</v>
      </c>
      <c r="V213" s="10" t="s">
        <v>401</v>
      </c>
      <c r="W213" s="9"/>
      <c r="X213" s="9"/>
      <c r="Y213" s="9">
        <v>3</v>
      </c>
      <c r="Z213" s="14">
        <v>1</v>
      </c>
      <c r="AA213" s="15">
        <v>13.3</v>
      </c>
      <c r="AB213" s="16">
        <v>90</v>
      </c>
      <c r="AC213" s="16">
        <v>17</v>
      </c>
      <c r="AD213" s="9">
        <v>1</v>
      </c>
      <c r="AE213" s="9">
        <v>1</v>
      </c>
      <c r="AF213" s="9">
        <v>1</v>
      </c>
      <c r="AG213" s="9">
        <v>1</v>
      </c>
      <c r="AH213" s="9">
        <v>1</v>
      </c>
      <c r="AI213" s="9">
        <v>0</v>
      </c>
      <c r="AJ213" s="12">
        <v>42503</v>
      </c>
      <c r="AK213" s="9">
        <v>2</v>
      </c>
      <c r="AL213" s="12">
        <v>42983</v>
      </c>
      <c r="AM213" s="9">
        <v>2</v>
      </c>
      <c r="AN213" s="12">
        <v>42818</v>
      </c>
      <c r="AO213" s="12">
        <v>43734</v>
      </c>
      <c r="AP213" s="12">
        <v>43734</v>
      </c>
      <c r="AQ213" s="9">
        <v>1</v>
      </c>
      <c r="AR213" s="9">
        <f t="shared" si="78"/>
        <v>1</v>
      </c>
      <c r="AS213" s="9">
        <v>1</v>
      </c>
      <c r="AT213" s="9">
        <v>2</v>
      </c>
      <c r="AU213" s="9">
        <v>2</v>
      </c>
      <c r="AV213" s="9">
        <f t="shared" si="79"/>
        <v>1</v>
      </c>
      <c r="AW213" s="12">
        <v>44905</v>
      </c>
      <c r="AX213" s="9">
        <v>8890</v>
      </c>
      <c r="AY213" s="9">
        <v>4330</v>
      </c>
      <c r="AZ213" s="9">
        <v>2110</v>
      </c>
      <c r="BA213" s="9">
        <v>4330</v>
      </c>
      <c r="BB213" s="9">
        <v>2110</v>
      </c>
      <c r="BC213" s="9">
        <v>260000</v>
      </c>
      <c r="BD213" s="9">
        <v>1080</v>
      </c>
      <c r="BE213" s="9">
        <v>1270</v>
      </c>
      <c r="BF213" s="9">
        <v>206</v>
      </c>
      <c r="BG213" s="9">
        <v>9540</v>
      </c>
      <c r="BH213" s="9">
        <v>5100</v>
      </c>
      <c r="BI213" s="9">
        <v>1850</v>
      </c>
      <c r="BJ213" s="9">
        <v>284000</v>
      </c>
      <c r="BK213" s="9">
        <v>1140</v>
      </c>
      <c r="BL213" s="9">
        <v>1270</v>
      </c>
      <c r="BM213" s="9">
        <v>186</v>
      </c>
      <c r="BN213" s="9">
        <v>10630</v>
      </c>
      <c r="BO213" s="9">
        <v>5680</v>
      </c>
      <c r="BP213" s="9">
        <v>2060</v>
      </c>
      <c r="BQ213" s="9">
        <v>254000</v>
      </c>
      <c r="BR213" s="9">
        <v>900</v>
      </c>
      <c r="BS213" s="9">
        <v>1890</v>
      </c>
      <c r="BT213" s="9">
        <v>180</v>
      </c>
      <c r="BU213" s="9">
        <v>6430</v>
      </c>
      <c r="BV213" s="9">
        <v>2670</v>
      </c>
      <c r="BW213" s="9">
        <v>1600</v>
      </c>
      <c r="BX213" s="9">
        <v>196000</v>
      </c>
      <c r="BY213" s="9">
        <v>1280</v>
      </c>
      <c r="BZ213" s="10" t="s">
        <v>569</v>
      </c>
      <c r="CA213" s="9">
        <v>730</v>
      </c>
      <c r="CB213" s="9">
        <v>195</v>
      </c>
      <c r="CC213" s="10">
        <f t="shared" si="80"/>
        <v>2.0521327014218009</v>
      </c>
      <c r="CD213" s="10">
        <f t="shared" si="81"/>
        <v>123.22274881516587</v>
      </c>
      <c r="CE213" s="10">
        <f t="shared" si="71"/>
        <v>533554.50236966822</v>
      </c>
      <c r="CF213" s="10">
        <f t="shared" si="73"/>
        <v>1</v>
      </c>
      <c r="CG213" s="10">
        <f t="shared" si="74"/>
        <v>1</v>
      </c>
      <c r="CH213" s="10">
        <f t="shared" si="75"/>
        <v>16</v>
      </c>
      <c r="CI213" s="9">
        <f t="shared" si="82"/>
        <v>1</v>
      </c>
      <c r="CJ213" s="10">
        <f t="shared" si="76"/>
        <v>79</v>
      </c>
      <c r="CK213" s="10" t="b">
        <f t="shared" si="83"/>
        <v>1</v>
      </c>
      <c r="CL213" s="10" t="b">
        <f t="shared" si="84"/>
        <v>1</v>
      </c>
      <c r="CM213" s="10" t="b">
        <f t="shared" si="85"/>
        <v>1</v>
      </c>
      <c r="CN213" s="9">
        <f t="shared" si="86"/>
        <v>1</v>
      </c>
      <c r="CO213" s="10">
        <f t="shared" si="90"/>
        <v>40</v>
      </c>
      <c r="CP213" s="10" t="b">
        <f t="shared" si="87"/>
        <v>1</v>
      </c>
      <c r="CQ213" s="10" t="b">
        <f t="shared" si="88"/>
        <v>1</v>
      </c>
      <c r="CR213" s="10" cm="1">
        <f t="array" ref="CR213">_xlfn.IFS(AND($CI213=0, CK213=FALSE), NA(), AND($CI213=1, CK213=FALSE), 0, CK213=TRUE, 1)</f>
        <v>1</v>
      </c>
      <c r="CS213" s="10" cm="1">
        <f t="array" ref="CS213">_xlfn.IFS(AND($CI213=0, CL213=FALSE), NA(), AND($CI213=1, CL213=FALSE), 0, CL213=TRUE, 1)</f>
        <v>1</v>
      </c>
      <c r="CT213" s="10" cm="1">
        <f t="array" ref="CT213">_xlfn.IFS(AND($CI213=0, CM213=FALSE), NA(), AND($CI213=1, CM213=FALSE), 0, CM213=TRUE, 1)</f>
        <v>1</v>
      </c>
      <c r="CU213" s="10" cm="1">
        <f t="array" ref="CU213">_xlfn.IFS(AND($CN213=0, CP213=FALSE), NA(), AND($CN213=1, CP213=FALSE), 0, CP213=TRUE, 1)</f>
        <v>1</v>
      </c>
      <c r="CV213" s="10" cm="1">
        <f t="array" ref="CV213">_xlfn.IFS(AND($CN213=0, CQ213=FALSE), NA(), AND($CN213=1, CQ213=FALSE), 0, CQ213=TRUE, 1)</f>
        <v>1</v>
      </c>
    </row>
    <row r="214" spans="1:100" ht="15.75" x14ac:dyDescent="0.25">
      <c r="A214" s="8">
        <v>213</v>
      </c>
      <c r="B214" s="9">
        <v>229</v>
      </c>
      <c r="C214" s="10" t="s">
        <v>19</v>
      </c>
      <c r="D214" s="11" t="s">
        <v>225</v>
      </c>
      <c r="E214" s="12">
        <v>34930</v>
      </c>
      <c r="F214" s="13">
        <v>2</v>
      </c>
      <c r="G214" s="9">
        <v>17.371664047241211</v>
      </c>
      <c r="H214" s="12">
        <v>41275</v>
      </c>
      <c r="I214" s="9">
        <v>1</v>
      </c>
      <c r="J214" s="12">
        <v>41275</v>
      </c>
      <c r="K214" s="9">
        <v>0</v>
      </c>
      <c r="L214" s="9">
        <v>1</v>
      </c>
      <c r="M214" s="10" t="s">
        <v>401</v>
      </c>
      <c r="N214" s="9">
        <v>1</v>
      </c>
      <c r="O214" s="10" t="s">
        <v>401</v>
      </c>
      <c r="P214" s="9">
        <v>1</v>
      </c>
      <c r="Q214" s="10" t="s">
        <v>401</v>
      </c>
      <c r="R214" s="12">
        <v>42204</v>
      </c>
      <c r="S214" s="10" t="s">
        <v>145</v>
      </c>
      <c r="T214" s="9">
        <v>4</v>
      </c>
      <c r="U214" s="10" t="s">
        <v>401</v>
      </c>
      <c r="V214" s="10" t="s">
        <v>401</v>
      </c>
      <c r="W214" s="9"/>
      <c r="X214" s="9"/>
      <c r="Y214" s="9">
        <v>3</v>
      </c>
      <c r="Z214" s="14">
        <v>1</v>
      </c>
      <c r="AA214" s="31">
        <v>11.7</v>
      </c>
      <c r="AB214" s="37">
        <v>105</v>
      </c>
      <c r="AC214" s="37">
        <v>14</v>
      </c>
      <c r="AD214" s="9">
        <v>1</v>
      </c>
      <c r="AE214" s="9">
        <v>2</v>
      </c>
      <c r="AF214" s="9">
        <v>1</v>
      </c>
      <c r="AG214" s="9">
        <v>0</v>
      </c>
      <c r="AH214" s="9">
        <v>1</v>
      </c>
      <c r="AI214" s="9">
        <v>1</v>
      </c>
      <c r="AJ214" s="12">
        <v>43452</v>
      </c>
      <c r="AK214" s="9">
        <v>2</v>
      </c>
      <c r="AL214" s="12">
        <v>43844</v>
      </c>
      <c r="AM214" s="9">
        <v>2</v>
      </c>
      <c r="AN214" s="12">
        <v>43642</v>
      </c>
      <c r="AO214" s="12">
        <v>43741</v>
      </c>
      <c r="AP214" s="12">
        <v>43850</v>
      </c>
      <c r="AQ214" s="9">
        <v>1</v>
      </c>
      <c r="AR214" s="9">
        <f t="shared" si="78"/>
        <v>1</v>
      </c>
      <c r="AS214" s="9">
        <v>1</v>
      </c>
      <c r="AT214" s="9">
        <v>1</v>
      </c>
      <c r="AU214" s="9">
        <v>2</v>
      </c>
      <c r="AV214" s="9">
        <f t="shared" si="79"/>
        <v>1</v>
      </c>
      <c r="AW214" s="12">
        <v>44287</v>
      </c>
      <c r="AX214" s="9">
        <v>8520</v>
      </c>
      <c r="AY214" s="9">
        <v>7000</v>
      </c>
      <c r="AZ214" s="9">
        <v>800</v>
      </c>
      <c r="BA214" s="9">
        <v>7000</v>
      </c>
      <c r="BB214" s="9">
        <v>800.00006103515625</v>
      </c>
      <c r="BC214" s="9">
        <v>319000</v>
      </c>
      <c r="BD214" s="9">
        <v>500</v>
      </c>
      <c r="BE214" s="9">
        <v>100</v>
      </c>
      <c r="BF214" s="9">
        <v>592</v>
      </c>
      <c r="BG214" s="9">
        <v>8700</v>
      </c>
      <c r="BH214" s="9">
        <v>6900</v>
      </c>
      <c r="BI214" s="9">
        <v>1100</v>
      </c>
      <c r="BJ214" s="9">
        <v>748000</v>
      </c>
      <c r="BK214" s="9">
        <v>500</v>
      </c>
      <c r="BL214" s="9">
        <v>100</v>
      </c>
      <c r="BM214" s="9">
        <v>591</v>
      </c>
      <c r="BN214" s="9">
        <v>10290</v>
      </c>
      <c r="BO214" s="9">
        <v>8100</v>
      </c>
      <c r="BP214" s="9">
        <v>1200</v>
      </c>
      <c r="BQ214" s="9">
        <v>588000</v>
      </c>
      <c r="BR214" s="9">
        <v>800</v>
      </c>
      <c r="BS214" s="9">
        <v>100</v>
      </c>
      <c r="BT214" s="9">
        <v>539</v>
      </c>
      <c r="BU214" s="9">
        <v>9770</v>
      </c>
      <c r="BV214" s="9">
        <v>6900</v>
      </c>
      <c r="BW214" s="9">
        <v>1000</v>
      </c>
      <c r="BX214" s="9">
        <v>476000</v>
      </c>
      <c r="BY214" s="9">
        <v>600</v>
      </c>
      <c r="BZ214" s="10" t="s">
        <v>524</v>
      </c>
      <c r="CA214" s="9">
        <v>200</v>
      </c>
      <c r="CB214" s="9">
        <v>604</v>
      </c>
      <c r="CC214" s="10">
        <f t="shared" si="80"/>
        <v>8.749999332428029</v>
      </c>
      <c r="CD214" s="10">
        <f t="shared" si="81"/>
        <v>398.7499695777916</v>
      </c>
      <c r="CE214" s="10">
        <f t="shared" si="71"/>
        <v>2791249.7870445414</v>
      </c>
      <c r="CF214" s="10">
        <f t="shared" si="73"/>
        <v>1</v>
      </c>
      <c r="CG214" s="10">
        <f t="shared" si="74"/>
        <v>1</v>
      </c>
      <c r="CH214" s="10">
        <f t="shared" si="75"/>
        <v>13</v>
      </c>
      <c r="CI214" s="9">
        <f t="shared" si="82"/>
        <v>1</v>
      </c>
      <c r="CJ214" s="10">
        <f t="shared" si="76"/>
        <v>28</v>
      </c>
      <c r="CK214" s="10" t="b">
        <f t="shared" si="83"/>
        <v>1</v>
      </c>
      <c r="CL214" s="10" t="b">
        <f t="shared" si="84"/>
        <v>1</v>
      </c>
      <c r="CM214" s="10" t="b">
        <f t="shared" si="85"/>
        <v>1</v>
      </c>
      <c r="CN214" s="9">
        <f t="shared" si="86"/>
        <v>1</v>
      </c>
      <c r="CO214" s="10">
        <f t="shared" si="90"/>
        <v>10</v>
      </c>
      <c r="CP214" s="10" t="b">
        <f t="shared" si="87"/>
        <v>1</v>
      </c>
      <c r="CQ214" s="10" t="b">
        <f t="shared" si="88"/>
        <v>1</v>
      </c>
      <c r="CR214" s="10" cm="1">
        <f t="array" ref="CR214">_xlfn.IFS(AND($CI214=0, CK214=FALSE), NA(), AND($CI214=1, CK214=FALSE), 0, CK214=TRUE, 1)</f>
        <v>1</v>
      </c>
      <c r="CS214" s="10" cm="1">
        <f t="array" ref="CS214">_xlfn.IFS(AND($CI214=0, CL214=FALSE), NA(), AND($CI214=1, CL214=FALSE), 0, CL214=TRUE, 1)</f>
        <v>1</v>
      </c>
      <c r="CT214" s="10" cm="1">
        <f t="array" ref="CT214">_xlfn.IFS(AND($CI214=0, CM214=FALSE), NA(), AND($CI214=1, CM214=FALSE), 0, CM214=TRUE, 1)</f>
        <v>1</v>
      </c>
      <c r="CU214" s="10" cm="1">
        <f t="array" ref="CU214">_xlfn.IFS(AND($CN214=0, CP214=FALSE), NA(), AND($CN214=1, CP214=FALSE), 0, CP214=TRUE, 1)</f>
        <v>1</v>
      </c>
      <c r="CV214" s="10" cm="1">
        <f t="array" ref="CV214">_xlfn.IFS(AND($CN214=0, CQ214=FALSE), NA(), AND($CN214=1, CQ214=FALSE), 0, CQ214=TRUE, 1)</f>
        <v>1</v>
      </c>
    </row>
    <row r="215" spans="1:100" ht="15.75" x14ac:dyDescent="0.25">
      <c r="A215" s="8">
        <v>214</v>
      </c>
      <c r="B215" s="9">
        <v>368</v>
      </c>
      <c r="C215" s="10" t="s">
        <v>28</v>
      </c>
      <c r="D215" s="11" t="s">
        <v>143</v>
      </c>
      <c r="E215" s="12">
        <v>20920</v>
      </c>
      <c r="F215" s="13">
        <v>1</v>
      </c>
      <c r="G215" s="9">
        <v>55.767284393310547</v>
      </c>
      <c r="H215" s="12">
        <v>41289</v>
      </c>
      <c r="I215" s="9">
        <v>1</v>
      </c>
      <c r="J215" s="12">
        <v>41717</v>
      </c>
      <c r="K215" s="9">
        <v>1</v>
      </c>
      <c r="L215" s="9">
        <v>1</v>
      </c>
      <c r="M215" s="10" t="s">
        <v>401</v>
      </c>
      <c r="N215" s="9">
        <v>2</v>
      </c>
      <c r="O215" s="10" t="s">
        <v>145</v>
      </c>
      <c r="P215" s="9">
        <v>2</v>
      </c>
      <c r="Q215" s="10" t="s">
        <v>145</v>
      </c>
      <c r="R215" s="12">
        <v>41289</v>
      </c>
      <c r="S215" s="10" t="s">
        <v>145</v>
      </c>
      <c r="T215" s="9">
        <v>6</v>
      </c>
      <c r="U215" s="10" t="s">
        <v>147</v>
      </c>
      <c r="V215" s="10" t="s">
        <v>401</v>
      </c>
      <c r="W215" s="9"/>
      <c r="X215" s="9"/>
      <c r="Y215" s="9">
        <v>4</v>
      </c>
      <c r="Z215" s="14">
        <v>1</v>
      </c>
      <c r="AA215" s="15">
        <v>15</v>
      </c>
      <c r="AB215" s="16">
        <v>92</v>
      </c>
      <c r="AC215" s="16">
        <v>15</v>
      </c>
      <c r="AD215" s="9">
        <v>2</v>
      </c>
      <c r="AE215" s="9">
        <v>2</v>
      </c>
      <c r="AF215" s="9">
        <v>1</v>
      </c>
      <c r="AG215" s="9">
        <v>0</v>
      </c>
      <c r="AH215" s="9">
        <v>1</v>
      </c>
      <c r="AI215" s="9">
        <v>1</v>
      </c>
      <c r="AJ215" s="12">
        <v>42389</v>
      </c>
      <c r="AK215" s="9">
        <v>2</v>
      </c>
      <c r="AL215" s="12">
        <v>42492</v>
      </c>
      <c r="AM215" s="9">
        <v>4</v>
      </c>
      <c r="AN215" s="12">
        <v>42493</v>
      </c>
      <c r="AO215" s="12">
        <v>42493</v>
      </c>
      <c r="AP215" s="12">
        <v>42493</v>
      </c>
      <c r="AQ215" s="9">
        <v>1</v>
      </c>
      <c r="AR215" s="9">
        <f t="shared" si="78"/>
        <v>1</v>
      </c>
      <c r="AS215" s="9">
        <v>1</v>
      </c>
      <c r="AT215" s="9">
        <v>2</v>
      </c>
      <c r="AU215" s="9">
        <v>2</v>
      </c>
      <c r="AV215" s="9">
        <f t="shared" si="79"/>
        <v>1</v>
      </c>
      <c r="AW215" s="12">
        <v>42743</v>
      </c>
      <c r="AX215" s="9">
        <v>8470</v>
      </c>
      <c r="AY215" s="9">
        <v>4760</v>
      </c>
      <c r="AZ215" s="9">
        <v>2720</v>
      </c>
      <c r="BA215" s="9">
        <v>4760</v>
      </c>
      <c r="BB215" s="9">
        <v>2720</v>
      </c>
      <c r="BC215" s="9">
        <v>305000</v>
      </c>
      <c r="BD215" s="9">
        <v>640</v>
      </c>
      <c r="BE215" s="9">
        <v>140</v>
      </c>
      <c r="BF215" s="9">
        <v>404</v>
      </c>
      <c r="BG215" s="9">
        <v>7480</v>
      </c>
      <c r="BH215" s="9">
        <v>3440</v>
      </c>
      <c r="BI215" s="9">
        <v>2830</v>
      </c>
      <c r="BJ215" s="9">
        <v>281000</v>
      </c>
      <c r="BK215" s="9">
        <v>740</v>
      </c>
      <c r="BL215" s="9">
        <v>200</v>
      </c>
      <c r="BM215" s="9">
        <v>382</v>
      </c>
      <c r="BN215" s="9">
        <v>5580</v>
      </c>
      <c r="BO215" s="9">
        <v>2450</v>
      </c>
      <c r="BP215" s="9">
        <v>2130</v>
      </c>
      <c r="BQ215" s="9">
        <v>252000</v>
      </c>
      <c r="BR215" s="9">
        <v>590</v>
      </c>
      <c r="BS215" s="9">
        <v>120</v>
      </c>
      <c r="BT215" s="9">
        <v>405</v>
      </c>
      <c r="BU215" s="9">
        <v>7780</v>
      </c>
      <c r="BV215" s="9">
        <v>4280</v>
      </c>
      <c r="BW215" s="9">
        <v>2620</v>
      </c>
      <c r="BX215" s="9">
        <v>229000</v>
      </c>
      <c r="BY215" s="9">
        <v>520</v>
      </c>
      <c r="BZ215" s="10" t="s">
        <v>536</v>
      </c>
      <c r="CA215" s="9">
        <v>160</v>
      </c>
      <c r="CB215" s="9">
        <v>465</v>
      </c>
      <c r="CC215" s="10">
        <f t="shared" si="80"/>
        <v>1.75</v>
      </c>
      <c r="CD215" s="10">
        <f t="shared" si="81"/>
        <v>112.13235294117646</v>
      </c>
      <c r="CE215" s="10">
        <f t="shared" si="71"/>
        <v>533750</v>
      </c>
      <c r="CF215" s="10">
        <f t="shared" si="73"/>
        <v>0</v>
      </c>
      <c r="CG215" s="10">
        <f t="shared" si="74"/>
        <v>0</v>
      </c>
      <c r="CH215" s="10">
        <f t="shared" si="75"/>
        <v>4</v>
      </c>
      <c r="CI215" s="9">
        <f t="shared" si="82"/>
        <v>1</v>
      </c>
      <c r="CJ215" s="10">
        <f t="shared" si="76"/>
        <v>12</v>
      </c>
      <c r="CK215" s="10" t="b">
        <f t="shared" si="83"/>
        <v>1</v>
      </c>
      <c r="CL215" s="10" t="b">
        <f t="shared" si="84"/>
        <v>0</v>
      </c>
      <c r="CM215" s="10" t="b">
        <f t="shared" si="85"/>
        <v>0</v>
      </c>
      <c r="CN215" s="9">
        <f t="shared" si="86"/>
        <v>1</v>
      </c>
      <c r="CO215" s="10">
        <f t="shared" si="90"/>
        <v>4</v>
      </c>
      <c r="CP215" s="10" t="b">
        <f t="shared" si="87"/>
        <v>1</v>
      </c>
      <c r="CQ215" s="10" t="b">
        <f t="shared" si="88"/>
        <v>0</v>
      </c>
      <c r="CR215" s="10" cm="1">
        <f t="array" ref="CR215">_xlfn.IFS(AND($CI215=0, CK215=FALSE), NA(), AND($CI215=1, CK215=FALSE), 0, CK215=TRUE, 1)</f>
        <v>1</v>
      </c>
      <c r="CS215" s="10" cm="1">
        <f t="array" ref="CS215">_xlfn.IFS(AND($CI215=0, CL215=FALSE), NA(), AND($CI215=1, CL215=FALSE), 0, CL215=TRUE, 1)</f>
        <v>0</v>
      </c>
      <c r="CT215" s="10" cm="1">
        <f t="array" ref="CT215">_xlfn.IFS(AND($CI215=0, CM215=FALSE), NA(), AND($CI215=1, CM215=FALSE), 0, CM215=TRUE, 1)</f>
        <v>0</v>
      </c>
      <c r="CU215" s="10" cm="1">
        <f t="array" ref="CU215">_xlfn.IFS(AND($CN215=0, CP215=FALSE), NA(), AND($CN215=1, CP215=FALSE), 0, CP215=TRUE, 1)</f>
        <v>1</v>
      </c>
      <c r="CV215" s="10" cm="1">
        <f t="array" ref="CV215">_xlfn.IFS(AND($CN215=0, CQ215=FALSE), NA(), AND($CN215=1, CQ215=FALSE), 0, CQ215=TRUE, 1)</f>
        <v>0</v>
      </c>
    </row>
    <row r="216" spans="1:100" ht="15.75" x14ac:dyDescent="0.25">
      <c r="A216" s="8">
        <v>215</v>
      </c>
      <c r="B216" s="9">
        <v>262</v>
      </c>
      <c r="C216" s="10" t="s">
        <v>21</v>
      </c>
      <c r="D216" s="11" t="s">
        <v>241</v>
      </c>
      <c r="E216" s="12">
        <v>25788</v>
      </c>
      <c r="F216" s="13">
        <v>1</v>
      </c>
      <c r="G216" s="9">
        <v>42.466804504394531</v>
      </c>
      <c r="H216" s="12">
        <v>41299</v>
      </c>
      <c r="I216" s="9">
        <v>1</v>
      </c>
      <c r="J216" s="12">
        <v>41325</v>
      </c>
      <c r="K216" s="9">
        <v>1</v>
      </c>
      <c r="L216" s="9">
        <v>1</v>
      </c>
      <c r="M216" s="10" t="s">
        <v>401</v>
      </c>
      <c r="N216" s="9"/>
      <c r="O216" s="10" t="s">
        <v>401</v>
      </c>
      <c r="P216" s="9"/>
      <c r="Q216" s="10" t="s">
        <v>401</v>
      </c>
      <c r="R216" s="12">
        <v>41299</v>
      </c>
      <c r="S216" s="10" t="s">
        <v>145</v>
      </c>
      <c r="T216" s="9">
        <v>5</v>
      </c>
      <c r="U216" s="10" t="s">
        <v>401</v>
      </c>
      <c r="V216" s="10" t="s">
        <v>401</v>
      </c>
      <c r="W216" s="9"/>
      <c r="X216" s="9"/>
      <c r="Y216" s="9">
        <v>3</v>
      </c>
      <c r="Z216" s="14">
        <v>1</v>
      </c>
      <c r="AA216" s="15">
        <v>15.1</v>
      </c>
      <c r="AB216" s="16">
        <v>92</v>
      </c>
      <c r="AC216" s="16">
        <v>15</v>
      </c>
      <c r="AD216" s="9">
        <v>2</v>
      </c>
      <c r="AE216" s="9">
        <v>2</v>
      </c>
      <c r="AF216" s="9">
        <v>1</v>
      </c>
      <c r="AG216" s="9">
        <v>0</v>
      </c>
      <c r="AH216" s="9">
        <v>1</v>
      </c>
      <c r="AI216" s="9">
        <v>1</v>
      </c>
      <c r="AJ216" s="12">
        <v>43038</v>
      </c>
      <c r="AK216" s="9">
        <v>2</v>
      </c>
      <c r="AL216" s="12">
        <v>43131</v>
      </c>
      <c r="AM216" s="9">
        <v>4</v>
      </c>
      <c r="AN216" s="12">
        <v>43129</v>
      </c>
      <c r="AO216" s="12">
        <v>43129</v>
      </c>
      <c r="AP216" s="12">
        <v>43129</v>
      </c>
      <c r="AQ216" s="9">
        <v>1</v>
      </c>
      <c r="AR216" s="9">
        <f t="shared" si="78"/>
        <v>1</v>
      </c>
      <c r="AS216" s="9">
        <v>1</v>
      </c>
      <c r="AT216" s="9">
        <v>2</v>
      </c>
      <c r="AU216" s="9">
        <v>2</v>
      </c>
      <c r="AV216" s="9">
        <f t="shared" si="79"/>
        <v>1</v>
      </c>
      <c r="AW216" s="12">
        <v>44083</v>
      </c>
      <c r="AX216" s="9">
        <v>5530</v>
      </c>
      <c r="AY216" s="9">
        <v>3790</v>
      </c>
      <c r="AZ216" s="9">
        <v>1250</v>
      </c>
      <c r="BA216" s="9">
        <v>3790</v>
      </c>
      <c r="BB216" s="9">
        <v>1250.0001220703125</v>
      </c>
      <c r="BC216" s="9">
        <v>139000</v>
      </c>
      <c r="BD216" s="9">
        <v>410</v>
      </c>
      <c r="BE216" s="9">
        <v>70</v>
      </c>
      <c r="BF216" s="9">
        <v>221</v>
      </c>
      <c r="BG216" s="9">
        <v>9400</v>
      </c>
      <c r="BH216" s="9">
        <v>7090</v>
      </c>
      <c r="BI216" s="9">
        <v>1430</v>
      </c>
      <c r="BJ216" s="9">
        <v>162000</v>
      </c>
      <c r="BK216" s="9">
        <v>870</v>
      </c>
      <c r="BL216" s="9">
        <v>10</v>
      </c>
      <c r="BM216" s="9">
        <v>279</v>
      </c>
      <c r="BN216" s="9">
        <v>7220</v>
      </c>
      <c r="BO216" s="9">
        <v>5060</v>
      </c>
      <c r="BP216" s="9">
        <v>1400</v>
      </c>
      <c r="BQ216" s="9">
        <v>128000</v>
      </c>
      <c r="BR216" s="9">
        <v>640</v>
      </c>
      <c r="BS216" s="9">
        <v>110</v>
      </c>
      <c r="BT216" s="9"/>
      <c r="BU216" s="9">
        <v>5450</v>
      </c>
      <c r="BV216" s="9">
        <v>3550</v>
      </c>
      <c r="BW216" s="9">
        <v>1160</v>
      </c>
      <c r="BX216" s="9">
        <v>169000</v>
      </c>
      <c r="BY216" s="9">
        <v>550</v>
      </c>
      <c r="BZ216" s="10" t="s">
        <v>560</v>
      </c>
      <c r="CA216" s="9">
        <v>170</v>
      </c>
      <c r="CB216" s="9">
        <v>219</v>
      </c>
      <c r="CC216" s="10">
        <f t="shared" si="80"/>
        <v>3.0319997039062789</v>
      </c>
      <c r="CD216" s="10">
        <f t="shared" si="81"/>
        <v>111.19998914062606</v>
      </c>
      <c r="CE216" s="10">
        <f t="shared" si="71"/>
        <v>421447.95884297276</v>
      </c>
      <c r="CF216" s="10">
        <f t="shared" si="73"/>
        <v>0</v>
      </c>
      <c r="CG216" s="10">
        <f t="shared" si="74"/>
        <v>0</v>
      </c>
      <c r="CH216" s="10">
        <f t="shared" si="75"/>
        <v>3</v>
      </c>
      <c r="CI216" s="9">
        <f t="shared" si="82"/>
        <v>1</v>
      </c>
      <c r="CJ216" s="10">
        <f t="shared" si="76"/>
        <v>35</v>
      </c>
      <c r="CK216" s="10" t="b">
        <f t="shared" si="83"/>
        <v>1</v>
      </c>
      <c r="CL216" s="10" t="b">
        <f t="shared" si="84"/>
        <v>1</v>
      </c>
      <c r="CM216" s="10" t="b">
        <f t="shared" si="85"/>
        <v>1</v>
      </c>
      <c r="CN216" s="9">
        <f t="shared" si="86"/>
        <v>1</v>
      </c>
      <c r="CO216" s="10">
        <f t="shared" si="90"/>
        <v>3</v>
      </c>
      <c r="CP216" s="10" t="b">
        <f t="shared" si="87"/>
        <v>1</v>
      </c>
      <c r="CQ216" s="10" t="b">
        <f t="shared" si="88"/>
        <v>0</v>
      </c>
      <c r="CR216" s="10" cm="1">
        <f t="array" ref="CR216">_xlfn.IFS(AND($CI216=0, CK216=FALSE), NA(), AND($CI216=1, CK216=FALSE), 0, CK216=TRUE, 1)</f>
        <v>1</v>
      </c>
      <c r="CS216" s="10" cm="1">
        <f t="array" ref="CS216">_xlfn.IFS(AND($CI216=0, CL216=FALSE), NA(), AND($CI216=1, CL216=FALSE), 0, CL216=TRUE, 1)</f>
        <v>1</v>
      </c>
      <c r="CT216" s="10" cm="1">
        <f t="array" ref="CT216">_xlfn.IFS(AND($CI216=0, CM216=FALSE), NA(), AND($CI216=1, CM216=FALSE), 0, CM216=TRUE, 1)</f>
        <v>1</v>
      </c>
      <c r="CU216" s="10" cm="1">
        <f t="array" ref="CU216">_xlfn.IFS(AND($CN216=0, CP216=FALSE), NA(), AND($CN216=1, CP216=FALSE), 0, CP216=TRUE, 1)</f>
        <v>1</v>
      </c>
      <c r="CV216" s="10" cm="1">
        <f t="array" ref="CV216">_xlfn.IFS(AND($CN216=0, CQ216=FALSE), NA(), AND($CN216=1, CQ216=FALSE), 0, CQ216=TRUE, 1)</f>
        <v>0</v>
      </c>
    </row>
    <row r="217" spans="1:100" ht="15.75" x14ac:dyDescent="0.25">
      <c r="A217" s="8">
        <v>216</v>
      </c>
      <c r="B217" s="9">
        <v>337</v>
      </c>
      <c r="C217" s="10" t="s">
        <v>26</v>
      </c>
      <c r="D217" s="11" t="s">
        <v>277</v>
      </c>
      <c r="E217" s="12">
        <v>19962</v>
      </c>
      <c r="F217" s="13">
        <v>1</v>
      </c>
      <c r="G217" s="9">
        <v>58.436687469482422</v>
      </c>
      <c r="H217" s="12">
        <v>41306</v>
      </c>
      <c r="I217" s="9">
        <v>1</v>
      </c>
      <c r="J217" s="12">
        <v>41465</v>
      </c>
      <c r="K217" s="9">
        <v>1</v>
      </c>
      <c r="L217" s="9">
        <v>1</v>
      </c>
      <c r="M217" s="10" t="s">
        <v>401</v>
      </c>
      <c r="N217" s="9">
        <v>2</v>
      </c>
      <c r="O217" s="10" t="s">
        <v>409</v>
      </c>
      <c r="P217" s="9">
        <v>2</v>
      </c>
      <c r="Q217" s="10" t="s">
        <v>409</v>
      </c>
      <c r="R217" s="12">
        <v>41463</v>
      </c>
      <c r="S217" s="10" t="s">
        <v>145</v>
      </c>
      <c r="T217" s="9">
        <v>6</v>
      </c>
      <c r="U217" s="10" t="s">
        <v>401</v>
      </c>
      <c r="V217" s="10" t="s">
        <v>401</v>
      </c>
      <c r="W217" s="9"/>
      <c r="X217" s="9"/>
      <c r="Y217" s="9">
        <v>3</v>
      </c>
      <c r="Z217" s="14">
        <v>1</v>
      </c>
      <c r="AA217" s="15">
        <v>13.6</v>
      </c>
      <c r="AB217" s="16" t="s">
        <v>469</v>
      </c>
      <c r="AC217" s="16" t="s">
        <v>480</v>
      </c>
      <c r="AD217" s="9">
        <v>2</v>
      </c>
      <c r="AE217" s="9">
        <v>2</v>
      </c>
      <c r="AF217" s="9">
        <v>1</v>
      </c>
      <c r="AG217" s="9">
        <v>0</v>
      </c>
      <c r="AH217" s="9">
        <v>1</v>
      </c>
      <c r="AI217" s="9">
        <v>0</v>
      </c>
      <c r="AJ217" s="12">
        <v>42936</v>
      </c>
      <c r="AK217" s="9">
        <v>2</v>
      </c>
      <c r="AL217" s="12">
        <v>44242</v>
      </c>
      <c r="AM217" s="9">
        <v>4</v>
      </c>
      <c r="AN217" s="12">
        <v>43014</v>
      </c>
      <c r="AO217" s="12">
        <v>43014</v>
      </c>
      <c r="AP217" s="12">
        <v>44259</v>
      </c>
      <c r="AQ217" s="9">
        <v>1</v>
      </c>
      <c r="AR217" s="9">
        <f t="shared" si="78"/>
        <v>1</v>
      </c>
      <c r="AS217" s="9">
        <v>1</v>
      </c>
      <c r="AT217" s="9">
        <v>1</v>
      </c>
      <c r="AU217" s="9">
        <v>1</v>
      </c>
      <c r="AV217" s="9">
        <f t="shared" si="79"/>
        <v>0</v>
      </c>
      <c r="AW217" s="12">
        <v>44988</v>
      </c>
      <c r="AX217" s="9">
        <v>9220</v>
      </c>
      <c r="AY217" s="9">
        <v>6020</v>
      </c>
      <c r="AZ217" s="9">
        <v>2190</v>
      </c>
      <c r="BA217" s="9">
        <v>6020</v>
      </c>
      <c r="BB217" s="9">
        <v>2189.99951171875</v>
      </c>
      <c r="BC217" s="9">
        <v>151000</v>
      </c>
      <c r="BD217" s="9">
        <v>850</v>
      </c>
      <c r="BE217" s="9">
        <v>130</v>
      </c>
      <c r="BF217" s="9">
        <v>244</v>
      </c>
      <c r="BG217" s="9">
        <v>8800</v>
      </c>
      <c r="BH217" s="9">
        <v>5480</v>
      </c>
      <c r="BI217" s="9">
        <v>2360</v>
      </c>
      <c r="BJ217" s="9">
        <v>166000</v>
      </c>
      <c r="BK217" s="9">
        <v>790</v>
      </c>
      <c r="BL217" s="9">
        <v>1600</v>
      </c>
      <c r="BM217" s="9"/>
      <c r="BN217" s="9">
        <v>8320</v>
      </c>
      <c r="BO217" s="9">
        <v>5150</v>
      </c>
      <c r="BP217" s="9">
        <v>2280</v>
      </c>
      <c r="BQ217" s="9">
        <v>150000</v>
      </c>
      <c r="BR217" s="9">
        <v>730</v>
      </c>
      <c r="BS217" s="9">
        <v>130</v>
      </c>
      <c r="BT217" s="9"/>
      <c r="BU217" s="9">
        <v>7760</v>
      </c>
      <c r="BV217" s="9">
        <v>4750</v>
      </c>
      <c r="BW217" s="9">
        <v>2090</v>
      </c>
      <c r="BX217" s="9">
        <v>159000</v>
      </c>
      <c r="BY217" s="9">
        <v>730</v>
      </c>
      <c r="BZ217" s="10" t="s">
        <v>540</v>
      </c>
      <c r="CA217" s="9">
        <v>150</v>
      </c>
      <c r="CB217" s="9"/>
      <c r="CC217" s="10">
        <f t="shared" si="80"/>
        <v>2.748859060372757</v>
      </c>
      <c r="CD217" s="10">
        <f t="shared" si="81"/>
        <v>68.949787062506033</v>
      </c>
      <c r="CE217" s="10">
        <f t="shared" si="71"/>
        <v>415077.71811628633</v>
      </c>
      <c r="CF217" s="10">
        <f t="shared" si="73"/>
        <v>0</v>
      </c>
      <c r="CG217" s="10">
        <f t="shared" si="74"/>
        <v>0</v>
      </c>
      <c r="CH217" s="10">
        <f t="shared" si="75"/>
        <v>43</v>
      </c>
      <c r="CI217" s="9">
        <f t="shared" si="82"/>
        <v>0</v>
      </c>
      <c r="CJ217" s="10">
        <f t="shared" si="76"/>
        <v>68</v>
      </c>
      <c r="CK217" s="10" t="b">
        <f t="shared" si="83"/>
        <v>1</v>
      </c>
      <c r="CL217" s="10" t="b">
        <f t="shared" si="84"/>
        <v>1</v>
      </c>
      <c r="CM217" s="10" t="b">
        <f t="shared" si="85"/>
        <v>1</v>
      </c>
      <c r="CN217" s="9">
        <f t="shared" si="86"/>
        <v>1</v>
      </c>
      <c r="CO217" s="10">
        <f t="shared" si="90"/>
        <v>3</v>
      </c>
      <c r="CP217" s="10" t="b">
        <f t="shared" si="87"/>
        <v>1</v>
      </c>
      <c r="CQ217" s="10" t="b">
        <f t="shared" si="88"/>
        <v>0</v>
      </c>
      <c r="CR217" s="10" cm="1">
        <f t="array" ref="CR217">_xlfn.IFS(AND($CI217=0, CK217=FALSE), NA(), AND($CI217=1, CK217=FALSE), 0, CK217=TRUE, 1)</f>
        <v>1</v>
      </c>
      <c r="CS217" s="10" cm="1">
        <f t="array" ref="CS217">_xlfn.IFS(AND($CI217=0, CL217=FALSE), NA(), AND($CI217=1, CL217=FALSE), 0, CL217=TRUE, 1)</f>
        <v>1</v>
      </c>
      <c r="CT217" s="10" cm="1">
        <f t="array" ref="CT217">_xlfn.IFS(AND($CI217=0, CM217=FALSE), NA(), AND($CI217=1, CM217=FALSE), 0, CM217=TRUE, 1)</f>
        <v>1</v>
      </c>
      <c r="CU217" s="10" cm="1">
        <f t="array" ref="CU217">_xlfn.IFS(AND($CN217=0, CP217=FALSE), NA(), AND($CN217=1, CP217=FALSE), 0, CP217=TRUE, 1)</f>
        <v>1</v>
      </c>
      <c r="CV217" s="10" cm="1">
        <f t="array" ref="CV217">_xlfn.IFS(AND($CN217=0, CQ217=FALSE), NA(), AND($CN217=1, CQ217=FALSE), 0, CQ217=TRUE, 1)</f>
        <v>0</v>
      </c>
    </row>
    <row r="218" spans="1:100" ht="15.75" x14ac:dyDescent="0.25">
      <c r="A218" s="8">
        <v>217</v>
      </c>
      <c r="B218" s="9">
        <v>446</v>
      </c>
      <c r="C218" s="10" t="s">
        <v>30</v>
      </c>
      <c r="D218" s="11" t="s">
        <v>348</v>
      </c>
      <c r="E218" s="12">
        <v>17504</v>
      </c>
      <c r="F218" s="13">
        <v>1</v>
      </c>
      <c r="G218" s="9">
        <v>65.16632080078125</v>
      </c>
      <c r="H218" s="12">
        <v>41306</v>
      </c>
      <c r="I218" s="9">
        <v>1</v>
      </c>
      <c r="J218" s="12">
        <v>41306</v>
      </c>
      <c r="K218" s="9">
        <v>1</v>
      </c>
      <c r="L218" s="9">
        <v>1</v>
      </c>
      <c r="M218" s="10" t="s">
        <v>401</v>
      </c>
      <c r="N218" s="9">
        <v>2</v>
      </c>
      <c r="O218" s="10" t="s">
        <v>145</v>
      </c>
      <c r="P218" s="9">
        <v>2</v>
      </c>
      <c r="Q218" s="10" t="s">
        <v>145</v>
      </c>
      <c r="R218" s="12">
        <v>41306</v>
      </c>
      <c r="S218" s="10" t="s">
        <v>145</v>
      </c>
      <c r="T218" s="9"/>
      <c r="U218" s="10" t="s">
        <v>401</v>
      </c>
      <c r="V218" s="10" t="s">
        <v>401</v>
      </c>
      <c r="W218" s="9"/>
      <c r="X218" s="9"/>
      <c r="Y218" s="9">
        <v>2</v>
      </c>
      <c r="Z218" s="14">
        <v>1</v>
      </c>
      <c r="AA218" s="15">
        <v>16.3</v>
      </c>
      <c r="AB218" s="16">
        <v>98</v>
      </c>
      <c r="AC218" s="16">
        <v>11</v>
      </c>
      <c r="AD218" s="9">
        <v>2</v>
      </c>
      <c r="AE218" s="9">
        <v>2</v>
      </c>
      <c r="AF218" s="9">
        <v>1</v>
      </c>
      <c r="AG218" s="9">
        <v>1</v>
      </c>
      <c r="AH218" s="9">
        <v>1</v>
      </c>
      <c r="AI218" s="9">
        <v>0</v>
      </c>
      <c r="AJ218" s="12">
        <v>43423</v>
      </c>
      <c r="AK218" s="9">
        <v>2</v>
      </c>
      <c r="AL218" s="12">
        <v>44447</v>
      </c>
      <c r="AM218" s="9">
        <v>2</v>
      </c>
      <c r="AN218" s="12">
        <v>43510</v>
      </c>
      <c r="AO218" s="12">
        <v>44458</v>
      </c>
      <c r="AP218" s="12">
        <v>44458</v>
      </c>
      <c r="AQ218" s="9">
        <v>1</v>
      </c>
      <c r="AR218" s="9">
        <f t="shared" si="78"/>
        <v>1</v>
      </c>
      <c r="AS218" s="9">
        <v>1</v>
      </c>
      <c r="AT218" s="9">
        <v>2</v>
      </c>
      <c r="AU218" s="9">
        <v>2</v>
      </c>
      <c r="AV218" s="9">
        <f t="shared" si="79"/>
        <v>1</v>
      </c>
      <c r="AW218" s="12">
        <v>44686</v>
      </c>
      <c r="AX218" s="9">
        <v>5600</v>
      </c>
      <c r="AY218" s="9">
        <v>2310</v>
      </c>
      <c r="AZ218" s="9">
        <v>2100</v>
      </c>
      <c r="BA218" s="9">
        <v>2310</v>
      </c>
      <c r="BB218" s="9">
        <v>2099.999755859375</v>
      </c>
      <c r="BC218" s="9">
        <v>121000</v>
      </c>
      <c r="BD218" s="9">
        <v>970</v>
      </c>
      <c r="BE218" s="9">
        <v>110</v>
      </c>
      <c r="BF218" s="9">
        <v>230</v>
      </c>
      <c r="BG218" s="9">
        <v>6100</v>
      </c>
      <c r="BH218" s="9">
        <v>4350</v>
      </c>
      <c r="BI218" s="9">
        <v>990</v>
      </c>
      <c r="BJ218" s="9">
        <v>189000</v>
      </c>
      <c r="BK218" s="9">
        <v>670</v>
      </c>
      <c r="BL218" s="9">
        <v>80</v>
      </c>
      <c r="BM218" s="9">
        <v>200</v>
      </c>
      <c r="BN218" s="9">
        <v>3650</v>
      </c>
      <c r="BO218" s="9">
        <v>2110</v>
      </c>
      <c r="BP218" s="9">
        <v>770</v>
      </c>
      <c r="BQ218" s="9">
        <v>227000</v>
      </c>
      <c r="BR218" s="9">
        <v>650</v>
      </c>
      <c r="BS218" s="9">
        <v>90</v>
      </c>
      <c r="BT218" s="9">
        <v>190</v>
      </c>
      <c r="BU218" s="9">
        <v>5320</v>
      </c>
      <c r="BV218" s="9">
        <v>3550</v>
      </c>
      <c r="BW218" s="9">
        <v>1100</v>
      </c>
      <c r="BX218" s="9">
        <v>284000</v>
      </c>
      <c r="BY218" s="9">
        <v>600</v>
      </c>
      <c r="BZ218" s="10" t="s">
        <v>554</v>
      </c>
      <c r="CA218" s="9">
        <v>70</v>
      </c>
      <c r="CB218" s="9">
        <v>195</v>
      </c>
      <c r="CC218" s="10">
        <f t="shared" si="80"/>
        <v>1.1000001278831995</v>
      </c>
      <c r="CD218" s="10">
        <f t="shared" si="81"/>
        <v>57.619054317691393</v>
      </c>
      <c r="CE218" s="10">
        <f t="shared" si="71"/>
        <v>133100.01547386713</v>
      </c>
      <c r="CF218" s="10">
        <f t="shared" si="73"/>
        <v>1</v>
      </c>
      <c r="CG218" s="10">
        <f t="shared" si="74"/>
        <v>1</v>
      </c>
      <c r="CH218" s="10">
        <f t="shared" si="75"/>
        <v>34</v>
      </c>
      <c r="CI218" s="9">
        <f t="shared" si="82"/>
        <v>1</v>
      </c>
      <c r="CJ218" s="10">
        <f t="shared" si="76"/>
        <v>42</v>
      </c>
      <c r="CK218" s="10" t="b">
        <f t="shared" si="83"/>
        <v>1</v>
      </c>
      <c r="CL218" s="10" t="b">
        <f t="shared" si="84"/>
        <v>1</v>
      </c>
      <c r="CM218" s="10" t="b">
        <f t="shared" si="85"/>
        <v>1</v>
      </c>
      <c r="CN218" s="9">
        <f t="shared" si="86"/>
        <v>1</v>
      </c>
      <c r="CO218" s="10">
        <f t="shared" si="90"/>
        <v>34</v>
      </c>
      <c r="CP218" s="10" t="b">
        <f t="shared" si="87"/>
        <v>1</v>
      </c>
      <c r="CQ218" s="10" t="b">
        <f t="shared" si="88"/>
        <v>1</v>
      </c>
      <c r="CR218" s="10" cm="1">
        <f t="array" ref="CR218">_xlfn.IFS(AND($CI218=0, CK218=FALSE), NA(), AND($CI218=1, CK218=FALSE), 0, CK218=TRUE, 1)</f>
        <v>1</v>
      </c>
      <c r="CS218" s="10" cm="1">
        <f t="array" ref="CS218">_xlfn.IFS(AND($CI218=0, CL218=FALSE), NA(), AND($CI218=1, CL218=FALSE), 0, CL218=TRUE, 1)</f>
        <v>1</v>
      </c>
      <c r="CT218" s="10" cm="1">
        <f t="array" ref="CT218">_xlfn.IFS(AND($CI218=0, CM218=FALSE), NA(), AND($CI218=1, CM218=FALSE), 0, CM218=TRUE, 1)</f>
        <v>1</v>
      </c>
      <c r="CU218" s="10" cm="1">
        <f t="array" ref="CU218">_xlfn.IFS(AND($CN218=0, CP218=FALSE), NA(), AND($CN218=1, CP218=FALSE), 0, CP218=TRUE, 1)</f>
        <v>1</v>
      </c>
      <c r="CV218" s="10" cm="1">
        <f t="array" ref="CV218">_xlfn.IFS(AND($CN218=0, CQ218=FALSE), NA(), AND($CN218=1, CQ218=FALSE), 0, CQ218=TRUE, 1)</f>
        <v>1</v>
      </c>
    </row>
    <row r="219" spans="1:100" ht="15.75" x14ac:dyDescent="0.25">
      <c r="A219" s="8">
        <v>218</v>
      </c>
      <c r="B219" s="9">
        <v>166</v>
      </c>
      <c r="C219" s="10" t="s">
        <v>15</v>
      </c>
      <c r="D219" s="11" t="s">
        <v>160</v>
      </c>
      <c r="E219" s="12">
        <v>12100</v>
      </c>
      <c r="F219" s="13">
        <v>2</v>
      </c>
      <c r="G219" s="9">
        <v>79.997261047363281</v>
      </c>
      <c r="H219" s="12">
        <v>41319</v>
      </c>
      <c r="I219" s="9">
        <v>1</v>
      </c>
      <c r="J219" s="12">
        <v>41347</v>
      </c>
      <c r="K219" s="9">
        <v>0</v>
      </c>
      <c r="L219" s="9">
        <v>1</v>
      </c>
      <c r="M219" s="10" t="s">
        <v>401</v>
      </c>
      <c r="N219" s="9"/>
      <c r="O219" s="10" t="s">
        <v>401</v>
      </c>
      <c r="P219" s="9"/>
      <c r="Q219" s="10" t="s">
        <v>401</v>
      </c>
      <c r="R219" s="12">
        <v>42474</v>
      </c>
      <c r="S219" s="10" t="s">
        <v>146</v>
      </c>
      <c r="T219" s="9"/>
      <c r="U219" s="10" t="s">
        <v>401</v>
      </c>
      <c r="V219" s="10" t="s">
        <v>401</v>
      </c>
      <c r="W219" s="9"/>
      <c r="X219" s="9"/>
      <c r="Y219" s="9">
        <v>2</v>
      </c>
      <c r="Z219" s="14">
        <v>2</v>
      </c>
      <c r="AA219" s="17">
        <v>11.9</v>
      </c>
      <c r="AB219" s="18">
        <v>88</v>
      </c>
      <c r="AC219" s="18">
        <v>19</v>
      </c>
      <c r="AD219" s="9">
        <v>2</v>
      </c>
      <c r="AE219" s="9">
        <v>3</v>
      </c>
      <c r="AF219" s="9">
        <v>2</v>
      </c>
      <c r="AG219" s="9">
        <v>1</v>
      </c>
      <c r="AH219" s="9">
        <v>1</v>
      </c>
      <c r="AI219" s="9">
        <v>0</v>
      </c>
      <c r="AJ219" s="12">
        <v>43013</v>
      </c>
      <c r="AK219" s="9">
        <v>2</v>
      </c>
      <c r="AL219" s="12">
        <v>43042</v>
      </c>
      <c r="AM219" s="9">
        <v>4</v>
      </c>
      <c r="AN219" s="12">
        <v>43087</v>
      </c>
      <c r="AO219" s="12">
        <v>43087</v>
      </c>
      <c r="AP219" s="12">
        <v>43087</v>
      </c>
      <c r="AQ219" s="9">
        <v>1</v>
      </c>
      <c r="AR219" s="9">
        <f t="shared" si="78"/>
        <v>1</v>
      </c>
      <c r="AS219" s="9">
        <v>1</v>
      </c>
      <c r="AT219" s="9">
        <v>2</v>
      </c>
      <c r="AU219" s="9">
        <v>2</v>
      </c>
      <c r="AV219" s="9">
        <f t="shared" si="79"/>
        <v>1</v>
      </c>
      <c r="AW219" s="12">
        <v>43109</v>
      </c>
      <c r="AX219" s="9">
        <v>6830</v>
      </c>
      <c r="AY219" s="9">
        <v>4700</v>
      </c>
      <c r="AZ219" s="9">
        <v>1400</v>
      </c>
      <c r="BA219" s="9">
        <v>4700</v>
      </c>
      <c r="BB219" s="9">
        <v>1399.9998779296875</v>
      </c>
      <c r="BC219" s="9">
        <v>213000</v>
      </c>
      <c r="BD219" s="9">
        <v>700</v>
      </c>
      <c r="BE219" s="9">
        <v>100</v>
      </c>
      <c r="BF219" s="9">
        <v>262</v>
      </c>
      <c r="BG219" s="9">
        <v>6380</v>
      </c>
      <c r="BH219" s="9">
        <v>4540</v>
      </c>
      <c r="BI219" s="9">
        <v>1000</v>
      </c>
      <c r="BJ219" s="9">
        <v>257000</v>
      </c>
      <c r="BK219" s="9">
        <v>610</v>
      </c>
      <c r="BL219" s="9">
        <v>130</v>
      </c>
      <c r="BM219" s="9">
        <v>187</v>
      </c>
      <c r="BN219" s="9">
        <v>6630</v>
      </c>
      <c r="BO219" s="9">
        <v>4870</v>
      </c>
      <c r="BP219" s="9">
        <v>1020</v>
      </c>
      <c r="BQ219" s="9">
        <v>272000</v>
      </c>
      <c r="BR219" s="9">
        <v>550</v>
      </c>
      <c r="BS219" s="9">
        <v>80</v>
      </c>
      <c r="BT219" s="9">
        <v>175</v>
      </c>
      <c r="BU219" s="9"/>
      <c r="BV219" s="9"/>
      <c r="BW219" s="9"/>
      <c r="BX219" s="9"/>
      <c r="BY219" s="9"/>
      <c r="BZ219" s="10" t="s">
        <v>401</v>
      </c>
      <c r="CA219" s="9"/>
      <c r="CB219" s="9"/>
      <c r="CC219" s="10">
        <f t="shared" si="80"/>
        <v>3.3571431498625097</v>
      </c>
      <c r="CD219" s="10">
        <f t="shared" si="81"/>
        <v>152.14287040866267</v>
      </c>
      <c r="CE219" s="10">
        <f t="shared" si="71"/>
        <v>715071.49092071457</v>
      </c>
      <c r="CF219" s="10">
        <f t="shared" si="73"/>
        <v>0</v>
      </c>
      <c r="CG219" s="10">
        <f t="shared" si="74"/>
        <v>0</v>
      </c>
      <c r="CH219" s="10">
        <f t="shared" si="75"/>
        <v>1</v>
      </c>
      <c r="CI219" s="9">
        <f t="shared" si="82"/>
        <v>1</v>
      </c>
      <c r="CJ219" s="10">
        <f t="shared" si="76"/>
        <v>3</v>
      </c>
      <c r="CK219" s="10" t="b">
        <f t="shared" si="83"/>
        <v>0</v>
      </c>
      <c r="CL219" s="10" t="b">
        <f t="shared" si="84"/>
        <v>0</v>
      </c>
      <c r="CM219" s="10" t="b">
        <f t="shared" si="85"/>
        <v>0</v>
      </c>
      <c r="CN219" s="9">
        <f t="shared" si="86"/>
        <v>1</v>
      </c>
      <c r="CO219" s="10">
        <f t="shared" si="90"/>
        <v>2</v>
      </c>
      <c r="CP219" s="10" t="b">
        <f t="shared" si="87"/>
        <v>0</v>
      </c>
      <c r="CQ219" s="10" t="b">
        <f t="shared" si="88"/>
        <v>0</v>
      </c>
      <c r="CR219" s="10" cm="1">
        <f t="array" ref="CR219">_xlfn.IFS(AND($CI219=0, CK219=FALSE), NA(), AND($CI219=1, CK219=FALSE), 0, CK219=TRUE, 1)</f>
        <v>0</v>
      </c>
      <c r="CS219" s="10" cm="1">
        <f t="array" ref="CS219">_xlfn.IFS(AND($CI219=0, CL219=FALSE), NA(), AND($CI219=1, CL219=FALSE), 0, CL219=TRUE, 1)</f>
        <v>0</v>
      </c>
      <c r="CT219" s="10" cm="1">
        <f t="array" ref="CT219">_xlfn.IFS(AND($CI219=0, CM219=FALSE), NA(), AND($CI219=1, CM219=FALSE), 0, CM219=TRUE, 1)</f>
        <v>0</v>
      </c>
      <c r="CU219" s="10" cm="1">
        <f t="array" ref="CU219">_xlfn.IFS(AND($CN219=0, CP219=FALSE), NA(), AND($CN219=1, CP219=FALSE), 0, CP219=TRUE, 1)</f>
        <v>0</v>
      </c>
      <c r="CV219" s="10" cm="1">
        <f t="array" ref="CV219">_xlfn.IFS(AND($CN219=0, CQ219=FALSE), NA(), AND($CN219=1, CQ219=FALSE), 0, CQ219=TRUE, 1)</f>
        <v>0</v>
      </c>
    </row>
    <row r="220" spans="1:100" ht="15.75" x14ac:dyDescent="0.25">
      <c r="A220" s="8">
        <v>219</v>
      </c>
      <c r="B220" s="9">
        <v>146</v>
      </c>
      <c r="C220" s="10" t="s">
        <v>16</v>
      </c>
      <c r="D220" s="11" t="s">
        <v>184</v>
      </c>
      <c r="E220" s="12">
        <v>22688</v>
      </c>
      <c r="F220" s="13">
        <v>1</v>
      </c>
      <c r="G220" s="9">
        <v>51.049964904785156</v>
      </c>
      <c r="H220" s="12">
        <v>41334</v>
      </c>
      <c r="I220" s="9">
        <v>1</v>
      </c>
      <c r="J220" s="12">
        <v>41334</v>
      </c>
      <c r="K220" s="9">
        <v>0</v>
      </c>
      <c r="L220" s="9">
        <v>1</v>
      </c>
      <c r="M220" s="10" t="s">
        <v>401</v>
      </c>
      <c r="N220" s="9"/>
      <c r="O220" s="10" t="s">
        <v>425</v>
      </c>
      <c r="P220" s="9"/>
      <c r="Q220" s="10" t="s">
        <v>425</v>
      </c>
      <c r="R220" s="12">
        <v>41921</v>
      </c>
      <c r="S220" s="10" t="s">
        <v>145</v>
      </c>
      <c r="T220" s="9">
        <v>5</v>
      </c>
      <c r="U220" s="10" t="s">
        <v>401</v>
      </c>
      <c r="V220" s="10" t="s">
        <v>401</v>
      </c>
      <c r="W220" s="9"/>
      <c r="X220" s="9"/>
      <c r="Y220" s="9">
        <v>3</v>
      </c>
      <c r="Z220" s="14">
        <v>1</v>
      </c>
      <c r="AA220" s="23">
        <v>10.3</v>
      </c>
      <c r="AB220" s="24">
        <v>81</v>
      </c>
      <c r="AC220" s="24">
        <v>14</v>
      </c>
      <c r="AD220" s="9">
        <v>2</v>
      </c>
      <c r="AE220" s="9">
        <v>2</v>
      </c>
      <c r="AF220" s="9">
        <v>1</v>
      </c>
      <c r="AG220" s="9">
        <v>0</v>
      </c>
      <c r="AH220" s="9">
        <v>1</v>
      </c>
      <c r="AI220" s="9">
        <v>0</v>
      </c>
      <c r="AJ220" s="12">
        <v>42480</v>
      </c>
      <c r="AK220" s="9">
        <v>2</v>
      </c>
      <c r="AL220" s="12">
        <v>42607</v>
      </c>
      <c r="AM220" s="9">
        <v>4</v>
      </c>
      <c r="AN220" s="12">
        <v>42611</v>
      </c>
      <c r="AO220" s="12">
        <v>42611</v>
      </c>
      <c r="AP220" s="12">
        <v>42611</v>
      </c>
      <c r="AQ220" s="9">
        <v>1</v>
      </c>
      <c r="AR220" s="9">
        <f t="shared" si="78"/>
        <v>1</v>
      </c>
      <c r="AS220" s="9">
        <v>1</v>
      </c>
      <c r="AT220" s="9">
        <v>2</v>
      </c>
      <c r="AU220" s="9">
        <v>2</v>
      </c>
      <c r="AV220" s="9">
        <f t="shared" si="79"/>
        <v>1</v>
      </c>
      <c r="AW220" s="12">
        <v>42617</v>
      </c>
      <c r="AX220" s="9">
        <v>9940</v>
      </c>
      <c r="AY220" s="9">
        <v>7010</v>
      </c>
      <c r="AZ220" s="9">
        <v>1880</v>
      </c>
      <c r="BA220" s="9">
        <v>7010</v>
      </c>
      <c r="BB220" s="9">
        <v>1880.000244140625</v>
      </c>
      <c r="BC220" s="9">
        <v>727000</v>
      </c>
      <c r="BD220" s="9">
        <v>590</v>
      </c>
      <c r="BE220" s="9">
        <v>200</v>
      </c>
      <c r="BF220" s="9">
        <v>184</v>
      </c>
      <c r="BG220" s="9"/>
      <c r="BH220" s="9">
        <v>3900</v>
      </c>
      <c r="BI220" s="9">
        <v>1580</v>
      </c>
      <c r="BJ220" s="9">
        <v>304000</v>
      </c>
      <c r="BK220" s="9">
        <v>350</v>
      </c>
      <c r="BL220" s="9">
        <v>350</v>
      </c>
      <c r="BM220" s="9">
        <v>185</v>
      </c>
      <c r="BN220" s="9"/>
      <c r="BO220" s="9">
        <v>6400</v>
      </c>
      <c r="BP220" s="9"/>
      <c r="BQ220" s="9">
        <v>276000</v>
      </c>
      <c r="BR220" s="9"/>
      <c r="BS220" s="9"/>
      <c r="BT220" s="9"/>
      <c r="BU220" s="9">
        <v>9710</v>
      </c>
      <c r="BV220" s="9"/>
      <c r="BW220" s="9"/>
      <c r="BX220" s="9"/>
      <c r="BY220" s="9"/>
      <c r="BZ220" s="10" t="s">
        <v>401</v>
      </c>
      <c r="CA220" s="9"/>
      <c r="CB220" s="9"/>
      <c r="CC220" s="10">
        <f t="shared" si="80"/>
        <v>3.7287229200357745</v>
      </c>
      <c r="CD220" s="10">
        <f t="shared" si="81"/>
        <v>386.70207744165594</v>
      </c>
      <c r="CE220" s="10">
        <f t="shared" si="71"/>
        <v>2710781.5628660079</v>
      </c>
      <c r="CF220" s="10">
        <f t="shared" si="73"/>
        <v>0</v>
      </c>
      <c r="CG220" s="10">
        <f t="shared" si="74"/>
        <v>0</v>
      </c>
      <c r="CH220" s="10">
        <f t="shared" si="75"/>
        <v>4</v>
      </c>
      <c r="CI220" s="9">
        <f t="shared" si="82"/>
        <v>1</v>
      </c>
      <c r="CJ220" s="10">
        <f t="shared" si="76"/>
        <v>5</v>
      </c>
      <c r="CK220" s="10" t="b">
        <f t="shared" si="83"/>
        <v>0</v>
      </c>
      <c r="CL220" s="10" t="b">
        <f t="shared" si="84"/>
        <v>0</v>
      </c>
      <c r="CM220" s="10" t="b">
        <f t="shared" si="85"/>
        <v>0</v>
      </c>
      <c r="CN220" s="9">
        <f t="shared" si="86"/>
        <v>1</v>
      </c>
      <c r="CO220" s="10">
        <f t="shared" si="90"/>
        <v>4</v>
      </c>
      <c r="CP220" s="10" t="b">
        <f t="shared" si="87"/>
        <v>1</v>
      </c>
      <c r="CQ220" s="10" t="b">
        <f t="shared" si="88"/>
        <v>0</v>
      </c>
      <c r="CR220" s="10" cm="1">
        <f t="array" ref="CR220">_xlfn.IFS(AND($CI220=0, CK220=FALSE), NA(), AND($CI220=1, CK220=FALSE), 0, CK220=TRUE, 1)</f>
        <v>0</v>
      </c>
      <c r="CS220" s="10" cm="1">
        <f t="array" ref="CS220">_xlfn.IFS(AND($CI220=0, CL220=FALSE), NA(), AND($CI220=1, CL220=FALSE), 0, CL220=TRUE, 1)</f>
        <v>0</v>
      </c>
      <c r="CT220" s="10" cm="1">
        <f t="array" ref="CT220">_xlfn.IFS(AND($CI220=0, CM220=FALSE), NA(), AND($CI220=1, CM220=FALSE), 0, CM220=TRUE, 1)</f>
        <v>0</v>
      </c>
      <c r="CU220" s="10" cm="1">
        <f t="array" ref="CU220">_xlfn.IFS(AND($CN220=0, CP220=FALSE), NA(), AND($CN220=1, CP220=FALSE), 0, CP220=TRUE, 1)</f>
        <v>1</v>
      </c>
      <c r="CV220" s="10" cm="1">
        <f t="array" ref="CV220">_xlfn.IFS(AND($CN220=0, CQ220=FALSE), NA(), AND($CN220=1, CQ220=FALSE), 0, CQ220=TRUE, 1)</f>
        <v>0</v>
      </c>
    </row>
    <row r="221" spans="1:100" ht="15.75" x14ac:dyDescent="0.25">
      <c r="A221" s="8">
        <v>220</v>
      </c>
      <c r="B221" s="9">
        <v>57</v>
      </c>
      <c r="C221" s="10" t="s">
        <v>8</v>
      </c>
      <c r="D221" s="11" t="s">
        <v>89</v>
      </c>
      <c r="E221" s="12">
        <v>17652</v>
      </c>
      <c r="F221" s="13">
        <v>2</v>
      </c>
      <c r="G221" s="9"/>
      <c r="H221" s="12">
        <v>41348</v>
      </c>
      <c r="I221" s="9">
        <v>1</v>
      </c>
      <c r="J221" s="12">
        <v>41348</v>
      </c>
      <c r="K221" s="9">
        <v>0</v>
      </c>
      <c r="L221" s="9">
        <v>1</v>
      </c>
      <c r="M221" s="10" t="s">
        <v>401</v>
      </c>
      <c r="N221" s="9">
        <v>1</v>
      </c>
      <c r="O221" s="10" t="s">
        <v>401</v>
      </c>
      <c r="P221" s="9">
        <v>1</v>
      </c>
      <c r="Q221" s="10" t="s">
        <v>401</v>
      </c>
      <c r="R221" s="12">
        <v>42481</v>
      </c>
      <c r="S221" s="10" t="s">
        <v>146</v>
      </c>
      <c r="T221" s="9"/>
      <c r="U221" s="10" t="s">
        <v>401</v>
      </c>
      <c r="V221" s="10" t="s">
        <v>401</v>
      </c>
      <c r="W221" s="9"/>
      <c r="X221" s="9"/>
      <c r="Y221" s="9">
        <v>2</v>
      </c>
      <c r="Z221" s="14">
        <v>2</v>
      </c>
      <c r="AA221" s="17">
        <v>12.2</v>
      </c>
      <c r="AB221" s="9"/>
      <c r="AC221" s="9"/>
      <c r="AD221" s="9">
        <v>1</v>
      </c>
      <c r="AE221" s="9">
        <v>1</v>
      </c>
      <c r="AF221" s="9">
        <v>1</v>
      </c>
      <c r="AG221" s="9">
        <v>0</v>
      </c>
      <c r="AH221" s="9">
        <v>1</v>
      </c>
      <c r="AI221" s="9">
        <v>0</v>
      </c>
      <c r="AJ221" s="12">
        <v>42808</v>
      </c>
      <c r="AK221" s="9">
        <v>2</v>
      </c>
      <c r="AL221" s="12">
        <v>42991</v>
      </c>
      <c r="AM221" s="9">
        <v>4</v>
      </c>
      <c r="AN221" s="12">
        <v>42895</v>
      </c>
      <c r="AO221" s="12">
        <v>42895</v>
      </c>
      <c r="AP221" s="12">
        <v>43017</v>
      </c>
      <c r="AQ221" s="9">
        <v>1</v>
      </c>
      <c r="AR221" s="9">
        <f t="shared" si="78"/>
        <v>1</v>
      </c>
      <c r="AS221" s="9">
        <v>1</v>
      </c>
      <c r="AT221" s="9">
        <v>1</v>
      </c>
      <c r="AU221" s="9">
        <v>2</v>
      </c>
      <c r="AV221" s="9">
        <f t="shared" si="79"/>
        <v>1</v>
      </c>
      <c r="AW221" s="12">
        <v>44153</v>
      </c>
      <c r="AX221" s="9">
        <v>4600</v>
      </c>
      <c r="AY221" s="9">
        <v>3200</v>
      </c>
      <c r="AZ221" s="9">
        <v>1000</v>
      </c>
      <c r="BA221" s="9">
        <v>3200</v>
      </c>
      <c r="BB221" s="9">
        <v>1000.0001220703125</v>
      </c>
      <c r="BC221" s="9">
        <v>206000</v>
      </c>
      <c r="BD221" s="9"/>
      <c r="BE221" s="9"/>
      <c r="BF221" s="9"/>
      <c r="BG221" s="9">
        <v>5500</v>
      </c>
      <c r="BH221" s="9">
        <v>4000</v>
      </c>
      <c r="BI221" s="9"/>
      <c r="BJ221" s="9">
        <v>254000</v>
      </c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>
        <v>5600</v>
      </c>
      <c r="BV221" s="9">
        <v>3400</v>
      </c>
      <c r="BW221" s="9">
        <v>900</v>
      </c>
      <c r="BX221" s="9">
        <v>286000</v>
      </c>
      <c r="BY221" s="9">
        <v>310</v>
      </c>
      <c r="BZ221" s="10" t="s">
        <v>527</v>
      </c>
      <c r="CA221" s="9">
        <v>120</v>
      </c>
      <c r="CB221" s="9"/>
      <c r="CC221" s="10">
        <f t="shared" si="80"/>
        <v>3.1999996093750478</v>
      </c>
      <c r="CD221" s="10">
        <f t="shared" si="81"/>
        <v>205.99997485351869</v>
      </c>
      <c r="CE221" s="10">
        <f t="shared" si="71"/>
        <v>659199.9195312598</v>
      </c>
      <c r="CF221" s="10">
        <f t="shared" si="73"/>
        <v>0</v>
      </c>
      <c r="CG221" s="10">
        <f t="shared" si="74"/>
        <v>0</v>
      </c>
      <c r="CH221" s="10">
        <f t="shared" si="75"/>
        <v>6</v>
      </c>
      <c r="CI221" s="9">
        <f t="shared" si="82"/>
        <v>1</v>
      </c>
      <c r="CJ221" s="10">
        <f t="shared" si="76"/>
        <v>44</v>
      </c>
      <c r="CK221" s="10" t="b">
        <f t="shared" si="83"/>
        <v>1</v>
      </c>
      <c r="CL221" s="10" t="b">
        <f t="shared" si="84"/>
        <v>1</v>
      </c>
      <c r="CM221" s="10" t="b">
        <f t="shared" si="85"/>
        <v>1</v>
      </c>
      <c r="CN221" s="9">
        <f t="shared" si="86"/>
        <v>1</v>
      </c>
      <c r="CO221" s="10">
        <f t="shared" si="90"/>
        <v>3</v>
      </c>
      <c r="CP221" s="10" t="b">
        <f t="shared" si="87"/>
        <v>1</v>
      </c>
      <c r="CQ221" s="10" t="b">
        <f t="shared" si="88"/>
        <v>0</v>
      </c>
      <c r="CR221" s="10" cm="1">
        <f t="array" ref="CR221">_xlfn.IFS(AND($CI221=0, CK221=FALSE), NA(), AND($CI221=1, CK221=FALSE), 0, CK221=TRUE, 1)</f>
        <v>1</v>
      </c>
      <c r="CS221" s="10" cm="1">
        <f t="array" ref="CS221">_xlfn.IFS(AND($CI221=0, CL221=FALSE), NA(), AND($CI221=1, CL221=FALSE), 0, CL221=TRUE, 1)</f>
        <v>1</v>
      </c>
      <c r="CT221" s="10" cm="1">
        <f t="array" ref="CT221">_xlfn.IFS(AND($CI221=0, CM221=FALSE), NA(), AND($CI221=1, CM221=FALSE), 0, CM221=TRUE, 1)</f>
        <v>1</v>
      </c>
      <c r="CU221" s="10" cm="1">
        <f t="array" ref="CU221">_xlfn.IFS(AND($CN221=0, CP221=FALSE), NA(), AND($CN221=1, CP221=FALSE), 0, CP221=TRUE, 1)</f>
        <v>1</v>
      </c>
      <c r="CV221" s="10" cm="1">
        <f t="array" ref="CV221">_xlfn.IFS(AND($CN221=0, CQ221=FALSE), NA(), AND($CN221=1, CQ221=FALSE), 0, CQ221=TRUE, 1)</f>
        <v>0</v>
      </c>
    </row>
    <row r="222" spans="1:100" ht="15.75" x14ac:dyDescent="0.25">
      <c r="A222" s="8">
        <v>221</v>
      </c>
      <c r="B222" s="9">
        <v>235</v>
      </c>
      <c r="C222" s="10" t="s">
        <v>20</v>
      </c>
      <c r="D222" s="11" t="s">
        <v>228</v>
      </c>
      <c r="E222" s="12">
        <v>22266</v>
      </c>
      <c r="F222" s="13">
        <v>1</v>
      </c>
      <c r="G222" s="9">
        <v>52.243667602539063</v>
      </c>
      <c r="H222" s="12">
        <v>41348</v>
      </c>
      <c r="I222" s="9">
        <v>1</v>
      </c>
      <c r="J222" s="12">
        <v>41348</v>
      </c>
      <c r="K222" s="9">
        <v>0</v>
      </c>
      <c r="L222" s="9">
        <v>1</v>
      </c>
      <c r="M222" s="10" t="s">
        <v>401</v>
      </c>
      <c r="N222" s="9">
        <v>1</v>
      </c>
      <c r="O222" s="10" t="s">
        <v>401</v>
      </c>
      <c r="P222" s="9">
        <v>1</v>
      </c>
      <c r="Q222" s="10" t="s">
        <v>401</v>
      </c>
      <c r="R222" s="12">
        <v>42200</v>
      </c>
      <c r="S222" s="10">
        <v>3</v>
      </c>
      <c r="T222" s="9">
        <v>1</v>
      </c>
      <c r="U222" s="10">
        <v>4</v>
      </c>
      <c r="V222" s="10" t="s">
        <v>401</v>
      </c>
      <c r="W222" s="9"/>
      <c r="X222" s="9"/>
      <c r="Y222" s="9">
        <v>4</v>
      </c>
      <c r="Z222" s="25">
        <v>1</v>
      </c>
      <c r="AB222" s="9"/>
      <c r="AC222" s="9"/>
      <c r="AD222" s="9">
        <v>2</v>
      </c>
      <c r="AE222" s="9">
        <v>2</v>
      </c>
      <c r="AF222" s="9">
        <v>2</v>
      </c>
      <c r="AG222" s="9">
        <v>0</v>
      </c>
      <c r="AH222" s="9">
        <v>1</v>
      </c>
      <c r="AI222" s="9">
        <v>1</v>
      </c>
      <c r="AJ222" s="12">
        <v>43733</v>
      </c>
      <c r="AK222" s="9">
        <v>2</v>
      </c>
      <c r="AL222" s="12">
        <v>43791</v>
      </c>
      <c r="AM222" s="9">
        <v>3</v>
      </c>
      <c r="AN222" s="12">
        <v>43749</v>
      </c>
      <c r="AO222" s="12">
        <v>43960</v>
      </c>
      <c r="AP222" s="12">
        <v>43960</v>
      </c>
      <c r="AQ222" s="9">
        <v>1</v>
      </c>
      <c r="AR222" s="9">
        <f t="shared" si="78"/>
        <v>1</v>
      </c>
      <c r="AS222" s="9">
        <v>1</v>
      </c>
      <c r="AT222" s="9">
        <v>2</v>
      </c>
      <c r="AU222" s="9">
        <v>2</v>
      </c>
      <c r="AV222" s="9">
        <f t="shared" si="79"/>
        <v>1</v>
      </c>
      <c r="AW222" s="12">
        <v>43960</v>
      </c>
      <c r="AX222" s="9">
        <v>5200</v>
      </c>
      <c r="AY222" s="9">
        <v>3536</v>
      </c>
      <c r="AZ222" s="9"/>
      <c r="BA222" s="9">
        <v>3536</v>
      </c>
      <c r="BB222" s="9">
        <v>934.1248779296875</v>
      </c>
      <c r="BC222" s="9">
        <v>226000</v>
      </c>
      <c r="BD222" s="9"/>
      <c r="BE222" s="9"/>
      <c r="BF222" s="9"/>
      <c r="BG222" s="9">
        <v>4360</v>
      </c>
      <c r="BH222" s="9">
        <v>3120</v>
      </c>
      <c r="BI222" s="9">
        <v>610</v>
      </c>
      <c r="BJ222" s="9">
        <v>275000</v>
      </c>
      <c r="BK222" s="9">
        <v>560</v>
      </c>
      <c r="BL222" s="9">
        <v>40</v>
      </c>
      <c r="BM222" s="9">
        <v>144</v>
      </c>
      <c r="BN222" s="9">
        <v>3400</v>
      </c>
      <c r="BO222" s="9">
        <v>2150</v>
      </c>
      <c r="BP222" s="9">
        <v>650</v>
      </c>
      <c r="BQ222" s="9">
        <v>229000</v>
      </c>
      <c r="BR222" s="9">
        <v>470</v>
      </c>
      <c r="BS222" s="9">
        <v>110</v>
      </c>
      <c r="BT222" s="9"/>
      <c r="BU222" s="9">
        <v>5540</v>
      </c>
      <c r="BV222" s="9">
        <v>3933</v>
      </c>
      <c r="BW222" s="9">
        <v>941</v>
      </c>
      <c r="BX222" s="9">
        <v>319000</v>
      </c>
      <c r="BY222" s="9"/>
      <c r="BZ222" s="10" t="s">
        <v>401</v>
      </c>
      <c r="CA222" s="9"/>
      <c r="CB222" s="9"/>
      <c r="CC222" s="10">
        <f t="shared" si="80"/>
        <v>3.785361126273481</v>
      </c>
      <c r="CD222" s="10">
        <f t="shared" si="81"/>
        <v>241.93767379462861</v>
      </c>
      <c r="CE222" s="10">
        <f t="shared" si="71"/>
        <v>855491.61453780672</v>
      </c>
      <c r="CF222" s="10">
        <f t="shared" si="73"/>
        <v>1</v>
      </c>
      <c r="CG222" s="10">
        <f t="shared" si="74"/>
        <v>0</v>
      </c>
      <c r="CH222" s="10">
        <f t="shared" si="75"/>
        <v>2</v>
      </c>
      <c r="CI222" s="9">
        <f t="shared" si="82"/>
        <v>1</v>
      </c>
      <c r="CJ222" s="10">
        <f t="shared" si="76"/>
        <v>8</v>
      </c>
      <c r="CK222" s="10" t="b">
        <f t="shared" si="83"/>
        <v>1</v>
      </c>
      <c r="CL222" s="10" t="b">
        <f t="shared" si="84"/>
        <v>0</v>
      </c>
      <c r="CM222" s="10" t="b">
        <f t="shared" si="85"/>
        <v>0</v>
      </c>
      <c r="CN222" s="9">
        <f t="shared" si="86"/>
        <v>1</v>
      </c>
      <c r="CO222" s="10">
        <f t="shared" si="90"/>
        <v>8</v>
      </c>
      <c r="CP222" s="10" t="b">
        <f t="shared" si="87"/>
        <v>1</v>
      </c>
      <c r="CQ222" s="10" t="b">
        <f t="shared" si="88"/>
        <v>0</v>
      </c>
      <c r="CR222" s="10" cm="1">
        <f t="array" ref="CR222">_xlfn.IFS(AND($CI222=0, CK222=FALSE), NA(), AND($CI222=1, CK222=FALSE), 0, CK222=TRUE, 1)</f>
        <v>1</v>
      </c>
      <c r="CS222" s="10" cm="1">
        <f t="array" ref="CS222">_xlfn.IFS(AND($CI222=0, CL222=FALSE), NA(), AND($CI222=1, CL222=FALSE), 0, CL222=TRUE, 1)</f>
        <v>0</v>
      </c>
      <c r="CT222" s="10" cm="1">
        <f t="array" ref="CT222">_xlfn.IFS(AND($CI222=0, CM222=FALSE), NA(), AND($CI222=1, CM222=FALSE), 0, CM222=TRUE, 1)</f>
        <v>0</v>
      </c>
      <c r="CU222" s="10" cm="1">
        <f t="array" ref="CU222">_xlfn.IFS(AND($CN222=0, CP222=FALSE), NA(), AND($CN222=1, CP222=FALSE), 0, CP222=TRUE, 1)</f>
        <v>1</v>
      </c>
      <c r="CV222" s="10" cm="1">
        <f t="array" ref="CV222">_xlfn.IFS(AND($CN222=0, CQ222=FALSE), NA(), AND($CN222=1, CQ222=FALSE), 0, CQ222=TRUE, 1)</f>
        <v>0</v>
      </c>
    </row>
    <row r="223" spans="1:100" ht="15.75" x14ac:dyDescent="0.25">
      <c r="A223" s="8">
        <v>222</v>
      </c>
      <c r="B223" s="9">
        <v>16</v>
      </c>
      <c r="C223" s="10" t="s">
        <v>4</v>
      </c>
      <c r="D223" s="11" t="s">
        <v>52</v>
      </c>
      <c r="E223" s="12">
        <v>16310</v>
      </c>
      <c r="F223" s="13">
        <v>1</v>
      </c>
      <c r="G223" s="9">
        <v>68.569473266601563</v>
      </c>
      <c r="H223" s="12">
        <v>41355</v>
      </c>
      <c r="I223" s="9">
        <v>1</v>
      </c>
      <c r="J223" s="12">
        <v>41611</v>
      </c>
      <c r="K223" s="9">
        <v>0</v>
      </c>
      <c r="L223" s="9">
        <v>2</v>
      </c>
      <c r="M223" s="10" t="s">
        <v>401</v>
      </c>
      <c r="N223" s="9">
        <v>2</v>
      </c>
      <c r="O223" s="10" t="s">
        <v>147</v>
      </c>
      <c r="P223" s="9">
        <v>2</v>
      </c>
      <c r="Q223" s="10" t="s">
        <v>147</v>
      </c>
      <c r="R223" s="12">
        <v>42458</v>
      </c>
      <c r="S223" s="10" t="s">
        <v>145</v>
      </c>
      <c r="T223" s="9">
        <v>5</v>
      </c>
      <c r="U223" s="10" t="s">
        <v>401</v>
      </c>
      <c r="V223" s="10" t="s">
        <v>401</v>
      </c>
      <c r="W223" s="9"/>
      <c r="X223" s="9"/>
      <c r="Y223" s="9">
        <v>3</v>
      </c>
      <c r="Z223" s="14">
        <v>1</v>
      </c>
      <c r="AA223" s="17">
        <v>11</v>
      </c>
      <c r="AB223" s="18">
        <v>71</v>
      </c>
      <c r="AC223" s="9"/>
      <c r="AD223" s="9">
        <v>2</v>
      </c>
      <c r="AE223" s="9">
        <v>1</v>
      </c>
      <c r="AF223" s="9">
        <v>1</v>
      </c>
      <c r="AG223" s="9">
        <v>1</v>
      </c>
      <c r="AH223" s="9">
        <v>1</v>
      </c>
      <c r="AI223" s="9">
        <v>0</v>
      </c>
      <c r="AJ223" s="12">
        <v>42846</v>
      </c>
      <c r="AK223" s="9">
        <v>2</v>
      </c>
      <c r="AL223" s="12">
        <v>43235</v>
      </c>
      <c r="AM223" s="9">
        <v>2</v>
      </c>
      <c r="AN223" s="12">
        <v>43004</v>
      </c>
      <c r="AO223" s="12">
        <v>43593</v>
      </c>
      <c r="AP223" s="12">
        <v>43593</v>
      </c>
      <c r="AQ223" s="9">
        <v>1</v>
      </c>
      <c r="AR223" s="9">
        <f t="shared" si="78"/>
        <v>1</v>
      </c>
      <c r="AS223" s="9">
        <v>1</v>
      </c>
      <c r="AT223" s="9">
        <v>2</v>
      </c>
      <c r="AU223" s="9">
        <v>1</v>
      </c>
      <c r="AV223" s="9">
        <f t="shared" si="79"/>
        <v>0</v>
      </c>
      <c r="AW223" s="12">
        <v>44683</v>
      </c>
      <c r="AX223" s="9">
        <v>10540</v>
      </c>
      <c r="AY223" s="9">
        <v>6800</v>
      </c>
      <c r="AZ223" s="9">
        <v>2700</v>
      </c>
      <c r="BA223" s="9">
        <v>6800</v>
      </c>
      <c r="BB223" s="9">
        <v>2700.000244140625</v>
      </c>
      <c r="BC223" s="9">
        <v>255000</v>
      </c>
      <c r="BD223" s="9">
        <v>700</v>
      </c>
      <c r="BE223" s="9">
        <v>300</v>
      </c>
      <c r="BF223" s="9">
        <v>181</v>
      </c>
      <c r="BG223" s="9">
        <v>8340</v>
      </c>
      <c r="BH223" s="9">
        <v>4700</v>
      </c>
      <c r="BI223" s="9">
        <v>2500</v>
      </c>
      <c r="BJ223" s="9">
        <v>271000</v>
      </c>
      <c r="BK223" s="9">
        <v>600</v>
      </c>
      <c r="BL223" s="9">
        <v>400</v>
      </c>
      <c r="BM223" s="9">
        <v>154</v>
      </c>
      <c r="BN223" s="9">
        <v>9210</v>
      </c>
      <c r="BO223" s="9">
        <v>5000</v>
      </c>
      <c r="BP223" s="9">
        <v>3100</v>
      </c>
      <c r="BQ223" s="9">
        <v>351000</v>
      </c>
      <c r="BR223" s="9">
        <v>500</v>
      </c>
      <c r="BS223" s="9">
        <v>600</v>
      </c>
      <c r="BT223" s="9">
        <v>167</v>
      </c>
      <c r="BU223" s="9">
        <v>9080</v>
      </c>
      <c r="BV223" s="9">
        <v>5300</v>
      </c>
      <c r="BW223" s="9">
        <v>2500</v>
      </c>
      <c r="BX223" s="9">
        <v>301000</v>
      </c>
      <c r="BY223" s="9">
        <v>600</v>
      </c>
      <c r="BZ223" s="10" t="s">
        <v>523</v>
      </c>
      <c r="CA223" s="9">
        <v>700</v>
      </c>
      <c r="CB223" s="9">
        <v>123</v>
      </c>
      <c r="CC223" s="10">
        <f t="shared" si="80"/>
        <v>2.5185182907879149</v>
      </c>
      <c r="CD223" s="10">
        <f t="shared" si="81"/>
        <v>94.444435904546808</v>
      </c>
      <c r="CE223" s="10">
        <f t="shared" si="71"/>
        <v>642222.16415091825</v>
      </c>
      <c r="CF223" s="10">
        <f t="shared" si="73"/>
        <v>1</v>
      </c>
      <c r="CG223" s="10">
        <f t="shared" si="74"/>
        <v>1</v>
      </c>
      <c r="CH223" s="10">
        <f t="shared" si="75"/>
        <v>13</v>
      </c>
      <c r="CI223" s="9">
        <f t="shared" si="82"/>
        <v>0</v>
      </c>
      <c r="CJ223" s="10">
        <f t="shared" si="76"/>
        <v>61</v>
      </c>
      <c r="CK223" s="10" t="b">
        <f t="shared" si="83"/>
        <v>1</v>
      </c>
      <c r="CL223" s="10" t="b">
        <f t="shared" si="84"/>
        <v>1</v>
      </c>
      <c r="CM223" s="10" t="b">
        <f t="shared" si="85"/>
        <v>1</v>
      </c>
      <c r="CN223" s="9">
        <f t="shared" si="86"/>
        <v>1</v>
      </c>
      <c r="CO223" s="10">
        <f t="shared" si="90"/>
        <v>25</v>
      </c>
      <c r="CP223" s="10" t="b">
        <f t="shared" si="87"/>
        <v>1</v>
      </c>
      <c r="CQ223" s="10" t="b">
        <f t="shared" si="88"/>
        <v>1</v>
      </c>
      <c r="CR223" s="10" cm="1">
        <f t="array" ref="CR223">_xlfn.IFS(AND($CI223=0, CK223=FALSE), NA(), AND($CI223=1, CK223=FALSE), 0, CK223=TRUE, 1)</f>
        <v>1</v>
      </c>
      <c r="CS223" s="10" cm="1">
        <f t="array" ref="CS223">_xlfn.IFS(AND($CI223=0, CL223=FALSE), NA(), AND($CI223=1, CL223=FALSE), 0, CL223=TRUE, 1)</f>
        <v>1</v>
      </c>
      <c r="CT223" s="10" cm="1">
        <f t="array" ref="CT223">_xlfn.IFS(AND($CI223=0, CM223=FALSE), NA(), AND($CI223=1, CM223=FALSE), 0, CM223=TRUE, 1)</f>
        <v>1</v>
      </c>
      <c r="CU223" s="10" cm="1">
        <f t="array" ref="CU223">_xlfn.IFS(AND($CN223=0, CP223=FALSE), NA(), AND($CN223=1, CP223=FALSE), 0, CP223=TRUE, 1)</f>
        <v>1</v>
      </c>
      <c r="CV223" s="10" cm="1">
        <f t="array" ref="CV223">_xlfn.IFS(AND($CN223=0, CQ223=FALSE), NA(), AND($CN223=1, CQ223=FALSE), 0, CQ223=TRUE, 1)</f>
        <v>1</v>
      </c>
    </row>
    <row r="224" spans="1:100" ht="15.75" x14ac:dyDescent="0.25">
      <c r="A224" s="8">
        <v>223</v>
      </c>
      <c r="B224" s="9">
        <v>308</v>
      </c>
      <c r="C224" s="10" t="s">
        <v>24</v>
      </c>
      <c r="D224" s="11" t="s">
        <v>215</v>
      </c>
      <c r="E224" s="12"/>
      <c r="F224" s="13">
        <v>2</v>
      </c>
      <c r="G224" s="9">
        <v>75</v>
      </c>
      <c r="H224" s="12">
        <v>41358</v>
      </c>
      <c r="I224" s="9">
        <v>1</v>
      </c>
      <c r="J224" s="12">
        <v>41358</v>
      </c>
      <c r="K224" s="9">
        <v>0</v>
      </c>
      <c r="L224" s="9">
        <v>1</v>
      </c>
      <c r="M224" s="10" t="s">
        <v>401</v>
      </c>
      <c r="N224" s="9">
        <v>1</v>
      </c>
      <c r="O224" s="10" t="s">
        <v>401</v>
      </c>
      <c r="P224" s="9">
        <v>1</v>
      </c>
      <c r="Q224" s="10" t="s">
        <v>401</v>
      </c>
      <c r="R224" s="12">
        <v>41897</v>
      </c>
      <c r="S224" s="10" t="s">
        <v>146</v>
      </c>
      <c r="T224" s="9">
        <v>1</v>
      </c>
      <c r="U224" s="10" t="s">
        <v>147</v>
      </c>
      <c r="V224" s="10" t="s">
        <v>401</v>
      </c>
      <c r="W224" s="9"/>
      <c r="X224" s="9"/>
      <c r="Y224" s="9">
        <v>4</v>
      </c>
      <c r="Z224" s="14"/>
      <c r="AA224" s="21">
        <v>10.1</v>
      </c>
      <c r="AB224" s="22">
        <v>97</v>
      </c>
      <c r="AC224" s="22">
        <v>13</v>
      </c>
      <c r="AD224" s="9">
        <v>1</v>
      </c>
      <c r="AE224" s="9">
        <v>1</v>
      </c>
      <c r="AF224" s="9">
        <v>1</v>
      </c>
      <c r="AG224" s="9">
        <v>1</v>
      </c>
      <c r="AH224" s="9">
        <v>1</v>
      </c>
      <c r="AI224" s="9">
        <v>0</v>
      </c>
      <c r="AJ224" s="12">
        <v>42857</v>
      </c>
      <c r="AK224" s="9">
        <v>2</v>
      </c>
      <c r="AL224" s="12">
        <v>43158</v>
      </c>
      <c r="AM224" s="9">
        <v>2</v>
      </c>
      <c r="AN224" s="12">
        <v>42949</v>
      </c>
      <c r="AO224" s="12">
        <v>43166</v>
      </c>
      <c r="AP224" s="12">
        <v>43166</v>
      </c>
      <c r="AQ224" s="9">
        <v>1</v>
      </c>
      <c r="AR224" s="9">
        <f t="shared" si="78"/>
        <v>1</v>
      </c>
      <c r="AS224" s="9">
        <v>1</v>
      </c>
      <c r="AT224" s="9">
        <v>2</v>
      </c>
      <c r="AU224" s="9">
        <v>2</v>
      </c>
      <c r="AV224" s="9">
        <f t="shared" si="79"/>
        <v>1</v>
      </c>
      <c r="AW224" s="12">
        <v>43235</v>
      </c>
      <c r="AX224" s="9">
        <v>5250</v>
      </c>
      <c r="AY224" s="9">
        <v>5000</v>
      </c>
      <c r="AZ224" s="9">
        <v>850</v>
      </c>
      <c r="BA224" s="9">
        <v>5000</v>
      </c>
      <c r="BB224" s="9">
        <v>850.00006103515625</v>
      </c>
      <c r="BC224" s="9">
        <v>276000</v>
      </c>
      <c r="BD224" s="9">
        <v>240</v>
      </c>
      <c r="BE224" s="9">
        <v>130</v>
      </c>
      <c r="BF224" s="9">
        <v>358</v>
      </c>
      <c r="BG224" s="9">
        <v>5820</v>
      </c>
      <c r="BH224" s="9">
        <v>4271</v>
      </c>
      <c r="BI224" s="9"/>
      <c r="BJ224" s="9">
        <v>340000</v>
      </c>
      <c r="BK224" s="9"/>
      <c r="BL224" s="9"/>
      <c r="BM224" s="9">
        <v>355</v>
      </c>
      <c r="BN224" s="9">
        <v>8440</v>
      </c>
      <c r="BO224" s="9">
        <v>7849</v>
      </c>
      <c r="BP224" s="9"/>
      <c r="BQ224" s="9">
        <v>243000</v>
      </c>
      <c r="BR224" s="9"/>
      <c r="BS224" s="9"/>
      <c r="BT224" s="9"/>
      <c r="BU224" s="9">
        <v>4420</v>
      </c>
      <c r="BV224" s="9">
        <v>2965</v>
      </c>
      <c r="BW224" s="9"/>
      <c r="BX224" s="9">
        <v>348000</v>
      </c>
      <c r="BY224" s="9"/>
      <c r="BZ224" s="10" t="s">
        <v>401</v>
      </c>
      <c r="CA224" s="9"/>
      <c r="CB224" s="9">
        <v>248</v>
      </c>
      <c r="CC224" s="10">
        <f t="shared" si="80"/>
        <v>5.8823525187878767</v>
      </c>
      <c r="CD224" s="10">
        <f t="shared" si="81"/>
        <v>324.70585903709076</v>
      </c>
      <c r="CE224" s="10">
        <f t="shared" si="71"/>
        <v>1623529.295185454</v>
      </c>
      <c r="CF224" s="10">
        <f t="shared" si="73"/>
        <v>1</v>
      </c>
      <c r="CG224" s="10">
        <f t="shared" si="74"/>
        <v>1</v>
      </c>
      <c r="CH224" s="10">
        <f t="shared" si="75"/>
        <v>9</v>
      </c>
      <c r="CI224" s="9">
        <f t="shared" si="82"/>
        <v>1</v>
      </c>
      <c r="CJ224" s="10">
        <f t="shared" si="76"/>
        <v>12</v>
      </c>
      <c r="CK224" s="10" t="b">
        <f t="shared" si="83"/>
        <v>1</v>
      </c>
      <c r="CL224" s="10" t="b">
        <f t="shared" si="84"/>
        <v>0</v>
      </c>
      <c r="CM224" s="10" t="b">
        <f t="shared" si="85"/>
        <v>0</v>
      </c>
      <c r="CN224" s="9">
        <f t="shared" si="86"/>
        <v>1</v>
      </c>
      <c r="CO224" s="10">
        <f t="shared" si="90"/>
        <v>10</v>
      </c>
      <c r="CP224" s="10" t="b">
        <f t="shared" si="87"/>
        <v>1</v>
      </c>
      <c r="CQ224" s="10" t="b">
        <f t="shared" si="88"/>
        <v>1</v>
      </c>
      <c r="CR224" s="10" cm="1">
        <f t="array" ref="CR224">_xlfn.IFS(AND($CI224=0, CK224=FALSE), NA(), AND($CI224=1, CK224=FALSE), 0, CK224=TRUE, 1)</f>
        <v>1</v>
      </c>
      <c r="CS224" s="10" cm="1">
        <f t="array" ref="CS224">_xlfn.IFS(AND($CI224=0, CL224=FALSE), NA(), AND($CI224=1, CL224=FALSE), 0, CL224=TRUE, 1)</f>
        <v>0</v>
      </c>
      <c r="CT224" s="10" cm="1">
        <f t="array" ref="CT224">_xlfn.IFS(AND($CI224=0, CM224=FALSE), NA(), AND($CI224=1, CM224=FALSE), 0, CM224=TRUE, 1)</f>
        <v>0</v>
      </c>
      <c r="CU224" s="10" cm="1">
        <f t="array" ref="CU224">_xlfn.IFS(AND($CN224=0, CP224=FALSE), NA(), AND($CN224=1, CP224=FALSE), 0, CP224=TRUE, 1)</f>
        <v>1</v>
      </c>
      <c r="CV224" s="10" cm="1">
        <f t="array" ref="CV224">_xlfn.IFS(AND($CN224=0, CQ224=FALSE), NA(), AND($CN224=1, CQ224=FALSE), 0, CQ224=TRUE, 1)</f>
        <v>1</v>
      </c>
    </row>
    <row r="225" spans="1:100" ht="15.75" x14ac:dyDescent="0.25">
      <c r="A225" s="8">
        <v>224</v>
      </c>
      <c r="B225" s="9">
        <v>504</v>
      </c>
      <c r="C225" s="10" t="s">
        <v>33</v>
      </c>
      <c r="D225" s="11" t="s">
        <v>188</v>
      </c>
      <c r="E225" s="12">
        <v>24574</v>
      </c>
      <c r="F225" s="13">
        <v>1</v>
      </c>
      <c r="G225" s="9">
        <v>45.957561492919922</v>
      </c>
      <c r="H225" s="12">
        <v>41360</v>
      </c>
      <c r="I225" s="9">
        <v>0</v>
      </c>
      <c r="J225" s="12"/>
      <c r="K225" s="9">
        <v>1</v>
      </c>
      <c r="L225" s="9">
        <v>1</v>
      </c>
      <c r="M225" s="10" t="s">
        <v>401</v>
      </c>
      <c r="N225" s="9">
        <v>3</v>
      </c>
      <c r="O225" s="10" t="s">
        <v>424</v>
      </c>
      <c r="P225" s="9">
        <v>2</v>
      </c>
      <c r="Q225" s="10" t="s">
        <v>409</v>
      </c>
      <c r="R225" s="12">
        <v>41370</v>
      </c>
      <c r="S225" s="10" t="s">
        <v>145</v>
      </c>
      <c r="T225" s="9">
        <v>6</v>
      </c>
      <c r="U225" s="10" t="s">
        <v>401</v>
      </c>
      <c r="V225" s="10" t="s">
        <v>401</v>
      </c>
      <c r="W225" s="9"/>
      <c r="X225" s="9"/>
      <c r="Y225" s="9">
        <v>3</v>
      </c>
      <c r="Z225" s="14">
        <v>1</v>
      </c>
      <c r="AA225" s="17">
        <v>7.8</v>
      </c>
      <c r="AB225" s="18">
        <v>69</v>
      </c>
      <c r="AC225" s="18">
        <v>27</v>
      </c>
      <c r="AD225" s="9">
        <v>3</v>
      </c>
      <c r="AE225" s="9">
        <v>3</v>
      </c>
      <c r="AF225" s="9">
        <v>1</v>
      </c>
      <c r="AG225" s="9">
        <v>1</v>
      </c>
      <c r="AH225" s="9">
        <v>1</v>
      </c>
      <c r="AI225" s="9">
        <v>1</v>
      </c>
      <c r="AJ225" s="12">
        <v>43175</v>
      </c>
      <c r="AK225" s="9">
        <v>2</v>
      </c>
      <c r="AL225" s="12">
        <v>43175</v>
      </c>
      <c r="AM225" s="9">
        <v>4</v>
      </c>
      <c r="AN225" s="12">
        <v>43259</v>
      </c>
      <c r="AO225" s="12">
        <v>43259</v>
      </c>
      <c r="AP225" s="12">
        <v>43259</v>
      </c>
      <c r="AQ225" s="9">
        <v>1</v>
      </c>
      <c r="AR225" s="9">
        <f t="shared" si="78"/>
        <v>1</v>
      </c>
      <c r="AS225" s="9">
        <v>1</v>
      </c>
      <c r="AT225" s="9">
        <v>2</v>
      </c>
      <c r="AU225" s="9">
        <v>2</v>
      </c>
      <c r="AV225" s="9">
        <f t="shared" si="79"/>
        <v>1</v>
      </c>
      <c r="AW225" s="12">
        <v>43259</v>
      </c>
      <c r="AX225" s="9"/>
      <c r="AY225" s="9"/>
      <c r="AZ225" s="9"/>
      <c r="BA225" s="9">
        <v>5638.8505859375</v>
      </c>
      <c r="BB225" s="9">
        <v>1216.693603515625</v>
      </c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10" t="s">
        <v>401</v>
      </c>
      <c r="CA225" s="9"/>
      <c r="CB225" s="9"/>
      <c r="CC225" s="10">
        <f t="shared" si="80"/>
        <v>4.6345691056845313</v>
      </c>
      <c r="CF225" s="10">
        <f t="shared" si="73"/>
        <v>0</v>
      </c>
      <c r="CG225" s="10">
        <f t="shared" si="74"/>
        <v>0</v>
      </c>
      <c r="CH225" s="10">
        <f t="shared" si="75"/>
        <v>0</v>
      </c>
      <c r="CI225" s="9">
        <f t="shared" si="82"/>
        <v>1</v>
      </c>
      <c r="CJ225" s="10">
        <f t="shared" si="76"/>
        <v>3</v>
      </c>
      <c r="CK225" s="10" t="b">
        <f t="shared" si="83"/>
        <v>0</v>
      </c>
      <c r="CL225" s="10" t="b">
        <f t="shared" si="84"/>
        <v>0</v>
      </c>
      <c r="CM225" s="10" t="b">
        <f t="shared" si="85"/>
        <v>0</v>
      </c>
      <c r="CN225" s="9">
        <f t="shared" si="86"/>
        <v>1</v>
      </c>
      <c r="CO225" s="10">
        <f t="shared" si="90"/>
        <v>3</v>
      </c>
      <c r="CP225" s="10" t="b">
        <f t="shared" si="87"/>
        <v>1</v>
      </c>
      <c r="CQ225" s="10" t="b">
        <f t="shared" si="88"/>
        <v>0</v>
      </c>
      <c r="CR225" s="10" cm="1">
        <f t="array" ref="CR225">_xlfn.IFS(AND($CI225=0, CK225=FALSE), NA(), AND($CI225=1, CK225=FALSE), 0, CK225=TRUE, 1)</f>
        <v>0</v>
      </c>
      <c r="CS225" s="10" cm="1">
        <f t="array" ref="CS225">_xlfn.IFS(AND($CI225=0, CL225=FALSE), NA(), AND($CI225=1, CL225=FALSE), 0, CL225=TRUE, 1)</f>
        <v>0</v>
      </c>
      <c r="CT225" s="10" cm="1">
        <f t="array" ref="CT225">_xlfn.IFS(AND($CI225=0, CM225=FALSE), NA(), AND($CI225=1, CM225=FALSE), 0, CM225=TRUE, 1)</f>
        <v>0</v>
      </c>
      <c r="CU225" s="10" cm="1">
        <f t="array" ref="CU225">_xlfn.IFS(AND($CN225=0, CP225=FALSE), NA(), AND($CN225=1, CP225=FALSE), 0, CP225=TRUE, 1)</f>
        <v>1</v>
      </c>
      <c r="CV225" s="10" cm="1">
        <f t="array" ref="CV225">_xlfn.IFS(AND($CN225=0, CQ225=FALSE), NA(), AND($CN225=1, CQ225=FALSE), 0, CQ225=TRUE, 1)</f>
        <v>0</v>
      </c>
    </row>
    <row r="226" spans="1:100" ht="15.75" x14ac:dyDescent="0.25">
      <c r="A226" s="8">
        <v>225</v>
      </c>
      <c r="B226" s="9">
        <v>61</v>
      </c>
      <c r="C226" s="10" t="s">
        <v>8</v>
      </c>
      <c r="D226" s="11" t="s">
        <v>91</v>
      </c>
      <c r="E226" s="12">
        <v>21468</v>
      </c>
      <c r="F226" s="13">
        <v>2</v>
      </c>
      <c r="G226" s="9">
        <v>54.485969543457031</v>
      </c>
      <c r="H226" s="12">
        <v>41369</v>
      </c>
      <c r="I226" s="9">
        <v>1</v>
      </c>
      <c r="J226" s="12">
        <v>41440</v>
      </c>
      <c r="K226" s="9">
        <v>0</v>
      </c>
      <c r="L226" s="9">
        <v>1</v>
      </c>
      <c r="M226" s="10" t="s">
        <v>401</v>
      </c>
      <c r="N226" s="9">
        <v>2</v>
      </c>
      <c r="O226" s="10" t="s">
        <v>145</v>
      </c>
      <c r="P226" s="9">
        <v>2</v>
      </c>
      <c r="Q226" s="10" t="s">
        <v>145</v>
      </c>
      <c r="R226" s="12">
        <v>41624</v>
      </c>
      <c r="S226" s="10" t="s">
        <v>145</v>
      </c>
      <c r="T226" s="9">
        <v>5</v>
      </c>
      <c r="U226" s="10" t="s">
        <v>401</v>
      </c>
      <c r="V226" s="10" t="s">
        <v>401</v>
      </c>
      <c r="W226" s="9"/>
      <c r="X226" s="9"/>
      <c r="Y226" s="9">
        <v>3</v>
      </c>
      <c r="Z226" s="14">
        <v>1</v>
      </c>
      <c r="AA226" s="17">
        <v>13.3</v>
      </c>
      <c r="AB226" s="9"/>
      <c r="AC226" s="9"/>
      <c r="AD226" s="9">
        <v>2</v>
      </c>
      <c r="AE226" s="9">
        <v>2</v>
      </c>
      <c r="AF226" s="9">
        <v>1</v>
      </c>
      <c r="AG226" s="9">
        <v>0</v>
      </c>
      <c r="AH226" s="9">
        <v>1</v>
      </c>
      <c r="AI226" s="9">
        <v>0</v>
      </c>
      <c r="AJ226" s="12">
        <v>43479</v>
      </c>
      <c r="AK226" s="9">
        <v>2</v>
      </c>
      <c r="AL226" s="12">
        <v>43712</v>
      </c>
      <c r="AM226" s="9">
        <v>3</v>
      </c>
      <c r="AN226" s="12">
        <v>43582</v>
      </c>
      <c r="AO226" s="12">
        <v>43732</v>
      </c>
      <c r="AP226" s="12">
        <v>43732</v>
      </c>
      <c r="AQ226" s="9">
        <v>1</v>
      </c>
      <c r="AR226" s="9">
        <f t="shared" si="78"/>
        <v>1</v>
      </c>
      <c r="AS226" s="9">
        <v>1</v>
      </c>
      <c r="AT226" s="9">
        <v>2</v>
      </c>
      <c r="AU226" s="9">
        <v>2</v>
      </c>
      <c r="AV226" s="9">
        <f t="shared" si="79"/>
        <v>1</v>
      </c>
      <c r="AW226" s="12">
        <v>44609</v>
      </c>
      <c r="AX226" s="9">
        <v>5700</v>
      </c>
      <c r="AY226" s="9">
        <v>3580</v>
      </c>
      <c r="AZ226" s="9"/>
      <c r="BA226" s="9">
        <v>3580</v>
      </c>
      <c r="BB226" s="9">
        <v>1540.0777587890625</v>
      </c>
      <c r="BC226" s="9">
        <v>260000</v>
      </c>
      <c r="BD226" s="9"/>
      <c r="BE226" s="9"/>
      <c r="BF226" s="9"/>
      <c r="BG226" s="9">
        <v>5700</v>
      </c>
      <c r="BH226" s="9">
        <v>3480</v>
      </c>
      <c r="BI226" s="9"/>
      <c r="BJ226" s="9">
        <v>259000</v>
      </c>
      <c r="BK226" s="9"/>
      <c r="BL226" s="9"/>
      <c r="BM226" s="9"/>
      <c r="BN226" s="9">
        <v>5500</v>
      </c>
      <c r="BO226" s="9">
        <v>3410</v>
      </c>
      <c r="BP226" s="9"/>
      <c r="BQ226" s="9">
        <v>287000</v>
      </c>
      <c r="BR226" s="9"/>
      <c r="BS226" s="9"/>
      <c r="BT226" s="9"/>
      <c r="BU226" s="9">
        <v>6700</v>
      </c>
      <c r="BV226" s="9">
        <v>4100</v>
      </c>
      <c r="BW226" s="9"/>
      <c r="BX226" s="9">
        <v>315000</v>
      </c>
      <c r="BY226" s="9"/>
      <c r="BZ226" s="10" t="s">
        <v>401</v>
      </c>
      <c r="CA226" s="9"/>
      <c r="CB226" s="9"/>
      <c r="CC226" s="10">
        <f t="shared" si="80"/>
        <v>2.3245579514211636</v>
      </c>
      <c r="CD226" s="10">
        <f t="shared" si="81"/>
        <v>168.82264451662081</v>
      </c>
      <c r="CE226" s="10">
        <f t="shared" ref="CE226:CE246" si="91">BC226*CC226</f>
        <v>604385.0673695025</v>
      </c>
      <c r="CF226" s="10">
        <f t="shared" si="73"/>
        <v>1</v>
      </c>
      <c r="CG226" s="10">
        <f t="shared" si="74"/>
        <v>0</v>
      </c>
      <c r="CH226" s="10">
        <f t="shared" si="75"/>
        <v>8</v>
      </c>
      <c r="CI226" s="9">
        <f t="shared" si="82"/>
        <v>1</v>
      </c>
      <c r="CJ226" s="10">
        <f t="shared" si="76"/>
        <v>37</v>
      </c>
      <c r="CK226" s="10" t="b">
        <f t="shared" si="83"/>
        <v>1</v>
      </c>
      <c r="CL226" s="10" t="b">
        <f t="shared" si="84"/>
        <v>1</v>
      </c>
      <c r="CM226" s="10" t="b">
        <f t="shared" si="85"/>
        <v>1</v>
      </c>
      <c r="CN226" s="9">
        <f t="shared" si="86"/>
        <v>1</v>
      </c>
      <c r="CO226" s="10">
        <f t="shared" si="90"/>
        <v>8</v>
      </c>
      <c r="CP226" s="10" t="b">
        <f t="shared" si="87"/>
        <v>1</v>
      </c>
      <c r="CQ226" s="10" t="b">
        <f t="shared" si="88"/>
        <v>0</v>
      </c>
      <c r="CR226" s="10" cm="1">
        <f t="array" ref="CR226">_xlfn.IFS(AND($CI226=0, CK226=FALSE), NA(), AND($CI226=1, CK226=FALSE), 0, CK226=TRUE, 1)</f>
        <v>1</v>
      </c>
      <c r="CS226" s="10" cm="1">
        <f t="array" ref="CS226">_xlfn.IFS(AND($CI226=0, CL226=FALSE), NA(), AND($CI226=1, CL226=FALSE), 0, CL226=TRUE, 1)</f>
        <v>1</v>
      </c>
      <c r="CT226" s="10" cm="1">
        <f t="array" ref="CT226">_xlfn.IFS(AND($CI226=0, CM226=FALSE), NA(), AND($CI226=1, CM226=FALSE), 0, CM226=TRUE, 1)</f>
        <v>1</v>
      </c>
      <c r="CU226" s="10" cm="1">
        <f t="array" ref="CU226">_xlfn.IFS(AND($CN226=0, CP226=FALSE), NA(), AND($CN226=1, CP226=FALSE), 0, CP226=TRUE, 1)</f>
        <v>1</v>
      </c>
      <c r="CV226" s="10" cm="1">
        <f t="array" ref="CV226">_xlfn.IFS(AND($CN226=0, CQ226=FALSE), NA(), AND($CN226=1, CQ226=FALSE), 0, CQ226=TRUE, 1)</f>
        <v>0</v>
      </c>
    </row>
    <row r="227" spans="1:100" ht="15.75" x14ac:dyDescent="0.25">
      <c r="A227" s="8">
        <v>226</v>
      </c>
      <c r="B227" s="9">
        <v>384</v>
      </c>
      <c r="C227" s="10" t="s">
        <v>29</v>
      </c>
      <c r="D227" s="11" t="s">
        <v>299</v>
      </c>
      <c r="E227" s="12">
        <v>21095</v>
      </c>
      <c r="F227" s="13">
        <v>1</v>
      </c>
      <c r="G227" s="9">
        <v>55.523612976074219</v>
      </c>
      <c r="H227" s="12">
        <v>41375</v>
      </c>
      <c r="I227" s="9">
        <v>1</v>
      </c>
      <c r="J227" s="12">
        <v>41375</v>
      </c>
      <c r="K227" s="9">
        <v>0</v>
      </c>
      <c r="L227" s="9">
        <v>1</v>
      </c>
      <c r="M227" s="10" t="s">
        <v>401</v>
      </c>
      <c r="N227" s="9">
        <v>1</v>
      </c>
      <c r="O227" s="10" t="s">
        <v>401</v>
      </c>
      <c r="P227" s="9">
        <v>1</v>
      </c>
      <c r="Q227" s="10" t="s">
        <v>401</v>
      </c>
      <c r="R227" s="12">
        <v>42054</v>
      </c>
      <c r="S227" s="10" t="s">
        <v>146</v>
      </c>
      <c r="T227" s="9"/>
      <c r="U227" s="10" t="s">
        <v>401</v>
      </c>
      <c r="V227" s="10" t="s">
        <v>401</v>
      </c>
      <c r="W227" s="9"/>
      <c r="X227" s="9"/>
      <c r="Y227" s="9">
        <v>2</v>
      </c>
      <c r="Z227" s="14">
        <v>2</v>
      </c>
      <c r="AA227" s="17">
        <v>14.6</v>
      </c>
      <c r="AB227" s="18">
        <v>94</v>
      </c>
      <c r="AC227" s="18"/>
      <c r="AD227" s="9">
        <v>1</v>
      </c>
      <c r="AE227" s="9">
        <v>1</v>
      </c>
      <c r="AF227" s="9">
        <v>1</v>
      </c>
      <c r="AG227" s="9">
        <v>1</v>
      </c>
      <c r="AH227" s="9">
        <v>1</v>
      </c>
      <c r="AI227" s="9">
        <v>0</v>
      </c>
      <c r="AJ227" s="12">
        <v>42863</v>
      </c>
      <c r="AK227" s="9">
        <v>2</v>
      </c>
      <c r="AL227" s="12">
        <v>44067</v>
      </c>
      <c r="AM227" s="9">
        <v>2</v>
      </c>
      <c r="AN227" s="12">
        <v>43010</v>
      </c>
      <c r="AO227" s="12">
        <v>43983</v>
      </c>
      <c r="AP227" s="12">
        <v>44095</v>
      </c>
      <c r="AQ227" s="9">
        <v>1</v>
      </c>
      <c r="AR227" s="9">
        <f t="shared" si="78"/>
        <v>1</v>
      </c>
      <c r="AS227" s="9">
        <v>1</v>
      </c>
      <c r="AT227" s="9">
        <v>1</v>
      </c>
      <c r="AU227" s="9">
        <v>1</v>
      </c>
      <c r="AV227" s="9">
        <f t="shared" si="79"/>
        <v>0</v>
      </c>
      <c r="AW227" s="12">
        <v>44926</v>
      </c>
      <c r="AX227" s="9">
        <v>6350</v>
      </c>
      <c r="AY227" s="9">
        <v>3510</v>
      </c>
      <c r="AZ227" s="9">
        <v>2040</v>
      </c>
      <c r="BA227" s="9">
        <v>3510</v>
      </c>
      <c r="BB227" s="9">
        <v>2040.0001220703125</v>
      </c>
      <c r="BC227" s="9">
        <v>234000</v>
      </c>
      <c r="BD227" s="9">
        <v>46</v>
      </c>
      <c r="BE227" s="9">
        <v>31</v>
      </c>
      <c r="BF227" s="9"/>
      <c r="BG227" s="9">
        <v>8040</v>
      </c>
      <c r="BH227" s="9">
        <v>4820</v>
      </c>
      <c r="BI227" s="9">
        <v>1640</v>
      </c>
      <c r="BJ227" s="9">
        <v>267000</v>
      </c>
      <c r="BK227" s="9">
        <v>110</v>
      </c>
      <c r="BL227" s="9">
        <v>42</v>
      </c>
      <c r="BM227" s="9"/>
      <c r="BN227" s="9">
        <v>7470</v>
      </c>
      <c r="BO227" s="9">
        <v>4105</v>
      </c>
      <c r="BP227" s="9">
        <v>2091</v>
      </c>
      <c r="BQ227" s="9">
        <v>255000</v>
      </c>
      <c r="BR227" s="9">
        <v>95</v>
      </c>
      <c r="BS227" s="9">
        <v>40</v>
      </c>
      <c r="BT227" s="9"/>
      <c r="BU227" s="9">
        <v>7380</v>
      </c>
      <c r="BV227" s="9">
        <v>4000</v>
      </c>
      <c r="BW227" s="9">
        <v>2040</v>
      </c>
      <c r="BX227" s="9">
        <v>234000</v>
      </c>
      <c r="BY227" s="9">
        <v>65</v>
      </c>
      <c r="BZ227" s="10" t="s">
        <v>570</v>
      </c>
      <c r="CA227" s="9">
        <v>61</v>
      </c>
      <c r="CB227" s="9"/>
      <c r="CC227" s="10">
        <f t="shared" si="80"/>
        <v>1.7205881323368966</v>
      </c>
      <c r="CD227" s="10">
        <f t="shared" si="81"/>
        <v>114.70587548912644</v>
      </c>
      <c r="CE227" s="10">
        <f t="shared" si="91"/>
        <v>402617.62296683382</v>
      </c>
      <c r="CF227" s="10">
        <f t="shared" si="73"/>
        <v>1</v>
      </c>
      <c r="CG227" s="10">
        <f t="shared" si="74"/>
        <v>1</v>
      </c>
      <c r="CH227" s="10">
        <f t="shared" si="75"/>
        <v>39</v>
      </c>
      <c r="CI227" s="9">
        <f t="shared" si="82"/>
        <v>0</v>
      </c>
      <c r="CJ227" s="10">
        <f t="shared" si="76"/>
        <v>67</v>
      </c>
      <c r="CK227" s="10" t="b">
        <f t="shared" si="83"/>
        <v>1</v>
      </c>
      <c r="CL227" s="10" t="b">
        <f t="shared" si="84"/>
        <v>1</v>
      </c>
      <c r="CM227" s="10" t="b">
        <f t="shared" si="85"/>
        <v>1</v>
      </c>
      <c r="CN227" s="9">
        <f t="shared" si="86"/>
        <v>1</v>
      </c>
      <c r="CO227" s="10">
        <f t="shared" si="90"/>
        <v>37</v>
      </c>
      <c r="CP227" s="10" t="b">
        <f t="shared" si="87"/>
        <v>1</v>
      </c>
      <c r="CQ227" s="10" t="b">
        <f t="shared" si="88"/>
        <v>1</v>
      </c>
      <c r="CR227" s="10" cm="1">
        <f t="array" ref="CR227">_xlfn.IFS(AND($CI227=0, CK227=FALSE), NA(), AND($CI227=1, CK227=FALSE), 0, CK227=TRUE, 1)</f>
        <v>1</v>
      </c>
      <c r="CS227" s="10" cm="1">
        <f t="array" ref="CS227">_xlfn.IFS(AND($CI227=0, CL227=FALSE), NA(), AND($CI227=1, CL227=FALSE), 0, CL227=TRUE, 1)</f>
        <v>1</v>
      </c>
      <c r="CT227" s="10" cm="1">
        <f t="array" ref="CT227">_xlfn.IFS(AND($CI227=0, CM227=FALSE), NA(), AND($CI227=1, CM227=FALSE), 0, CM227=TRUE, 1)</f>
        <v>1</v>
      </c>
      <c r="CU227" s="10" cm="1">
        <f t="array" ref="CU227">_xlfn.IFS(AND($CN227=0, CP227=FALSE), NA(), AND($CN227=1, CP227=FALSE), 0, CP227=TRUE, 1)</f>
        <v>1</v>
      </c>
      <c r="CV227" s="10" cm="1">
        <f t="array" ref="CV227">_xlfn.IFS(AND($CN227=0, CQ227=FALSE), NA(), AND($CN227=1, CQ227=FALSE), 0, CQ227=TRUE, 1)</f>
        <v>1</v>
      </c>
    </row>
    <row r="228" spans="1:100" ht="15.75" x14ac:dyDescent="0.25">
      <c r="A228" s="8">
        <v>227</v>
      </c>
      <c r="B228" s="9">
        <v>198</v>
      </c>
      <c r="C228" s="10" t="s">
        <v>17</v>
      </c>
      <c r="D228" s="11" t="s">
        <v>204</v>
      </c>
      <c r="E228" s="12">
        <v>19175</v>
      </c>
      <c r="F228" s="13">
        <v>1</v>
      </c>
      <c r="G228" s="9">
        <v>60.791240692138672</v>
      </c>
      <c r="H228" s="12">
        <v>41379</v>
      </c>
      <c r="I228" s="9">
        <v>1</v>
      </c>
      <c r="J228" s="12">
        <v>41379</v>
      </c>
      <c r="K228" s="9">
        <v>1</v>
      </c>
      <c r="L228" s="9">
        <v>1</v>
      </c>
      <c r="M228" s="10" t="s">
        <v>401</v>
      </c>
      <c r="N228" s="9">
        <v>2</v>
      </c>
      <c r="O228" s="10" t="s">
        <v>145</v>
      </c>
      <c r="P228" s="9">
        <v>2</v>
      </c>
      <c r="Q228" s="10" t="s">
        <v>145</v>
      </c>
      <c r="R228" s="12">
        <v>41379</v>
      </c>
      <c r="S228" s="10" t="s">
        <v>146</v>
      </c>
      <c r="T228" s="9"/>
      <c r="U228" s="10" t="s">
        <v>401</v>
      </c>
      <c r="V228" s="10" t="s">
        <v>401</v>
      </c>
      <c r="W228" s="9"/>
      <c r="X228" s="9"/>
      <c r="Y228" s="9">
        <v>2</v>
      </c>
      <c r="Z228" s="14">
        <v>2</v>
      </c>
      <c r="AA228" s="17">
        <v>14.3</v>
      </c>
      <c r="AB228" s="18">
        <v>99</v>
      </c>
      <c r="AC228" s="18">
        <v>16</v>
      </c>
      <c r="AD228" s="9">
        <v>2</v>
      </c>
      <c r="AE228" s="9">
        <v>2</v>
      </c>
      <c r="AF228" s="9">
        <v>1</v>
      </c>
      <c r="AG228" s="9">
        <v>0</v>
      </c>
      <c r="AH228" s="9">
        <v>1</v>
      </c>
      <c r="AI228" s="9">
        <v>1</v>
      </c>
      <c r="AJ228" s="12">
        <v>43046</v>
      </c>
      <c r="AK228" s="9">
        <v>2</v>
      </c>
      <c r="AL228" s="12">
        <v>43235</v>
      </c>
      <c r="AM228" s="9">
        <v>3</v>
      </c>
      <c r="AN228" s="12">
        <v>43109</v>
      </c>
      <c r="AO228" s="12">
        <v>43241</v>
      </c>
      <c r="AP228" s="12">
        <v>43241</v>
      </c>
      <c r="AQ228" s="9">
        <v>1</v>
      </c>
      <c r="AR228" s="9">
        <f t="shared" si="78"/>
        <v>1</v>
      </c>
      <c r="AS228" s="9">
        <v>1</v>
      </c>
      <c r="AT228" s="9">
        <v>2</v>
      </c>
      <c r="AU228" s="9">
        <v>2</v>
      </c>
      <c r="AV228" s="9">
        <f t="shared" si="79"/>
        <v>1</v>
      </c>
      <c r="AW228" s="12">
        <v>43250</v>
      </c>
      <c r="AX228" s="9">
        <v>8650</v>
      </c>
      <c r="AY228" s="9">
        <v>6800</v>
      </c>
      <c r="AZ228" s="9">
        <v>1000</v>
      </c>
      <c r="BA228" s="9">
        <v>6800</v>
      </c>
      <c r="BB228" s="9">
        <v>1000.0001220703125</v>
      </c>
      <c r="BC228" s="9">
        <v>195000</v>
      </c>
      <c r="BD228" s="9">
        <v>800</v>
      </c>
      <c r="BE228" s="9">
        <v>0</v>
      </c>
      <c r="BF228" s="9"/>
      <c r="BG228" s="9">
        <v>7050</v>
      </c>
      <c r="BH228" s="9">
        <v>5200</v>
      </c>
      <c r="BI228" s="9">
        <v>1000</v>
      </c>
      <c r="BJ228" s="9">
        <v>278000</v>
      </c>
      <c r="BK228" s="9">
        <v>800</v>
      </c>
      <c r="BL228" s="9">
        <v>0</v>
      </c>
      <c r="BM228" s="9"/>
      <c r="BN228" s="9">
        <v>5960</v>
      </c>
      <c r="BO228" s="9">
        <v>2900</v>
      </c>
      <c r="BP228" s="9">
        <v>1600</v>
      </c>
      <c r="BQ228" s="9">
        <v>317000</v>
      </c>
      <c r="BR228" s="9">
        <v>1200</v>
      </c>
      <c r="BS228" s="9">
        <v>100</v>
      </c>
      <c r="BT228" s="9"/>
      <c r="BU228" s="9">
        <v>8900</v>
      </c>
      <c r="BV228" s="9">
        <v>5400</v>
      </c>
      <c r="BW228" s="9">
        <v>2200</v>
      </c>
      <c r="BX228" s="9">
        <v>336000</v>
      </c>
      <c r="BY228" s="9">
        <v>1100</v>
      </c>
      <c r="BZ228" s="10" t="s">
        <v>525</v>
      </c>
      <c r="CA228" s="9">
        <v>100</v>
      </c>
      <c r="CB228" s="9"/>
      <c r="CC228" s="10">
        <f t="shared" si="80"/>
        <v>6.7999991699219766</v>
      </c>
      <c r="CD228" s="10">
        <f t="shared" si="81"/>
        <v>194.99997619629198</v>
      </c>
      <c r="CE228" s="10">
        <f t="shared" si="91"/>
        <v>1325999.8381347854</v>
      </c>
      <c r="CF228" s="10">
        <f t="shared" si="73"/>
        <v>1</v>
      </c>
      <c r="CG228" s="10">
        <f t="shared" si="74"/>
        <v>0</v>
      </c>
      <c r="CH228" s="10">
        <f t="shared" si="75"/>
        <v>6</v>
      </c>
      <c r="CI228" s="9">
        <f t="shared" si="82"/>
        <v>1</v>
      </c>
      <c r="CJ228" s="10">
        <f t="shared" si="76"/>
        <v>6</v>
      </c>
      <c r="CK228" s="10" t="b">
        <f t="shared" si="83"/>
        <v>1</v>
      </c>
      <c r="CL228" s="10" t="b">
        <f t="shared" si="84"/>
        <v>0</v>
      </c>
      <c r="CM228" s="10" t="b">
        <f t="shared" si="85"/>
        <v>0</v>
      </c>
      <c r="CN228" s="9">
        <f t="shared" si="86"/>
        <v>1</v>
      </c>
      <c r="CO228" s="10">
        <f t="shared" si="90"/>
        <v>6</v>
      </c>
      <c r="CP228" s="10" t="b">
        <f t="shared" si="87"/>
        <v>1</v>
      </c>
      <c r="CQ228" s="10" t="b">
        <f t="shared" si="88"/>
        <v>0</v>
      </c>
      <c r="CR228" s="10" cm="1">
        <f t="array" ref="CR228">_xlfn.IFS(AND($CI228=0, CK228=FALSE), NA(), AND($CI228=1, CK228=FALSE), 0, CK228=TRUE, 1)</f>
        <v>1</v>
      </c>
      <c r="CS228" s="10" cm="1">
        <f t="array" ref="CS228">_xlfn.IFS(AND($CI228=0, CL228=FALSE), NA(), AND($CI228=1, CL228=FALSE), 0, CL228=TRUE, 1)</f>
        <v>0</v>
      </c>
      <c r="CT228" s="10" cm="1">
        <f t="array" ref="CT228">_xlfn.IFS(AND($CI228=0, CM228=FALSE), NA(), AND($CI228=1, CM228=FALSE), 0, CM228=TRUE, 1)</f>
        <v>0</v>
      </c>
      <c r="CU228" s="10" cm="1">
        <f t="array" ref="CU228">_xlfn.IFS(AND($CN228=0, CP228=FALSE), NA(), AND($CN228=1, CP228=FALSE), 0, CP228=TRUE, 1)</f>
        <v>1</v>
      </c>
      <c r="CV228" s="10" cm="1">
        <f t="array" ref="CV228">_xlfn.IFS(AND($CN228=0, CQ228=FALSE), NA(), AND($CN228=1, CQ228=FALSE), 0, CQ228=TRUE, 1)</f>
        <v>0</v>
      </c>
    </row>
    <row r="229" spans="1:100" ht="15.75" x14ac:dyDescent="0.25">
      <c r="A229" s="8">
        <v>228</v>
      </c>
      <c r="B229" s="9">
        <v>439</v>
      </c>
      <c r="C229" s="10" t="s">
        <v>30</v>
      </c>
      <c r="D229" s="11" t="s">
        <v>49</v>
      </c>
      <c r="E229" s="12">
        <v>23030</v>
      </c>
      <c r="F229" s="13">
        <v>2</v>
      </c>
      <c r="G229" s="9">
        <v>50.242298126220703</v>
      </c>
      <c r="H229" s="12">
        <v>41381</v>
      </c>
      <c r="I229" s="9">
        <v>1</v>
      </c>
      <c r="J229" s="12">
        <v>41443</v>
      </c>
      <c r="K229" s="9">
        <v>1</v>
      </c>
      <c r="L229" s="9">
        <v>1</v>
      </c>
      <c r="M229" s="10" t="s">
        <v>401</v>
      </c>
      <c r="N229" s="9">
        <v>2</v>
      </c>
      <c r="O229" s="10" t="s">
        <v>423</v>
      </c>
      <c r="P229" s="9">
        <v>2</v>
      </c>
      <c r="Q229" s="10" t="s">
        <v>145</v>
      </c>
      <c r="R229" s="12">
        <v>41381</v>
      </c>
      <c r="S229" s="10" t="s">
        <v>145</v>
      </c>
      <c r="T229" s="9">
        <v>5</v>
      </c>
      <c r="U229" s="10" t="s">
        <v>401</v>
      </c>
      <c r="V229" s="10" t="s">
        <v>401</v>
      </c>
      <c r="W229" s="9"/>
      <c r="X229" s="9"/>
      <c r="Y229" s="9">
        <v>3</v>
      </c>
      <c r="Z229" s="14">
        <v>1</v>
      </c>
      <c r="AA229" s="15">
        <v>11.1</v>
      </c>
      <c r="AB229" s="16">
        <v>98</v>
      </c>
      <c r="AC229" s="16">
        <v>8</v>
      </c>
      <c r="AD229" s="9">
        <v>2</v>
      </c>
      <c r="AE229" s="9">
        <v>2</v>
      </c>
      <c r="AF229" s="9">
        <v>1</v>
      </c>
      <c r="AG229" s="9">
        <v>1</v>
      </c>
      <c r="AH229" s="9">
        <v>1</v>
      </c>
      <c r="AI229" s="9">
        <v>0</v>
      </c>
      <c r="AJ229" s="12">
        <v>43024</v>
      </c>
      <c r="AK229" s="9">
        <v>2</v>
      </c>
      <c r="AL229" s="12">
        <v>43292</v>
      </c>
      <c r="AM229" s="9">
        <v>4</v>
      </c>
      <c r="AN229" s="12">
        <v>43108</v>
      </c>
      <c r="AO229" s="12">
        <v>43108</v>
      </c>
      <c r="AP229" s="12">
        <v>43308</v>
      </c>
      <c r="AQ229" s="9">
        <v>1</v>
      </c>
      <c r="AR229" s="9">
        <f t="shared" si="78"/>
        <v>1</v>
      </c>
      <c r="AS229" s="9">
        <v>1</v>
      </c>
      <c r="AT229" s="9">
        <v>1</v>
      </c>
      <c r="AU229" s="9">
        <v>2</v>
      </c>
      <c r="AV229" s="9">
        <f t="shared" si="79"/>
        <v>1</v>
      </c>
      <c r="AW229" s="12">
        <v>44069</v>
      </c>
      <c r="AX229" s="9">
        <v>5400</v>
      </c>
      <c r="AY229" s="9">
        <v>2840</v>
      </c>
      <c r="AZ229" s="9">
        <v>1720</v>
      </c>
      <c r="BA229" s="9">
        <v>2840</v>
      </c>
      <c r="BB229" s="9">
        <v>1719.999755859375</v>
      </c>
      <c r="BC229" s="9">
        <v>280000</v>
      </c>
      <c r="BD229" s="9">
        <v>360</v>
      </c>
      <c r="BE229" s="9">
        <v>100</v>
      </c>
      <c r="BF229" s="9">
        <v>230</v>
      </c>
      <c r="BG229" s="9">
        <v>3670</v>
      </c>
      <c r="BH229" s="9">
        <v>2250</v>
      </c>
      <c r="BI229" s="9">
        <v>1000</v>
      </c>
      <c r="BJ229" s="9">
        <v>238000</v>
      </c>
      <c r="BK229" s="9">
        <v>340</v>
      </c>
      <c r="BL229" s="9">
        <v>70</v>
      </c>
      <c r="BM229" s="9"/>
      <c r="BN229" s="9">
        <v>4420</v>
      </c>
      <c r="BO229" s="9">
        <v>2670</v>
      </c>
      <c r="BP229" s="9">
        <v>1160</v>
      </c>
      <c r="BQ229" s="9">
        <v>241000</v>
      </c>
      <c r="BR229" s="9">
        <v>460</v>
      </c>
      <c r="BS229" s="9">
        <v>110</v>
      </c>
      <c r="BT229" s="9">
        <v>198</v>
      </c>
      <c r="BU229" s="9">
        <v>3590</v>
      </c>
      <c r="BV229" s="9">
        <v>1900</v>
      </c>
      <c r="BW229" s="9">
        <v>1150</v>
      </c>
      <c r="BX229" s="9">
        <v>213000</v>
      </c>
      <c r="BY229" s="9">
        <v>370</v>
      </c>
      <c r="BZ229" s="10" t="s">
        <v>530</v>
      </c>
      <c r="CA229" s="9">
        <v>140</v>
      </c>
      <c r="CB229" s="9">
        <v>200</v>
      </c>
      <c r="CC229" s="10">
        <f t="shared" si="80"/>
        <v>1.6511630250674261</v>
      </c>
      <c r="CD229" s="10">
        <f t="shared" si="81"/>
        <v>162.79072078129553</v>
      </c>
      <c r="CE229" s="10">
        <f t="shared" si="91"/>
        <v>462325.6470188793</v>
      </c>
      <c r="CF229" s="10">
        <f t="shared" si="73"/>
        <v>0</v>
      </c>
      <c r="CG229" s="10">
        <f t="shared" si="74"/>
        <v>0</v>
      </c>
      <c r="CH229" s="10">
        <f t="shared" si="75"/>
        <v>9</v>
      </c>
      <c r="CI229" s="9">
        <f t="shared" si="82"/>
        <v>1</v>
      </c>
      <c r="CJ229" s="10">
        <f t="shared" si="76"/>
        <v>34</v>
      </c>
      <c r="CK229" s="10" t="b">
        <f t="shared" si="83"/>
        <v>1</v>
      </c>
      <c r="CL229" s="10" t="b">
        <f t="shared" si="84"/>
        <v>1</v>
      </c>
      <c r="CM229" s="10" t="b">
        <f t="shared" si="85"/>
        <v>1</v>
      </c>
      <c r="CN229" s="9">
        <f t="shared" si="86"/>
        <v>1</v>
      </c>
      <c r="CO229" s="10">
        <f t="shared" si="90"/>
        <v>3</v>
      </c>
      <c r="CP229" s="10" t="b">
        <f t="shared" si="87"/>
        <v>1</v>
      </c>
      <c r="CQ229" s="10" t="b">
        <f t="shared" si="88"/>
        <v>0</v>
      </c>
      <c r="CR229" s="10" cm="1">
        <f t="array" ref="CR229">_xlfn.IFS(AND($CI229=0, CK229=FALSE), NA(), AND($CI229=1, CK229=FALSE), 0, CK229=TRUE, 1)</f>
        <v>1</v>
      </c>
      <c r="CS229" s="10" cm="1">
        <f t="array" ref="CS229">_xlfn.IFS(AND($CI229=0, CL229=FALSE), NA(), AND($CI229=1, CL229=FALSE), 0, CL229=TRUE, 1)</f>
        <v>1</v>
      </c>
      <c r="CT229" s="10" cm="1">
        <f t="array" ref="CT229">_xlfn.IFS(AND($CI229=0, CM229=FALSE), NA(), AND($CI229=1, CM229=FALSE), 0, CM229=TRUE, 1)</f>
        <v>1</v>
      </c>
      <c r="CU229" s="10" cm="1">
        <f t="array" ref="CU229">_xlfn.IFS(AND($CN229=0, CP229=FALSE), NA(), AND($CN229=1, CP229=FALSE), 0, CP229=TRUE, 1)</f>
        <v>1</v>
      </c>
      <c r="CV229" s="10" cm="1">
        <f t="array" ref="CV229">_xlfn.IFS(AND($CN229=0, CQ229=FALSE), NA(), AND($CN229=1, CQ229=FALSE), 0, CQ229=TRUE, 1)</f>
        <v>0</v>
      </c>
    </row>
    <row r="230" spans="1:100" ht="15.75" x14ac:dyDescent="0.25">
      <c r="A230" s="8">
        <v>229</v>
      </c>
      <c r="B230" s="9">
        <v>276</v>
      </c>
      <c r="C230" s="10" t="s">
        <v>21</v>
      </c>
      <c r="D230" s="11" t="s">
        <v>246</v>
      </c>
      <c r="E230" s="12">
        <v>16815</v>
      </c>
      <c r="F230" s="13">
        <v>1</v>
      </c>
      <c r="G230" s="9">
        <v>67.299110412597656</v>
      </c>
      <c r="H230" s="12">
        <v>41396</v>
      </c>
      <c r="I230" s="9">
        <v>1</v>
      </c>
      <c r="J230" s="12">
        <v>41418</v>
      </c>
      <c r="K230" s="9">
        <v>0</v>
      </c>
      <c r="L230" s="9">
        <v>1</v>
      </c>
      <c r="M230" s="10" t="s">
        <v>401</v>
      </c>
      <c r="N230" s="9">
        <v>1</v>
      </c>
      <c r="O230" s="10" t="s">
        <v>401</v>
      </c>
      <c r="P230" s="9">
        <v>1</v>
      </c>
      <c r="Q230" s="10" t="s">
        <v>401</v>
      </c>
      <c r="R230" s="12">
        <v>41788</v>
      </c>
      <c r="S230" s="10" t="s">
        <v>146</v>
      </c>
      <c r="T230" s="9"/>
      <c r="U230" s="10" t="s">
        <v>401</v>
      </c>
      <c r="V230" s="10" t="s">
        <v>401</v>
      </c>
      <c r="W230" s="9"/>
      <c r="X230" s="9"/>
      <c r="Y230" s="9">
        <v>2</v>
      </c>
      <c r="Z230" s="14">
        <v>2</v>
      </c>
      <c r="AA230" s="15">
        <v>10.8</v>
      </c>
      <c r="AB230" s="16">
        <v>92</v>
      </c>
      <c r="AC230" s="16">
        <v>15</v>
      </c>
      <c r="AD230" s="9">
        <v>2</v>
      </c>
      <c r="AE230" s="9">
        <v>2</v>
      </c>
      <c r="AF230" s="9">
        <v>1</v>
      </c>
      <c r="AG230" s="9">
        <v>0</v>
      </c>
      <c r="AH230" s="9">
        <v>1</v>
      </c>
      <c r="AI230" s="9">
        <v>0</v>
      </c>
      <c r="AJ230" s="12">
        <v>42495</v>
      </c>
      <c r="AK230" s="9">
        <v>1</v>
      </c>
      <c r="AL230" s="12">
        <v>44935</v>
      </c>
      <c r="AM230" s="9">
        <v>2</v>
      </c>
      <c r="AN230" s="12">
        <v>42761</v>
      </c>
      <c r="AO230" s="12"/>
      <c r="AP230" s="12"/>
      <c r="AQ230" s="9">
        <v>2</v>
      </c>
      <c r="AR230" s="9">
        <f t="shared" si="78"/>
        <v>0</v>
      </c>
      <c r="AS230" s="9">
        <v>2</v>
      </c>
      <c r="AT230" s="9"/>
      <c r="AU230" s="9">
        <v>1</v>
      </c>
      <c r="AV230" s="9">
        <f t="shared" si="79"/>
        <v>0</v>
      </c>
      <c r="AW230" s="12">
        <v>44935</v>
      </c>
      <c r="AX230" s="9">
        <v>5350</v>
      </c>
      <c r="AY230" s="9">
        <v>3850</v>
      </c>
      <c r="AZ230" s="9">
        <v>1500</v>
      </c>
      <c r="BA230" s="9">
        <v>3850</v>
      </c>
      <c r="BB230" s="9">
        <v>1500.0001220703125</v>
      </c>
      <c r="BC230" s="9">
        <v>240000</v>
      </c>
      <c r="BD230" s="9">
        <v>1030</v>
      </c>
      <c r="BE230" s="9">
        <v>80</v>
      </c>
      <c r="BF230" s="9">
        <v>155</v>
      </c>
      <c r="BG230" s="9">
        <v>12370</v>
      </c>
      <c r="BH230" s="9">
        <v>8500</v>
      </c>
      <c r="BI230" s="9">
        <v>2360</v>
      </c>
      <c r="BJ230" s="9">
        <v>317000</v>
      </c>
      <c r="BK230" s="9">
        <v>1430</v>
      </c>
      <c r="BL230" s="9">
        <v>70</v>
      </c>
      <c r="BM230" s="9">
        <v>134</v>
      </c>
      <c r="BN230" s="9">
        <v>5350</v>
      </c>
      <c r="BO230" s="9">
        <v>3080</v>
      </c>
      <c r="BP230" s="9">
        <v>1510</v>
      </c>
      <c r="BQ230" s="9">
        <v>171000</v>
      </c>
      <c r="BR230" s="9">
        <v>540</v>
      </c>
      <c r="BS230" s="9">
        <v>210</v>
      </c>
      <c r="BT230" s="9">
        <v>135</v>
      </c>
      <c r="BU230" s="9">
        <v>6380</v>
      </c>
      <c r="BV230" s="9">
        <v>2920</v>
      </c>
      <c r="BW230" s="9">
        <v>1940</v>
      </c>
      <c r="BX230" s="9">
        <v>175000</v>
      </c>
      <c r="BY230" s="9">
        <v>950</v>
      </c>
      <c r="BZ230" s="10" t="s">
        <v>571</v>
      </c>
      <c r="CA230" s="9">
        <v>560</v>
      </c>
      <c r="CB230" s="9">
        <v>143</v>
      </c>
      <c r="CC230" s="10">
        <f t="shared" si="80"/>
        <v>2.5666664577908156</v>
      </c>
      <c r="CD230" s="10">
        <f t="shared" si="81"/>
        <v>159.99998697916772</v>
      </c>
      <c r="CE230" s="10">
        <f t="shared" si="91"/>
        <v>615999.9498697957</v>
      </c>
      <c r="CF230" s="10">
        <f t="shared" si="73"/>
        <v>1</v>
      </c>
      <c r="CG230" s="10">
        <f t="shared" si="74"/>
        <v>1</v>
      </c>
      <c r="CH230" s="10">
        <f t="shared" si="75"/>
        <v>80</v>
      </c>
      <c r="CI230" s="9">
        <f t="shared" si="82"/>
        <v>0</v>
      </c>
      <c r="CJ230" s="10">
        <f t="shared" si="76"/>
        <v>80</v>
      </c>
      <c r="CK230" s="10" t="b">
        <f t="shared" si="83"/>
        <v>1</v>
      </c>
      <c r="CL230" s="10" t="b">
        <f t="shared" si="84"/>
        <v>1</v>
      </c>
      <c r="CM230" s="10" t="b">
        <f t="shared" si="85"/>
        <v>1</v>
      </c>
      <c r="CN230" s="9">
        <f t="shared" si="86"/>
        <v>0</v>
      </c>
      <c r="CO230" s="10">
        <f>CJ230</f>
        <v>80</v>
      </c>
      <c r="CP230" s="10" t="b">
        <f t="shared" si="87"/>
        <v>1</v>
      </c>
      <c r="CQ230" s="10" t="b">
        <f t="shared" si="88"/>
        <v>1</v>
      </c>
      <c r="CR230" s="10" cm="1">
        <f t="array" ref="CR230">_xlfn.IFS(AND($CI230=0, CK230=FALSE), NA(), AND($CI230=1, CK230=FALSE), 0, CK230=TRUE, 1)</f>
        <v>1</v>
      </c>
      <c r="CS230" s="10" cm="1">
        <f t="array" ref="CS230">_xlfn.IFS(AND($CI230=0, CL230=FALSE), NA(), AND($CI230=1, CL230=FALSE), 0, CL230=TRUE, 1)</f>
        <v>1</v>
      </c>
      <c r="CT230" s="10" cm="1">
        <f t="array" ref="CT230">_xlfn.IFS(AND($CI230=0, CM230=FALSE), NA(), AND($CI230=1, CM230=FALSE), 0, CM230=TRUE, 1)</f>
        <v>1</v>
      </c>
      <c r="CU230" s="10" cm="1">
        <f t="array" ref="CU230">_xlfn.IFS(AND($CN230=0, CP230=FALSE), NA(), AND($CN230=1, CP230=FALSE), 0, CP230=TRUE, 1)</f>
        <v>1</v>
      </c>
      <c r="CV230" s="10" cm="1">
        <f t="array" ref="CV230">_xlfn.IFS(AND($CN230=0, CQ230=FALSE), NA(), AND($CN230=1, CQ230=FALSE), 0, CQ230=TRUE, 1)</f>
        <v>1</v>
      </c>
    </row>
    <row r="231" spans="1:100" x14ac:dyDescent="0.25">
      <c r="A231" s="8">
        <v>230</v>
      </c>
      <c r="B231" s="9">
        <v>95</v>
      </c>
      <c r="C231" s="10" t="s">
        <v>10</v>
      </c>
      <c r="D231" s="11" t="s">
        <v>122</v>
      </c>
      <c r="E231" s="12">
        <v>13472</v>
      </c>
      <c r="F231" s="13">
        <v>1</v>
      </c>
      <c r="G231" s="9">
        <v>76.468170166015625</v>
      </c>
      <c r="H231" s="12">
        <v>41402</v>
      </c>
      <c r="I231" s="9">
        <v>1</v>
      </c>
      <c r="J231" s="12">
        <v>41402</v>
      </c>
      <c r="K231" s="9">
        <v>0</v>
      </c>
      <c r="L231" s="9">
        <v>1</v>
      </c>
      <c r="M231" s="10" t="s">
        <v>401</v>
      </c>
      <c r="N231" s="9">
        <v>2</v>
      </c>
      <c r="O231" s="10" t="s">
        <v>418</v>
      </c>
      <c r="P231" s="9">
        <v>2</v>
      </c>
      <c r="Q231" s="10" t="s">
        <v>418</v>
      </c>
      <c r="R231" s="12">
        <v>41609</v>
      </c>
      <c r="S231" s="10" t="s">
        <v>146</v>
      </c>
      <c r="T231" s="9"/>
      <c r="U231" s="10" t="s">
        <v>401</v>
      </c>
      <c r="V231" s="10" t="s">
        <v>401</v>
      </c>
      <c r="W231" s="9"/>
      <c r="X231" s="9"/>
      <c r="Y231" s="9">
        <v>2</v>
      </c>
      <c r="Z231" s="19">
        <v>2</v>
      </c>
      <c r="AB231" s="9"/>
      <c r="AC231" s="9"/>
      <c r="AD231" s="9">
        <v>2</v>
      </c>
      <c r="AE231" s="9">
        <v>2</v>
      </c>
      <c r="AF231" s="9">
        <v>1</v>
      </c>
      <c r="AG231" s="9">
        <v>1</v>
      </c>
      <c r="AH231" s="9">
        <v>1</v>
      </c>
      <c r="AI231" s="9">
        <v>1</v>
      </c>
      <c r="AJ231" s="12">
        <v>42768</v>
      </c>
      <c r="AK231" s="9">
        <v>2</v>
      </c>
      <c r="AL231" s="12">
        <v>43468</v>
      </c>
      <c r="AM231" s="9">
        <v>2</v>
      </c>
      <c r="AN231" s="12">
        <v>42852</v>
      </c>
      <c r="AO231" s="12">
        <v>43461</v>
      </c>
      <c r="AP231" s="12">
        <v>43461</v>
      </c>
      <c r="AQ231" s="9">
        <v>1</v>
      </c>
      <c r="AR231" s="9">
        <f t="shared" si="78"/>
        <v>1</v>
      </c>
      <c r="AS231" s="9">
        <v>1</v>
      </c>
      <c r="AT231" s="9">
        <v>2</v>
      </c>
      <c r="AU231" s="9">
        <v>1</v>
      </c>
      <c r="AV231" s="9">
        <f t="shared" si="79"/>
        <v>0</v>
      </c>
      <c r="AW231" s="12">
        <v>43943</v>
      </c>
      <c r="AX231" s="9">
        <v>4100</v>
      </c>
      <c r="AY231" s="9">
        <v>2680</v>
      </c>
      <c r="AZ231" s="9">
        <v>750</v>
      </c>
      <c r="BA231" s="9">
        <v>2680</v>
      </c>
      <c r="BB231" s="9">
        <v>750.00006103515625</v>
      </c>
      <c r="BC231" s="9">
        <v>197000</v>
      </c>
      <c r="BD231" s="9">
        <v>350</v>
      </c>
      <c r="BE231" s="9">
        <v>260</v>
      </c>
      <c r="BF231" s="9"/>
      <c r="BG231" s="9">
        <v>3900</v>
      </c>
      <c r="BH231" s="9">
        <v>2210</v>
      </c>
      <c r="BI231" s="9">
        <v>760</v>
      </c>
      <c r="BJ231" s="9">
        <v>190000</v>
      </c>
      <c r="BK231" s="9">
        <v>420</v>
      </c>
      <c r="BL231" s="9">
        <v>510</v>
      </c>
      <c r="BM231" s="9"/>
      <c r="BN231" s="9">
        <v>3500</v>
      </c>
      <c r="BO231" s="9">
        <v>2050</v>
      </c>
      <c r="BP231" s="9">
        <v>870</v>
      </c>
      <c r="BQ231" s="9">
        <v>225000</v>
      </c>
      <c r="BR231" s="9">
        <v>370</v>
      </c>
      <c r="BS231" s="9">
        <v>190</v>
      </c>
      <c r="BT231" s="9"/>
      <c r="BU231" s="9">
        <v>4400</v>
      </c>
      <c r="BV231" s="9">
        <v>3140</v>
      </c>
      <c r="BW231" s="9">
        <v>810</v>
      </c>
      <c r="BX231" s="9">
        <v>163000</v>
      </c>
      <c r="BY231" s="9">
        <v>350</v>
      </c>
      <c r="BZ231" s="10" t="s">
        <v>532</v>
      </c>
      <c r="CA231" s="9">
        <v>90</v>
      </c>
      <c r="CB231" s="9"/>
      <c r="CC231" s="10">
        <f t="shared" si="80"/>
        <v>3.5733330425347458</v>
      </c>
      <c r="CD231" s="10">
        <f t="shared" si="81"/>
        <v>262.66664529080037</v>
      </c>
      <c r="CE231" s="10">
        <f t="shared" si="91"/>
        <v>703946.60937934497</v>
      </c>
      <c r="CF231" s="10">
        <f t="shared" si="73"/>
        <v>1</v>
      </c>
      <c r="CG231" s="10">
        <f t="shared" si="74"/>
        <v>1</v>
      </c>
      <c r="CH231" s="10">
        <f t="shared" si="75"/>
        <v>23</v>
      </c>
      <c r="CI231" s="9">
        <f t="shared" si="82"/>
        <v>0</v>
      </c>
      <c r="CJ231" s="10">
        <f t="shared" si="76"/>
        <v>38</v>
      </c>
      <c r="CK231" s="10" t="b">
        <f t="shared" si="83"/>
        <v>1</v>
      </c>
      <c r="CL231" s="10" t="b">
        <f t="shared" si="84"/>
        <v>1</v>
      </c>
      <c r="CM231" s="10" t="b">
        <f t="shared" si="85"/>
        <v>1</v>
      </c>
      <c r="CN231" s="9">
        <f t="shared" si="86"/>
        <v>1</v>
      </c>
      <c r="CO231" s="10">
        <f t="shared" ref="CO231:CO249" si="92">(YEAR(AO231)-YEAR(AJ231))*12+MONTH(AO231)-MONTH(AJ231)</f>
        <v>22</v>
      </c>
      <c r="CP231" s="10" t="b">
        <f t="shared" si="87"/>
        <v>1</v>
      </c>
      <c r="CQ231" s="10" t="b">
        <f t="shared" si="88"/>
        <v>1</v>
      </c>
      <c r="CR231" s="10" cm="1">
        <f t="array" ref="CR231">_xlfn.IFS(AND($CI231=0, CK231=FALSE), NA(), AND($CI231=1, CK231=FALSE), 0, CK231=TRUE, 1)</f>
        <v>1</v>
      </c>
      <c r="CS231" s="10" cm="1">
        <f t="array" ref="CS231">_xlfn.IFS(AND($CI231=0, CL231=FALSE), NA(), AND($CI231=1, CL231=FALSE), 0, CL231=TRUE, 1)</f>
        <v>1</v>
      </c>
      <c r="CT231" s="10" cm="1">
        <f t="array" ref="CT231">_xlfn.IFS(AND($CI231=0, CM231=FALSE), NA(), AND($CI231=1, CM231=FALSE), 0, CM231=TRUE, 1)</f>
        <v>1</v>
      </c>
      <c r="CU231" s="10" cm="1">
        <f t="array" ref="CU231">_xlfn.IFS(AND($CN231=0, CP231=FALSE), NA(), AND($CN231=1, CP231=FALSE), 0, CP231=TRUE, 1)</f>
        <v>1</v>
      </c>
      <c r="CV231" s="10" cm="1">
        <f t="array" ref="CV231">_xlfn.IFS(AND($CN231=0, CQ231=FALSE), NA(), AND($CN231=1, CQ231=FALSE), 0, CQ231=TRUE, 1)</f>
        <v>1</v>
      </c>
    </row>
    <row r="232" spans="1:100" ht="15.75" x14ac:dyDescent="0.25">
      <c r="A232" s="8">
        <v>231</v>
      </c>
      <c r="B232" s="9">
        <v>251</v>
      </c>
      <c r="C232" s="10" t="s">
        <v>20</v>
      </c>
      <c r="D232" s="11" t="s">
        <v>237</v>
      </c>
      <c r="E232" s="12">
        <v>12250</v>
      </c>
      <c r="F232" s="13">
        <v>1</v>
      </c>
      <c r="G232" s="9">
        <v>79.832992553710938</v>
      </c>
      <c r="H232" s="12">
        <v>41409</v>
      </c>
      <c r="I232" s="9">
        <v>1</v>
      </c>
      <c r="J232" s="12">
        <v>41409</v>
      </c>
      <c r="K232" s="9">
        <v>0</v>
      </c>
      <c r="L232" s="9">
        <v>1</v>
      </c>
      <c r="M232" s="10" t="s">
        <v>401</v>
      </c>
      <c r="N232" s="9">
        <v>2</v>
      </c>
      <c r="O232" s="10" t="s">
        <v>146</v>
      </c>
      <c r="P232" s="9">
        <v>2</v>
      </c>
      <c r="Q232" s="10" t="s">
        <v>146</v>
      </c>
      <c r="R232" s="12">
        <v>41774</v>
      </c>
      <c r="S232" s="10" t="s">
        <v>145</v>
      </c>
      <c r="T232" s="9"/>
      <c r="U232" s="10" t="s">
        <v>401</v>
      </c>
      <c r="V232" s="10" t="s">
        <v>401</v>
      </c>
      <c r="W232" s="9"/>
      <c r="X232" s="9"/>
      <c r="Y232" s="9">
        <v>2</v>
      </c>
      <c r="Z232" s="14">
        <v>1</v>
      </c>
      <c r="AB232" s="9"/>
      <c r="AC232" s="9"/>
      <c r="AD232" s="9">
        <v>2</v>
      </c>
      <c r="AE232" s="9">
        <v>2</v>
      </c>
      <c r="AF232" s="9">
        <v>1</v>
      </c>
      <c r="AG232" s="9">
        <v>1</v>
      </c>
      <c r="AH232" s="9">
        <v>0</v>
      </c>
      <c r="AI232" s="9">
        <v>0</v>
      </c>
      <c r="AJ232" s="12">
        <v>42818</v>
      </c>
      <c r="AK232" s="9">
        <v>2</v>
      </c>
      <c r="AL232" s="12">
        <v>42942</v>
      </c>
      <c r="AM232" s="9">
        <v>4</v>
      </c>
      <c r="AN232" s="12">
        <v>42993</v>
      </c>
      <c r="AO232" s="12">
        <v>42993</v>
      </c>
      <c r="AP232" s="12">
        <v>42993</v>
      </c>
      <c r="AQ232" s="9">
        <v>1</v>
      </c>
      <c r="AR232" s="9">
        <f t="shared" si="78"/>
        <v>1</v>
      </c>
      <c r="AS232" s="9">
        <v>1</v>
      </c>
      <c r="AT232" s="9">
        <v>2</v>
      </c>
      <c r="AU232" s="9">
        <v>2</v>
      </c>
      <c r="AV232" s="9">
        <f t="shared" si="79"/>
        <v>1</v>
      </c>
      <c r="AW232" s="12">
        <v>43037</v>
      </c>
      <c r="AX232" s="9">
        <v>7150</v>
      </c>
      <c r="AY232" s="9">
        <v>5505</v>
      </c>
      <c r="AZ232" s="9"/>
      <c r="BA232" s="9">
        <v>5505</v>
      </c>
      <c r="BB232" s="9">
        <v>1097.875732421875</v>
      </c>
      <c r="BC232" s="9">
        <v>197000</v>
      </c>
      <c r="BD232" s="9"/>
      <c r="BE232" s="9"/>
      <c r="BF232" s="9"/>
      <c r="BG232" s="9">
        <v>10200</v>
      </c>
      <c r="BH232" s="9">
        <v>8364</v>
      </c>
      <c r="BI232" s="9"/>
      <c r="BJ232" s="9">
        <v>373000</v>
      </c>
      <c r="BK232" s="9"/>
      <c r="BL232" s="9"/>
      <c r="BM232" s="9"/>
      <c r="BN232" s="9">
        <v>12020</v>
      </c>
      <c r="BO232" s="9">
        <v>9976</v>
      </c>
      <c r="BP232" s="9"/>
      <c r="BQ232" s="9">
        <v>298000</v>
      </c>
      <c r="BR232" s="9"/>
      <c r="BS232" s="9"/>
      <c r="BT232" s="9"/>
      <c r="BU232" s="9"/>
      <c r="BV232" s="9"/>
      <c r="BW232" s="9"/>
      <c r="BX232" s="9"/>
      <c r="BY232" s="9"/>
      <c r="BZ232" s="10" t="s">
        <v>401</v>
      </c>
      <c r="CA232" s="9"/>
      <c r="CB232" s="9"/>
      <c r="CC232" s="10">
        <f t="shared" si="80"/>
        <v>5.0142286940400487</v>
      </c>
      <c r="CD232" s="10">
        <f t="shared" si="81"/>
        <v>179.43743010461208</v>
      </c>
      <c r="CE232" s="10">
        <f t="shared" si="91"/>
        <v>987803.0527258896</v>
      </c>
      <c r="CF232" s="10">
        <f t="shared" si="73"/>
        <v>0</v>
      </c>
      <c r="CG232" s="10">
        <f t="shared" si="74"/>
        <v>0</v>
      </c>
      <c r="CH232" s="10">
        <f t="shared" si="75"/>
        <v>4</v>
      </c>
      <c r="CI232" s="9">
        <f t="shared" si="82"/>
        <v>1</v>
      </c>
      <c r="CJ232" s="10">
        <f t="shared" si="76"/>
        <v>7</v>
      </c>
      <c r="CK232" s="10" t="b">
        <f t="shared" si="83"/>
        <v>1</v>
      </c>
      <c r="CL232" s="10" t="b">
        <f t="shared" si="84"/>
        <v>0</v>
      </c>
      <c r="CM232" s="10" t="b">
        <f t="shared" si="85"/>
        <v>0</v>
      </c>
      <c r="CN232" s="9">
        <f t="shared" si="86"/>
        <v>1</v>
      </c>
      <c r="CO232" s="10">
        <f t="shared" si="92"/>
        <v>6</v>
      </c>
      <c r="CP232" s="10" t="b">
        <f t="shared" si="87"/>
        <v>1</v>
      </c>
      <c r="CQ232" s="10" t="b">
        <f t="shared" si="88"/>
        <v>0</v>
      </c>
      <c r="CR232" s="10" cm="1">
        <f t="array" ref="CR232">_xlfn.IFS(AND($CI232=0, CK232=FALSE), NA(), AND($CI232=1, CK232=FALSE), 0, CK232=TRUE, 1)</f>
        <v>1</v>
      </c>
      <c r="CS232" s="10" cm="1">
        <f t="array" ref="CS232">_xlfn.IFS(AND($CI232=0, CL232=FALSE), NA(), AND($CI232=1, CL232=FALSE), 0, CL232=TRUE, 1)</f>
        <v>0</v>
      </c>
      <c r="CT232" s="10" cm="1">
        <f t="array" ref="CT232">_xlfn.IFS(AND($CI232=0, CM232=FALSE), NA(), AND($CI232=1, CM232=FALSE), 0, CM232=TRUE, 1)</f>
        <v>0</v>
      </c>
      <c r="CU232" s="10" cm="1">
        <f t="array" ref="CU232">_xlfn.IFS(AND($CN232=0, CP232=FALSE), NA(), AND($CN232=1, CP232=FALSE), 0, CP232=TRUE, 1)</f>
        <v>1</v>
      </c>
      <c r="CV232" s="10" cm="1">
        <f t="array" ref="CV232">_xlfn.IFS(AND($CN232=0, CQ232=FALSE), NA(), AND($CN232=1, CQ232=FALSE), 0, CQ232=TRUE, 1)</f>
        <v>0</v>
      </c>
    </row>
    <row r="233" spans="1:100" ht="15.75" x14ac:dyDescent="0.25">
      <c r="A233" s="8">
        <v>232</v>
      </c>
      <c r="B233" s="9">
        <v>282</v>
      </c>
      <c r="C233" s="10" t="s">
        <v>21</v>
      </c>
      <c r="D233" s="11" t="s">
        <v>249</v>
      </c>
      <c r="E233" s="12">
        <v>20938</v>
      </c>
      <c r="F233" s="13">
        <v>1</v>
      </c>
      <c r="G233" s="9">
        <v>56.068447113037109</v>
      </c>
      <c r="H233" s="12">
        <v>41417</v>
      </c>
      <c r="I233" s="9">
        <v>1</v>
      </c>
      <c r="J233" s="12">
        <v>41486</v>
      </c>
      <c r="K233" s="9">
        <v>1</v>
      </c>
      <c r="L233" s="9">
        <v>1</v>
      </c>
      <c r="M233" s="10" t="s">
        <v>401</v>
      </c>
      <c r="N233" s="9">
        <v>2</v>
      </c>
      <c r="O233" s="10" t="s">
        <v>145</v>
      </c>
      <c r="P233" s="9">
        <v>2</v>
      </c>
      <c r="Q233" s="10" t="s">
        <v>145</v>
      </c>
      <c r="R233" s="12">
        <v>41417</v>
      </c>
      <c r="S233" s="10" t="s">
        <v>145</v>
      </c>
      <c r="T233" s="9">
        <v>5</v>
      </c>
      <c r="U233" s="10" t="s">
        <v>150</v>
      </c>
      <c r="V233" s="10" t="s">
        <v>401</v>
      </c>
      <c r="W233" s="9"/>
      <c r="X233" s="9"/>
      <c r="Y233" s="9">
        <v>4</v>
      </c>
      <c r="Z233" s="14">
        <v>1</v>
      </c>
      <c r="AA233" s="15">
        <v>8.9</v>
      </c>
      <c r="AB233" s="16">
        <v>80</v>
      </c>
      <c r="AC233" s="16">
        <v>21</v>
      </c>
      <c r="AD233" s="9">
        <v>3</v>
      </c>
      <c r="AE233" s="9">
        <v>3</v>
      </c>
      <c r="AF233" s="9">
        <v>1</v>
      </c>
      <c r="AG233" s="9">
        <v>1</v>
      </c>
      <c r="AH233" s="9">
        <v>1</v>
      </c>
      <c r="AI233" s="9">
        <v>0</v>
      </c>
      <c r="AJ233" s="12">
        <v>42373</v>
      </c>
      <c r="AK233" s="9">
        <v>2</v>
      </c>
      <c r="AL233" s="12">
        <v>42401</v>
      </c>
      <c r="AM233" s="9">
        <v>4</v>
      </c>
      <c r="AN233" s="12">
        <v>42434</v>
      </c>
      <c r="AO233" s="12">
        <v>42434</v>
      </c>
      <c r="AP233" s="12">
        <v>42434</v>
      </c>
      <c r="AQ233" s="9">
        <v>1</v>
      </c>
      <c r="AR233" s="9">
        <f t="shared" si="78"/>
        <v>1</v>
      </c>
      <c r="AS233" s="9">
        <v>1</v>
      </c>
      <c r="AT233" s="9">
        <v>2</v>
      </c>
      <c r="AU233" s="9">
        <v>2</v>
      </c>
      <c r="AV233" s="9">
        <f t="shared" si="79"/>
        <v>1</v>
      </c>
      <c r="AW233" s="12">
        <v>42434</v>
      </c>
      <c r="AX233" s="9">
        <v>7310</v>
      </c>
      <c r="AY233" s="9">
        <v>4910</v>
      </c>
      <c r="AZ233" s="9">
        <v>1130</v>
      </c>
      <c r="BA233" s="9">
        <v>4910</v>
      </c>
      <c r="BB233" s="9">
        <v>1130.0001220703125</v>
      </c>
      <c r="BC233" s="9">
        <v>332000</v>
      </c>
      <c r="BD233" s="9">
        <v>1230</v>
      </c>
      <c r="BE233" s="9">
        <v>30</v>
      </c>
      <c r="BF233" s="9"/>
      <c r="BG233" s="9">
        <v>11400</v>
      </c>
      <c r="BH233" s="9">
        <v>9880</v>
      </c>
      <c r="BI233" s="9">
        <v>660</v>
      </c>
      <c r="BJ233" s="9">
        <v>166000</v>
      </c>
      <c r="BK233" s="9">
        <v>850</v>
      </c>
      <c r="BL233" s="9">
        <v>10</v>
      </c>
      <c r="BM233" s="9"/>
      <c r="BN233" s="9">
        <v>6120</v>
      </c>
      <c r="BO233" s="9">
        <v>4500</v>
      </c>
      <c r="BP233" s="9">
        <v>570</v>
      </c>
      <c r="BQ233" s="9">
        <v>182000</v>
      </c>
      <c r="BR233" s="9">
        <v>1030</v>
      </c>
      <c r="BS233" s="9">
        <v>20</v>
      </c>
      <c r="BT233" s="9">
        <v>163</v>
      </c>
      <c r="BU233" s="9"/>
      <c r="BV233" s="9"/>
      <c r="BW233" s="9"/>
      <c r="BX233" s="9"/>
      <c r="BY233" s="9"/>
      <c r="BZ233" s="10" t="s">
        <v>401</v>
      </c>
      <c r="CA233" s="9"/>
      <c r="CB233" s="9"/>
      <c r="CC233" s="10">
        <f t="shared" si="80"/>
        <v>4.3451322739719869</v>
      </c>
      <c r="CD233" s="10">
        <f t="shared" si="81"/>
        <v>293.80527799566187</v>
      </c>
      <c r="CE233" s="10">
        <f t="shared" si="91"/>
        <v>1442583.9149586996</v>
      </c>
      <c r="CF233" s="10">
        <f t="shared" si="73"/>
        <v>0</v>
      </c>
      <c r="CG233" s="10">
        <f t="shared" si="74"/>
        <v>0</v>
      </c>
      <c r="CH233" s="10">
        <f t="shared" si="75"/>
        <v>1</v>
      </c>
      <c r="CI233" s="9">
        <f t="shared" si="82"/>
        <v>1</v>
      </c>
      <c r="CJ233" s="10">
        <f t="shared" si="76"/>
        <v>2</v>
      </c>
      <c r="CK233" s="10" t="b">
        <f t="shared" si="83"/>
        <v>0</v>
      </c>
      <c r="CL233" s="10" t="b">
        <f t="shared" si="84"/>
        <v>0</v>
      </c>
      <c r="CM233" s="10" t="b">
        <f t="shared" si="85"/>
        <v>0</v>
      </c>
      <c r="CN233" s="9">
        <f t="shared" si="86"/>
        <v>1</v>
      </c>
      <c r="CO233" s="10">
        <f t="shared" si="92"/>
        <v>2</v>
      </c>
      <c r="CP233" s="10" t="b">
        <f t="shared" si="87"/>
        <v>0</v>
      </c>
      <c r="CQ233" s="10" t="b">
        <f t="shared" si="88"/>
        <v>0</v>
      </c>
      <c r="CR233" s="10" cm="1">
        <f t="array" ref="CR233">_xlfn.IFS(AND($CI233=0, CK233=FALSE), NA(), AND($CI233=1, CK233=FALSE), 0, CK233=TRUE, 1)</f>
        <v>0</v>
      </c>
      <c r="CS233" s="10" cm="1">
        <f t="array" ref="CS233">_xlfn.IFS(AND($CI233=0, CL233=FALSE), NA(), AND($CI233=1, CL233=FALSE), 0, CL233=TRUE, 1)</f>
        <v>0</v>
      </c>
      <c r="CT233" s="10" cm="1">
        <f t="array" ref="CT233">_xlfn.IFS(AND($CI233=0, CM233=FALSE), NA(), AND($CI233=1, CM233=FALSE), 0, CM233=TRUE, 1)</f>
        <v>0</v>
      </c>
      <c r="CU233" s="10" cm="1">
        <f t="array" ref="CU233">_xlfn.IFS(AND($CN233=0, CP233=FALSE), NA(), AND($CN233=1, CP233=FALSE), 0, CP233=TRUE, 1)</f>
        <v>0</v>
      </c>
      <c r="CV233" s="10" cm="1">
        <f t="array" ref="CV233">_xlfn.IFS(AND($CN233=0, CQ233=FALSE), NA(), AND($CN233=1, CQ233=FALSE), 0, CQ233=TRUE, 1)</f>
        <v>0</v>
      </c>
    </row>
    <row r="234" spans="1:100" ht="15.75" x14ac:dyDescent="0.25">
      <c r="A234" s="8">
        <v>233</v>
      </c>
      <c r="B234" s="9">
        <v>352</v>
      </c>
      <c r="C234" s="10" t="s">
        <v>28</v>
      </c>
      <c r="D234" s="11" t="s">
        <v>286</v>
      </c>
      <c r="E234" s="12">
        <v>17159</v>
      </c>
      <c r="F234" s="13">
        <v>1</v>
      </c>
      <c r="G234" s="9">
        <v>66.43121337890625</v>
      </c>
      <c r="H234" s="12">
        <v>41423</v>
      </c>
      <c r="I234" s="9">
        <v>1</v>
      </c>
      <c r="J234" s="12">
        <v>41459</v>
      </c>
      <c r="K234" s="9">
        <v>0</v>
      </c>
      <c r="L234" s="9">
        <v>3</v>
      </c>
      <c r="M234" s="10" t="s">
        <v>401</v>
      </c>
      <c r="N234" s="9">
        <v>2</v>
      </c>
      <c r="O234" s="10" t="s">
        <v>145</v>
      </c>
      <c r="P234" s="9">
        <v>2</v>
      </c>
      <c r="Q234" s="10" t="s">
        <v>145</v>
      </c>
      <c r="R234" s="12">
        <v>41694</v>
      </c>
      <c r="S234" s="10" t="s">
        <v>146</v>
      </c>
      <c r="T234" s="9">
        <v>6</v>
      </c>
      <c r="U234" s="10" t="s">
        <v>147</v>
      </c>
      <c r="V234" s="10" t="s">
        <v>145</v>
      </c>
      <c r="W234" s="9"/>
      <c r="X234" s="9"/>
      <c r="Y234" s="9">
        <v>5</v>
      </c>
      <c r="Z234" s="14">
        <v>2</v>
      </c>
      <c r="AA234" s="21">
        <v>13.4</v>
      </c>
      <c r="AB234" s="22">
        <v>86</v>
      </c>
      <c r="AC234" s="22">
        <v>13</v>
      </c>
      <c r="AD234" s="9">
        <v>2</v>
      </c>
      <c r="AE234" s="9">
        <v>2</v>
      </c>
      <c r="AF234" s="9">
        <v>1</v>
      </c>
      <c r="AG234" s="9">
        <v>0</v>
      </c>
      <c r="AH234" s="9">
        <v>1</v>
      </c>
      <c r="AI234" s="9">
        <v>0</v>
      </c>
      <c r="AJ234" s="12">
        <v>42527</v>
      </c>
      <c r="AK234" s="9">
        <v>2</v>
      </c>
      <c r="AL234" s="12">
        <v>42542</v>
      </c>
      <c r="AM234" s="9">
        <v>4</v>
      </c>
      <c r="AN234" s="12">
        <v>42568</v>
      </c>
      <c r="AO234" s="12">
        <v>42568</v>
      </c>
      <c r="AP234" s="12">
        <v>42568</v>
      </c>
      <c r="AQ234" s="9">
        <v>1</v>
      </c>
      <c r="AR234" s="9">
        <f t="shared" si="78"/>
        <v>1</v>
      </c>
      <c r="AS234" s="9">
        <v>1</v>
      </c>
      <c r="AT234" s="9">
        <v>2</v>
      </c>
      <c r="AU234" s="9">
        <v>2</v>
      </c>
      <c r="AV234" s="9">
        <f t="shared" si="79"/>
        <v>1</v>
      </c>
      <c r="AW234" s="12">
        <v>42568</v>
      </c>
      <c r="AX234" s="9">
        <v>5570</v>
      </c>
      <c r="AY234" s="9">
        <v>4070</v>
      </c>
      <c r="AZ234" s="9">
        <v>1220</v>
      </c>
      <c r="BA234" s="9">
        <v>4070</v>
      </c>
      <c r="BB234" s="9">
        <v>1219.9998779296875</v>
      </c>
      <c r="BC234" s="9">
        <v>180000</v>
      </c>
      <c r="BD234" s="9">
        <v>180</v>
      </c>
      <c r="BE234" s="9">
        <v>70</v>
      </c>
      <c r="BF234" s="9">
        <v>423</v>
      </c>
      <c r="BG234" s="9">
        <v>5600</v>
      </c>
      <c r="BH234" s="9">
        <v>4410</v>
      </c>
      <c r="BI234" s="9">
        <v>740</v>
      </c>
      <c r="BJ234" s="9">
        <v>239000</v>
      </c>
      <c r="BK234" s="9">
        <v>330</v>
      </c>
      <c r="BL234" s="9">
        <v>30</v>
      </c>
      <c r="BM234" s="9">
        <v>576</v>
      </c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10" t="s">
        <v>401</v>
      </c>
      <c r="CA234" s="9"/>
      <c r="CB234" s="9"/>
      <c r="CC234" s="10">
        <f t="shared" si="80"/>
        <v>3.3360659075693508</v>
      </c>
      <c r="CD234" s="10">
        <f t="shared" si="81"/>
        <v>147.54099836916046</v>
      </c>
      <c r="CE234" s="10">
        <f t="shared" si="91"/>
        <v>600491.8633624831</v>
      </c>
      <c r="CF234" s="10">
        <f t="shared" si="73"/>
        <v>0</v>
      </c>
      <c r="CG234" s="10">
        <f t="shared" si="74"/>
        <v>0</v>
      </c>
      <c r="CH234" s="10">
        <f t="shared" si="75"/>
        <v>0</v>
      </c>
      <c r="CI234" s="9">
        <f t="shared" si="82"/>
        <v>1</v>
      </c>
      <c r="CJ234" s="10">
        <f t="shared" si="76"/>
        <v>1</v>
      </c>
      <c r="CK234" s="10" t="b">
        <f t="shared" si="83"/>
        <v>0</v>
      </c>
      <c r="CL234" s="10" t="b">
        <f t="shared" si="84"/>
        <v>0</v>
      </c>
      <c r="CM234" s="10" t="b">
        <f t="shared" si="85"/>
        <v>0</v>
      </c>
      <c r="CN234" s="9">
        <f t="shared" si="86"/>
        <v>1</v>
      </c>
      <c r="CO234" s="10">
        <f t="shared" si="92"/>
        <v>1</v>
      </c>
      <c r="CP234" s="10" t="b">
        <f t="shared" si="87"/>
        <v>0</v>
      </c>
      <c r="CQ234" s="10" t="b">
        <f t="shared" si="88"/>
        <v>0</v>
      </c>
      <c r="CR234" s="10" cm="1">
        <f t="array" ref="CR234">_xlfn.IFS(AND($CI234=0, CK234=FALSE), NA(), AND($CI234=1, CK234=FALSE), 0, CK234=TRUE, 1)</f>
        <v>0</v>
      </c>
      <c r="CS234" s="10" cm="1">
        <f t="array" ref="CS234">_xlfn.IFS(AND($CI234=0, CL234=FALSE), NA(), AND($CI234=1, CL234=FALSE), 0, CL234=TRUE, 1)</f>
        <v>0</v>
      </c>
      <c r="CT234" s="10" cm="1">
        <f t="array" ref="CT234">_xlfn.IFS(AND($CI234=0, CM234=FALSE), NA(), AND($CI234=1, CM234=FALSE), 0, CM234=TRUE, 1)</f>
        <v>0</v>
      </c>
      <c r="CU234" s="10" cm="1">
        <f t="array" ref="CU234">_xlfn.IFS(AND($CN234=0, CP234=FALSE), NA(), AND($CN234=1, CP234=FALSE), 0, CP234=TRUE, 1)</f>
        <v>0</v>
      </c>
      <c r="CV234" s="10" cm="1">
        <f t="array" ref="CV234">_xlfn.IFS(AND($CN234=0, CQ234=FALSE), NA(), AND($CN234=1, CQ234=FALSE), 0, CQ234=TRUE, 1)</f>
        <v>0</v>
      </c>
    </row>
    <row r="235" spans="1:100" x14ac:dyDescent="0.25">
      <c r="A235" s="8">
        <v>234</v>
      </c>
      <c r="B235" s="9">
        <v>27</v>
      </c>
      <c r="C235" s="10" t="s">
        <v>5</v>
      </c>
      <c r="D235" s="11" t="s">
        <v>62</v>
      </c>
      <c r="E235" s="12">
        <v>19567</v>
      </c>
      <c r="F235" s="13">
        <v>2</v>
      </c>
      <c r="G235" s="9">
        <v>59.917865753173828</v>
      </c>
      <c r="H235" s="12">
        <v>41452</v>
      </c>
      <c r="I235" s="9">
        <v>1</v>
      </c>
      <c r="J235" s="12">
        <v>41452</v>
      </c>
      <c r="K235" s="9">
        <v>1</v>
      </c>
      <c r="L235" s="9">
        <v>1</v>
      </c>
      <c r="M235" s="10" t="s">
        <v>401</v>
      </c>
      <c r="N235" s="9"/>
      <c r="O235" s="10" t="s">
        <v>401</v>
      </c>
      <c r="P235" s="9"/>
      <c r="Q235" s="10" t="s">
        <v>401</v>
      </c>
      <c r="R235" s="12">
        <v>41452</v>
      </c>
      <c r="S235" s="10" t="s">
        <v>146</v>
      </c>
      <c r="T235" s="9"/>
      <c r="U235" s="10" t="s">
        <v>401</v>
      </c>
      <c r="V235" s="10" t="s">
        <v>401</v>
      </c>
      <c r="W235" s="9"/>
      <c r="X235" s="9"/>
      <c r="Y235" s="9">
        <v>2</v>
      </c>
      <c r="Z235" s="19">
        <v>2</v>
      </c>
      <c r="AB235" s="9"/>
      <c r="AC235" s="9"/>
      <c r="AD235" s="9">
        <v>2</v>
      </c>
      <c r="AE235" s="9">
        <v>2</v>
      </c>
      <c r="AF235" s="9">
        <v>1</v>
      </c>
      <c r="AG235" s="9">
        <v>1</v>
      </c>
      <c r="AH235" s="9">
        <v>1</v>
      </c>
      <c r="AI235" s="9">
        <v>1</v>
      </c>
      <c r="AJ235" s="12">
        <v>42885</v>
      </c>
      <c r="AK235" s="9">
        <v>2</v>
      </c>
      <c r="AL235" s="12">
        <v>43098</v>
      </c>
      <c r="AM235" s="9">
        <v>3</v>
      </c>
      <c r="AN235" s="12">
        <v>42922</v>
      </c>
      <c r="AO235" s="12">
        <v>43105</v>
      </c>
      <c r="AP235" s="12">
        <v>43105</v>
      </c>
      <c r="AQ235" s="9">
        <v>1</v>
      </c>
      <c r="AR235" s="9">
        <f t="shared" si="78"/>
        <v>1</v>
      </c>
      <c r="AS235" s="9">
        <v>1</v>
      </c>
      <c r="AT235" s="9">
        <v>2</v>
      </c>
      <c r="AU235" s="9">
        <v>1</v>
      </c>
      <c r="AV235" s="9">
        <f t="shared" si="79"/>
        <v>0</v>
      </c>
      <c r="AW235" s="12">
        <v>43171</v>
      </c>
      <c r="AX235" s="9">
        <v>3760</v>
      </c>
      <c r="AY235" s="9">
        <v>2570</v>
      </c>
      <c r="AZ235" s="9">
        <v>820</v>
      </c>
      <c r="BA235" s="9">
        <v>2570</v>
      </c>
      <c r="BB235" s="9">
        <v>820</v>
      </c>
      <c r="BC235" s="9">
        <v>137000</v>
      </c>
      <c r="BD235" s="9">
        <v>260</v>
      </c>
      <c r="BE235" s="9">
        <v>100</v>
      </c>
      <c r="BF235" s="9">
        <v>232</v>
      </c>
      <c r="BG235" s="9">
        <v>3950</v>
      </c>
      <c r="BH235" s="9">
        <v>2890</v>
      </c>
      <c r="BI235" s="9">
        <v>620</v>
      </c>
      <c r="BJ235" s="9">
        <v>137000</v>
      </c>
      <c r="BK235" s="9">
        <v>340</v>
      </c>
      <c r="BL235" s="9">
        <v>90</v>
      </c>
      <c r="BM235" s="9">
        <v>251</v>
      </c>
      <c r="BN235" s="9">
        <v>4090</v>
      </c>
      <c r="BO235" s="9">
        <v>3050</v>
      </c>
      <c r="BP235" s="9">
        <v>650</v>
      </c>
      <c r="BQ235" s="9">
        <v>173000</v>
      </c>
      <c r="BR235" s="9">
        <v>270</v>
      </c>
      <c r="BS235" s="9">
        <v>100</v>
      </c>
      <c r="BT235" s="9">
        <v>214</v>
      </c>
      <c r="BU235" s="9"/>
      <c r="BV235" s="9"/>
      <c r="BW235" s="9"/>
      <c r="BX235" s="9"/>
      <c r="BY235" s="9"/>
      <c r="BZ235" s="10" t="s">
        <v>401</v>
      </c>
      <c r="CA235" s="9"/>
      <c r="CB235" s="9"/>
      <c r="CC235" s="10">
        <f t="shared" si="80"/>
        <v>3.1341463414634148</v>
      </c>
      <c r="CD235" s="10">
        <f t="shared" si="81"/>
        <v>167.07317073170731</v>
      </c>
      <c r="CE235" s="10">
        <f t="shared" si="91"/>
        <v>429378.04878048785</v>
      </c>
      <c r="CF235" s="10">
        <f t="shared" si="73"/>
        <v>1</v>
      </c>
      <c r="CG235" s="10">
        <f t="shared" si="74"/>
        <v>0</v>
      </c>
      <c r="CH235" s="10">
        <f t="shared" si="75"/>
        <v>7</v>
      </c>
      <c r="CI235" s="9">
        <f t="shared" si="82"/>
        <v>0</v>
      </c>
      <c r="CJ235" s="10">
        <f t="shared" si="76"/>
        <v>10</v>
      </c>
      <c r="CK235" s="10" t="b">
        <f t="shared" si="83"/>
        <v>1</v>
      </c>
      <c r="CL235" s="10" t="b">
        <f t="shared" si="84"/>
        <v>0</v>
      </c>
      <c r="CM235" s="10" t="b">
        <f t="shared" si="85"/>
        <v>0</v>
      </c>
      <c r="CN235" s="9">
        <f t="shared" si="86"/>
        <v>1</v>
      </c>
      <c r="CO235" s="10">
        <f t="shared" si="92"/>
        <v>8</v>
      </c>
      <c r="CP235" s="10" t="b">
        <f t="shared" si="87"/>
        <v>1</v>
      </c>
      <c r="CQ235" s="10" t="b">
        <f t="shared" si="88"/>
        <v>0</v>
      </c>
      <c r="CR235" s="10" cm="1">
        <f t="array" ref="CR235">_xlfn.IFS(AND($CI235=0, CK235=FALSE), NA(), AND($CI235=1, CK235=FALSE), 0, CK235=TRUE, 1)</f>
        <v>1</v>
      </c>
      <c r="CS235" s="10" t="e" cm="1">
        <f t="array" ref="CS235">_xlfn.IFS(AND($CI235=0, CL235=FALSE), NA(), AND($CI235=1, CL235=FALSE), 0, CL235=TRUE, 1)</f>
        <v>#N/A</v>
      </c>
      <c r="CT235" s="10" t="e" cm="1">
        <f t="array" ref="CT235">_xlfn.IFS(AND($CI235=0, CM235=FALSE), NA(), AND($CI235=1, CM235=FALSE), 0, CM235=TRUE, 1)</f>
        <v>#N/A</v>
      </c>
      <c r="CU235" s="10" cm="1">
        <f t="array" ref="CU235">_xlfn.IFS(AND($CN235=0, CP235=FALSE), NA(), AND($CN235=1, CP235=FALSE), 0, CP235=TRUE, 1)</f>
        <v>1</v>
      </c>
      <c r="CV235" s="10" cm="1">
        <f t="array" ref="CV235">_xlfn.IFS(AND($CN235=0, CQ235=FALSE), NA(), AND($CN235=1, CQ235=FALSE), 0, CQ235=TRUE, 1)</f>
        <v>0</v>
      </c>
    </row>
    <row r="236" spans="1:100" x14ac:dyDescent="0.25">
      <c r="A236" s="8">
        <v>235</v>
      </c>
      <c r="B236" s="9">
        <v>481</v>
      </c>
      <c r="C236" s="10" t="s">
        <v>31</v>
      </c>
      <c r="D236" s="11" t="s">
        <v>375</v>
      </c>
      <c r="E236" s="12"/>
      <c r="F236" s="13">
        <v>2</v>
      </c>
      <c r="G236" s="9">
        <v>80</v>
      </c>
      <c r="H236" s="12">
        <v>41456</v>
      </c>
      <c r="I236" s="9">
        <v>1</v>
      </c>
      <c r="J236" s="12">
        <v>41456</v>
      </c>
      <c r="K236" s="9">
        <v>0</v>
      </c>
      <c r="L236" s="9">
        <v>1</v>
      </c>
      <c r="M236" s="10" t="s">
        <v>401</v>
      </c>
      <c r="N236" s="9">
        <v>1</v>
      </c>
      <c r="O236" s="10" t="s">
        <v>401</v>
      </c>
      <c r="P236" s="9">
        <v>1</v>
      </c>
      <c r="Q236" s="10" t="s">
        <v>401</v>
      </c>
      <c r="R236" s="12">
        <v>41770</v>
      </c>
      <c r="S236" s="10" t="s">
        <v>145</v>
      </c>
      <c r="T236" s="9">
        <v>5</v>
      </c>
      <c r="U236" s="10" t="s">
        <v>401</v>
      </c>
      <c r="V236" s="10" t="s">
        <v>401</v>
      </c>
      <c r="W236" s="9"/>
      <c r="X236" s="9"/>
      <c r="Y236" s="9">
        <v>3</v>
      </c>
      <c r="Z236" s="19">
        <v>1</v>
      </c>
      <c r="AB236" s="9"/>
      <c r="AC236" s="9"/>
      <c r="AD236" s="9">
        <v>2</v>
      </c>
      <c r="AE236" s="9">
        <v>2</v>
      </c>
      <c r="AF236" s="9">
        <v>1</v>
      </c>
      <c r="AG236" s="9">
        <v>0</v>
      </c>
      <c r="AH236" s="9">
        <v>1</v>
      </c>
      <c r="AI236" s="9">
        <v>0</v>
      </c>
      <c r="AJ236" s="12">
        <v>42860</v>
      </c>
      <c r="AK236" s="9">
        <v>2</v>
      </c>
      <c r="AL236" s="12">
        <v>43125</v>
      </c>
      <c r="AM236" s="9">
        <v>3</v>
      </c>
      <c r="AN236" s="12">
        <v>42929</v>
      </c>
      <c r="AO236" s="12">
        <v>43145</v>
      </c>
      <c r="AP236" s="12">
        <v>43145</v>
      </c>
      <c r="AQ236" s="9">
        <v>1</v>
      </c>
      <c r="AR236" s="9">
        <f t="shared" si="78"/>
        <v>1</v>
      </c>
      <c r="AS236" s="9">
        <v>1</v>
      </c>
      <c r="AT236" s="9">
        <v>2</v>
      </c>
      <c r="AU236" s="9">
        <v>2</v>
      </c>
      <c r="AV236" s="9">
        <f t="shared" si="79"/>
        <v>1</v>
      </c>
      <c r="AW236" s="12">
        <v>43167</v>
      </c>
      <c r="AX236" s="9">
        <v>6250</v>
      </c>
      <c r="AY236" s="9">
        <v>4220</v>
      </c>
      <c r="AZ236" s="9">
        <v>1330</v>
      </c>
      <c r="BA236" s="9">
        <v>4220</v>
      </c>
      <c r="BB236" s="9">
        <v>1329.999755859375</v>
      </c>
      <c r="BC236" s="9">
        <v>236000</v>
      </c>
      <c r="BD236" s="9">
        <v>530</v>
      </c>
      <c r="BE236" s="9">
        <v>130</v>
      </c>
      <c r="BF236" s="9">
        <v>192</v>
      </c>
      <c r="BG236" s="9">
        <v>5200</v>
      </c>
      <c r="BH236" s="9">
        <v>3370</v>
      </c>
      <c r="BI236" s="9">
        <v>1150</v>
      </c>
      <c r="BJ236" s="9">
        <v>238000</v>
      </c>
      <c r="BK236" s="9">
        <v>500</v>
      </c>
      <c r="BL236" s="9">
        <v>140</v>
      </c>
      <c r="BM236" s="9">
        <v>209</v>
      </c>
      <c r="BN236" s="9">
        <v>6290</v>
      </c>
      <c r="BO236" s="9">
        <v>4220</v>
      </c>
      <c r="BP236" s="9">
        <v>1350</v>
      </c>
      <c r="BQ236" s="9">
        <v>228000</v>
      </c>
      <c r="BR236" s="9">
        <v>450</v>
      </c>
      <c r="BS236" s="9">
        <v>230</v>
      </c>
      <c r="BT236" s="9"/>
      <c r="BU236" s="9">
        <v>6770</v>
      </c>
      <c r="BV236" s="9">
        <v>4270</v>
      </c>
      <c r="BW236" s="9">
        <v>1570</v>
      </c>
      <c r="BX236" s="9">
        <v>265000</v>
      </c>
      <c r="BY236" s="9">
        <v>600</v>
      </c>
      <c r="BZ236" s="10" t="s">
        <v>548</v>
      </c>
      <c r="CA236" s="9">
        <v>290</v>
      </c>
      <c r="CB236" s="9">
        <v>231</v>
      </c>
      <c r="CC236" s="10">
        <f t="shared" si="80"/>
        <v>3.1729329132645296</v>
      </c>
      <c r="CD236" s="10">
        <f t="shared" si="81"/>
        <v>177.44364159488839</v>
      </c>
      <c r="CE236" s="10">
        <f t="shared" si="91"/>
        <v>748812.16753042897</v>
      </c>
      <c r="CF236" s="10">
        <f t="shared" si="73"/>
        <v>1</v>
      </c>
      <c r="CG236" s="10">
        <f t="shared" si="74"/>
        <v>0</v>
      </c>
      <c r="CH236" s="10">
        <f t="shared" si="75"/>
        <v>8</v>
      </c>
      <c r="CI236" s="9">
        <f t="shared" si="82"/>
        <v>1</v>
      </c>
      <c r="CJ236" s="10">
        <f t="shared" si="76"/>
        <v>10</v>
      </c>
      <c r="CK236" s="10" t="b">
        <f t="shared" si="83"/>
        <v>1</v>
      </c>
      <c r="CL236" s="10" t="b">
        <f t="shared" si="84"/>
        <v>0</v>
      </c>
      <c r="CM236" s="10" t="b">
        <f t="shared" si="85"/>
        <v>0</v>
      </c>
      <c r="CN236" s="9">
        <f t="shared" si="86"/>
        <v>1</v>
      </c>
      <c r="CO236" s="10">
        <f t="shared" si="92"/>
        <v>9</v>
      </c>
      <c r="CP236" s="10" t="b">
        <f t="shared" si="87"/>
        <v>1</v>
      </c>
      <c r="CQ236" s="10" t="b">
        <f t="shared" si="88"/>
        <v>1</v>
      </c>
      <c r="CR236" s="10" cm="1">
        <f t="array" ref="CR236">_xlfn.IFS(AND($CI236=0, CK236=FALSE), NA(), AND($CI236=1, CK236=FALSE), 0, CK236=TRUE, 1)</f>
        <v>1</v>
      </c>
      <c r="CS236" s="10" cm="1">
        <f t="array" ref="CS236">_xlfn.IFS(AND($CI236=0, CL236=FALSE), NA(), AND($CI236=1, CL236=FALSE), 0, CL236=TRUE, 1)</f>
        <v>0</v>
      </c>
      <c r="CT236" s="10" cm="1">
        <f t="array" ref="CT236">_xlfn.IFS(AND($CI236=0, CM236=FALSE), NA(), AND($CI236=1, CM236=FALSE), 0, CM236=TRUE, 1)</f>
        <v>0</v>
      </c>
      <c r="CU236" s="10" cm="1">
        <f t="array" ref="CU236">_xlfn.IFS(AND($CN236=0, CP236=FALSE), NA(), AND($CN236=1, CP236=FALSE), 0, CP236=TRUE, 1)</f>
        <v>1</v>
      </c>
      <c r="CV236" s="10" cm="1">
        <f t="array" ref="CV236">_xlfn.IFS(AND($CN236=0, CQ236=FALSE), NA(), AND($CN236=1, CQ236=FALSE), 0, CQ236=TRUE, 1)</f>
        <v>1</v>
      </c>
    </row>
    <row r="237" spans="1:100" ht="15.75" x14ac:dyDescent="0.25">
      <c r="A237" s="8">
        <v>236</v>
      </c>
      <c r="B237" s="9">
        <v>315</v>
      </c>
      <c r="C237" s="10" t="s">
        <v>24</v>
      </c>
      <c r="D237" s="11" t="s">
        <v>265</v>
      </c>
      <c r="E237" s="12"/>
      <c r="F237" s="13">
        <v>1</v>
      </c>
      <c r="G237" s="9">
        <v>64</v>
      </c>
      <c r="H237" s="12">
        <v>41459</v>
      </c>
      <c r="I237" s="9">
        <v>0</v>
      </c>
      <c r="J237" s="12"/>
      <c r="K237" s="9">
        <v>1</v>
      </c>
      <c r="L237" s="9">
        <v>1</v>
      </c>
      <c r="M237" s="10" t="s">
        <v>401</v>
      </c>
      <c r="N237" s="9">
        <v>2</v>
      </c>
      <c r="O237" s="10" t="s">
        <v>145</v>
      </c>
      <c r="P237" s="9">
        <v>2</v>
      </c>
      <c r="Q237" s="10" t="s">
        <v>145</v>
      </c>
      <c r="R237" s="12">
        <v>41459</v>
      </c>
      <c r="S237" s="10" t="s">
        <v>145</v>
      </c>
      <c r="T237" s="9">
        <v>5</v>
      </c>
      <c r="U237" s="10" t="s">
        <v>401</v>
      </c>
      <c r="V237" s="10" t="s">
        <v>401</v>
      </c>
      <c r="W237" s="9"/>
      <c r="X237" s="9"/>
      <c r="Y237" s="9">
        <v>3</v>
      </c>
      <c r="Z237" s="14">
        <v>1</v>
      </c>
      <c r="AA237" s="21">
        <v>14.2</v>
      </c>
      <c r="AB237" s="22">
        <v>96</v>
      </c>
      <c r="AC237" s="22">
        <v>14</v>
      </c>
      <c r="AD237" s="9">
        <v>2</v>
      </c>
      <c r="AE237" s="9">
        <v>2</v>
      </c>
      <c r="AF237" s="9">
        <v>2</v>
      </c>
      <c r="AG237" s="9">
        <v>1</v>
      </c>
      <c r="AH237" s="9">
        <v>1</v>
      </c>
      <c r="AI237" s="9">
        <v>1</v>
      </c>
      <c r="AJ237" s="12">
        <v>42773</v>
      </c>
      <c r="AK237" s="9">
        <v>2</v>
      </c>
      <c r="AL237" s="12">
        <v>42927</v>
      </c>
      <c r="AM237" s="9">
        <v>4</v>
      </c>
      <c r="AN237" s="12">
        <v>42871</v>
      </c>
      <c r="AO237" s="12">
        <v>42871</v>
      </c>
      <c r="AP237" s="12">
        <v>42927</v>
      </c>
      <c r="AQ237" s="9">
        <v>1</v>
      </c>
      <c r="AR237" s="9">
        <f t="shared" si="78"/>
        <v>1</v>
      </c>
      <c r="AS237" s="9">
        <v>1</v>
      </c>
      <c r="AT237" s="9">
        <v>1</v>
      </c>
      <c r="AU237" s="9">
        <v>1</v>
      </c>
      <c r="AV237" s="9">
        <f t="shared" si="79"/>
        <v>0</v>
      </c>
      <c r="AW237" s="12">
        <v>42927</v>
      </c>
      <c r="AX237" s="9">
        <v>7930</v>
      </c>
      <c r="AY237" s="9">
        <v>5210</v>
      </c>
      <c r="AZ237" s="9">
        <v>2120</v>
      </c>
      <c r="BA237" s="9">
        <v>5210</v>
      </c>
      <c r="BB237" s="9">
        <v>2120.00048828125</v>
      </c>
      <c r="BC237" s="9">
        <v>311000</v>
      </c>
      <c r="BD237" s="9">
        <v>550</v>
      </c>
      <c r="BE237" s="9">
        <v>30</v>
      </c>
      <c r="BF237" s="9">
        <v>267</v>
      </c>
      <c r="BG237" s="9">
        <v>6960</v>
      </c>
      <c r="BH237" s="9">
        <v>4890</v>
      </c>
      <c r="BI237" s="9">
        <v>1530</v>
      </c>
      <c r="BJ237" s="9">
        <v>264000</v>
      </c>
      <c r="BK237" s="9">
        <v>500</v>
      </c>
      <c r="BL237" s="9">
        <v>20</v>
      </c>
      <c r="BM237" s="9">
        <v>282</v>
      </c>
      <c r="BN237" s="9">
        <v>11410</v>
      </c>
      <c r="BO237" s="9">
        <v>4200</v>
      </c>
      <c r="BP237" s="9">
        <v>1470</v>
      </c>
      <c r="BQ237" s="9">
        <v>329000</v>
      </c>
      <c r="BR237" s="9">
        <v>510</v>
      </c>
      <c r="BS237" s="9">
        <v>50</v>
      </c>
      <c r="BT237" s="9">
        <v>284</v>
      </c>
      <c r="BU237" s="9">
        <v>6840</v>
      </c>
      <c r="BV237" s="9">
        <v>6417</v>
      </c>
      <c r="BW237" s="9"/>
      <c r="BX237" s="9">
        <v>355000</v>
      </c>
      <c r="BY237" s="9"/>
      <c r="BZ237" s="10" t="s">
        <v>401</v>
      </c>
      <c r="CA237" s="9"/>
      <c r="CB237" s="9">
        <v>348</v>
      </c>
      <c r="CC237" s="10">
        <f t="shared" si="80"/>
        <v>2.4575466037858833</v>
      </c>
      <c r="CD237" s="10">
        <f t="shared" si="81"/>
        <v>146.69807941984831</v>
      </c>
      <c r="CE237" s="10">
        <f t="shared" si="91"/>
        <v>764296.99377740966</v>
      </c>
      <c r="CF237" s="10">
        <f t="shared" si="73"/>
        <v>0</v>
      </c>
      <c r="CG237" s="10">
        <f t="shared" si="74"/>
        <v>0</v>
      </c>
      <c r="CH237" s="10">
        <f t="shared" si="75"/>
        <v>5</v>
      </c>
      <c r="CI237" s="9">
        <f t="shared" si="82"/>
        <v>0</v>
      </c>
      <c r="CJ237" s="10">
        <f t="shared" si="76"/>
        <v>5</v>
      </c>
      <c r="CK237" s="10" t="b">
        <f t="shared" si="83"/>
        <v>0</v>
      </c>
      <c r="CL237" s="10" t="b">
        <f t="shared" si="84"/>
        <v>0</v>
      </c>
      <c r="CM237" s="10" t="b">
        <f t="shared" si="85"/>
        <v>0</v>
      </c>
      <c r="CN237" s="9">
        <f t="shared" si="86"/>
        <v>1</v>
      </c>
      <c r="CO237" s="10">
        <f t="shared" si="92"/>
        <v>3</v>
      </c>
      <c r="CP237" s="10" t="b">
        <f t="shared" si="87"/>
        <v>1</v>
      </c>
      <c r="CQ237" s="10" t="b">
        <f t="shared" si="88"/>
        <v>0</v>
      </c>
      <c r="CR237" s="10" t="e" cm="1">
        <f t="array" ref="CR237">_xlfn.IFS(AND($CI237=0, CK237=FALSE), NA(), AND($CI237=1, CK237=FALSE), 0, CK237=TRUE, 1)</f>
        <v>#N/A</v>
      </c>
      <c r="CS237" s="10" t="e" cm="1">
        <f t="array" ref="CS237">_xlfn.IFS(AND($CI237=0, CL237=FALSE), NA(), AND($CI237=1, CL237=FALSE), 0, CL237=TRUE, 1)</f>
        <v>#N/A</v>
      </c>
      <c r="CT237" s="10" t="e" cm="1">
        <f t="array" ref="CT237">_xlfn.IFS(AND($CI237=0, CM237=FALSE), NA(), AND($CI237=1, CM237=FALSE), 0, CM237=TRUE, 1)</f>
        <v>#N/A</v>
      </c>
      <c r="CU237" s="10" cm="1">
        <f t="array" ref="CU237">_xlfn.IFS(AND($CN237=0, CP237=FALSE), NA(), AND($CN237=1, CP237=FALSE), 0, CP237=TRUE, 1)</f>
        <v>1</v>
      </c>
      <c r="CV237" s="10" cm="1">
        <f t="array" ref="CV237">_xlfn.IFS(AND($CN237=0, CQ237=FALSE), NA(), AND($CN237=1, CQ237=FALSE), 0, CQ237=TRUE, 1)</f>
        <v>0</v>
      </c>
    </row>
    <row r="238" spans="1:100" ht="15.75" x14ac:dyDescent="0.25">
      <c r="A238" s="8">
        <v>237</v>
      </c>
      <c r="B238" s="9">
        <v>156</v>
      </c>
      <c r="C238" s="10" t="s">
        <v>14</v>
      </c>
      <c r="D238" s="11" t="s">
        <v>151</v>
      </c>
      <c r="E238" s="12">
        <v>21716</v>
      </c>
      <c r="F238" s="13">
        <v>1</v>
      </c>
      <c r="G238" s="9">
        <v>54.072551727294922</v>
      </c>
      <c r="H238" s="12">
        <v>41466</v>
      </c>
      <c r="I238" s="9">
        <v>1</v>
      </c>
      <c r="J238" s="12">
        <v>41537</v>
      </c>
      <c r="K238" s="9">
        <v>1</v>
      </c>
      <c r="L238" s="9">
        <v>1</v>
      </c>
      <c r="M238" s="10" t="s">
        <v>401</v>
      </c>
      <c r="N238" s="9">
        <v>2</v>
      </c>
      <c r="O238" s="10" t="s">
        <v>145</v>
      </c>
      <c r="P238" s="9">
        <v>2</v>
      </c>
      <c r="Q238" s="10" t="s">
        <v>446</v>
      </c>
      <c r="R238" s="12">
        <v>41487</v>
      </c>
      <c r="S238" s="10" t="s">
        <v>145</v>
      </c>
      <c r="T238" s="9"/>
      <c r="U238" s="10" t="s">
        <v>401</v>
      </c>
      <c r="V238" s="10" t="s">
        <v>401</v>
      </c>
      <c r="W238" s="9"/>
      <c r="X238" s="9"/>
      <c r="Y238" s="9">
        <v>2</v>
      </c>
      <c r="Z238" s="14">
        <v>1</v>
      </c>
      <c r="AA238" s="15">
        <v>13</v>
      </c>
      <c r="AB238" s="16">
        <v>99</v>
      </c>
      <c r="AC238" s="16">
        <v>14</v>
      </c>
      <c r="AD238" s="9">
        <v>2</v>
      </c>
      <c r="AE238" s="9">
        <v>2</v>
      </c>
      <c r="AF238" s="9">
        <v>1</v>
      </c>
      <c r="AG238" s="9">
        <v>1</v>
      </c>
      <c r="AH238" s="9">
        <v>1</v>
      </c>
      <c r="AI238" s="9">
        <v>1</v>
      </c>
      <c r="AJ238" s="12">
        <v>43259</v>
      </c>
      <c r="AK238" s="9">
        <v>2</v>
      </c>
      <c r="AL238" s="12">
        <v>44816</v>
      </c>
      <c r="AM238" s="9">
        <v>4</v>
      </c>
      <c r="AN238" s="12">
        <v>43374</v>
      </c>
      <c r="AO238" s="12">
        <v>43374</v>
      </c>
      <c r="AP238" s="12">
        <v>44812</v>
      </c>
      <c r="AQ238" s="9">
        <v>1</v>
      </c>
      <c r="AR238" s="9">
        <f t="shared" si="78"/>
        <v>1</v>
      </c>
      <c r="AS238" s="9">
        <v>1</v>
      </c>
      <c r="AT238" s="9">
        <v>1</v>
      </c>
      <c r="AU238" s="9">
        <v>1</v>
      </c>
      <c r="AV238" s="9">
        <f t="shared" si="79"/>
        <v>0</v>
      </c>
      <c r="AW238" s="12">
        <v>44967</v>
      </c>
      <c r="AX238" s="9">
        <v>6400</v>
      </c>
      <c r="AY238" s="9">
        <v>3000</v>
      </c>
      <c r="AZ238" s="9">
        <v>2500</v>
      </c>
      <c r="BA238" s="9">
        <v>3000</v>
      </c>
      <c r="BB238" s="9">
        <v>2500.000244140625</v>
      </c>
      <c r="BC238" s="9">
        <v>147000</v>
      </c>
      <c r="BD238" s="9">
        <v>700</v>
      </c>
      <c r="BE238" s="9">
        <v>100</v>
      </c>
      <c r="BF238" s="9">
        <v>179</v>
      </c>
      <c r="BG238" s="9">
        <v>8300</v>
      </c>
      <c r="BH238" s="9">
        <v>4300</v>
      </c>
      <c r="BI238" s="9">
        <v>2500</v>
      </c>
      <c r="BJ238" s="9">
        <v>245000</v>
      </c>
      <c r="BK238" s="9">
        <v>1100</v>
      </c>
      <c r="BL238" s="9">
        <v>300</v>
      </c>
      <c r="BM238" s="9">
        <v>153</v>
      </c>
      <c r="BN238" s="9">
        <v>8400</v>
      </c>
      <c r="BO238" s="9">
        <v>4800</v>
      </c>
      <c r="BP238" s="9">
        <v>2200</v>
      </c>
      <c r="BQ238" s="9">
        <v>252000</v>
      </c>
      <c r="BR238" s="9">
        <v>1000</v>
      </c>
      <c r="BS238" s="9">
        <v>300</v>
      </c>
      <c r="BT238" s="9">
        <v>155</v>
      </c>
      <c r="BU238" s="9">
        <v>10300</v>
      </c>
      <c r="BV238" s="9">
        <v>6400</v>
      </c>
      <c r="BW238" s="9">
        <v>2200</v>
      </c>
      <c r="BX238" s="9">
        <v>292000</v>
      </c>
      <c r="BY238" s="9">
        <v>1300</v>
      </c>
      <c r="BZ238" s="10" t="s">
        <v>542</v>
      </c>
      <c r="CA238" s="9">
        <v>300</v>
      </c>
      <c r="CB238" s="9">
        <v>134</v>
      </c>
      <c r="CC238" s="10">
        <f t="shared" si="80"/>
        <v>1.1999998828125114</v>
      </c>
      <c r="CD238" s="10">
        <f t="shared" si="81"/>
        <v>58.799994257813061</v>
      </c>
      <c r="CE238" s="10">
        <f t="shared" si="91"/>
        <v>176399.98277343917</v>
      </c>
      <c r="CF238" s="10">
        <f t="shared" si="73"/>
        <v>0</v>
      </c>
      <c r="CG238" s="10">
        <f t="shared" si="74"/>
        <v>0</v>
      </c>
      <c r="CH238" s="10">
        <f t="shared" si="75"/>
        <v>51</v>
      </c>
      <c r="CI238" s="9">
        <f t="shared" si="82"/>
        <v>0</v>
      </c>
      <c r="CJ238" s="10">
        <f t="shared" si="76"/>
        <v>56</v>
      </c>
      <c r="CK238" s="10" t="b">
        <f t="shared" si="83"/>
        <v>1</v>
      </c>
      <c r="CL238" s="10" t="b">
        <f t="shared" si="84"/>
        <v>1</v>
      </c>
      <c r="CM238" s="10" t="b">
        <f t="shared" si="85"/>
        <v>1</v>
      </c>
      <c r="CN238" s="9">
        <f t="shared" si="86"/>
        <v>1</v>
      </c>
      <c r="CO238" s="10">
        <f t="shared" si="92"/>
        <v>4</v>
      </c>
      <c r="CP238" s="10" t="b">
        <f t="shared" si="87"/>
        <v>1</v>
      </c>
      <c r="CQ238" s="10" t="b">
        <f t="shared" si="88"/>
        <v>0</v>
      </c>
      <c r="CR238" s="10" cm="1">
        <f t="array" ref="CR238">_xlfn.IFS(AND($CI238=0, CK238=FALSE), NA(), AND($CI238=1, CK238=FALSE), 0, CK238=TRUE, 1)</f>
        <v>1</v>
      </c>
      <c r="CS238" s="10" cm="1">
        <f t="array" ref="CS238">_xlfn.IFS(AND($CI238=0, CL238=FALSE), NA(), AND($CI238=1, CL238=FALSE), 0, CL238=TRUE, 1)</f>
        <v>1</v>
      </c>
      <c r="CT238" s="10" cm="1">
        <f t="array" ref="CT238">_xlfn.IFS(AND($CI238=0, CM238=FALSE), NA(), AND($CI238=1, CM238=FALSE), 0, CM238=TRUE, 1)</f>
        <v>1</v>
      </c>
      <c r="CU238" s="10" cm="1">
        <f t="array" ref="CU238">_xlfn.IFS(AND($CN238=0, CP238=FALSE), NA(), AND($CN238=1, CP238=FALSE), 0, CP238=TRUE, 1)</f>
        <v>1</v>
      </c>
      <c r="CV238" s="10" cm="1">
        <f t="array" ref="CV238">_xlfn.IFS(AND($CN238=0, CQ238=FALSE), NA(), AND($CN238=1, CQ238=FALSE), 0, CQ238=TRUE, 1)</f>
        <v>0</v>
      </c>
    </row>
    <row r="239" spans="1:100" ht="15.75" x14ac:dyDescent="0.25">
      <c r="A239" s="8">
        <v>238</v>
      </c>
      <c r="B239" s="9">
        <v>186</v>
      </c>
      <c r="C239" s="10" t="s">
        <v>17</v>
      </c>
      <c r="D239" s="11" t="s">
        <v>194</v>
      </c>
      <c r="E239" s="12">
        <v>13664</v>
      </c>
      <c r="F239" s="13">
        <v>1</v>
      </c>
      <c r="G239" s="9">
        <v>76.120468139648438</v>
      </c>
      <c r="H239" s="12">
        <v>41467</v>
      </c>
      <c r="I239" s="9">
        <v>1</v>
      </c>
      <c r="J239" s="12">
        <v>41467</v>
      </c>
      <c r="K239" s="9">
        <v>0</v>
      </c>
      <c r="L239" s="9">
        <v>3</v>
      </c>
      <c r="M239" s="10" t="s">
        <v>401</v>
      </c>
      <c r="N239" s="9">
        <v>2</v>
      </c>
      <c r="O239" s="10" t="s">
        <v>146</v>
      </c>
      <c r="P239" s="9">
        <v>2</v>
      </c>
      <c r="Q239" s="10" t="s">
        <v>146</v>
      </c>
      <c r="R239" s="12">
        <v>42447</v>
      </c>
      <c r="S239" s="10" t="s">
        <v>145</v>
      </c>
      <c r="T239" s="9"/>
      <c r="U239" s="10" t="s">
        <v>401</v>
      </c>
      <c r="V239" s="10" t="s">
        <v>401</v>
      </c>
      <c r="W239" s="9"/>
      <c r="X239" s="9"/>
      <c r="Y239" s="9">
        <v>2</v>
      </c>
      <c r="Z239" s="14">
        <v>1</v>
      </c>
      <c r="AA239" s="17">
        <v>11.4</v>
      </c>
      <c r="AB239" s="18">
        <v>64</v>
      </c>
      <c r="AC239" s="18">
        <v>16</v>
      </c>
      <c r="AD239" s="9">
        <v>2</v>
      </c>
      <c r="AE239" s="9">
        <v>2</v>
      </c>
      <c r="AF239" s="9">
        <v>1</v>
      </c>
      <c r="AG239" s="9">
        <v>1</v>
      </c>
      <c r="AH239" s="9">
        <v>1</v>
      </c>
      <c r="AI239" s="9">
        <v>0</v>
      </c>
      <c r="AJ239" s="12">
        <v>43035</v>
      </c>
      <c r="AK239" s="9">
        <v>2</v>
      </c>
      <c r="AL239" s="12">
        <v>43084</v>
      </c>
      <c r="AM239" s="9">
        <v>4</v>
      </c>
      <c r="AN239" s="12">
        <v>43090</v>
      </c>
      <c r="AO239" s="12">
        <v>43090</v>
      </c>
      <c r="AP239" s="12">
        <v>43090</v>
      </c>
      <c r="AQ239" s="9">
        <v>1</v>
      </c>
      <c r="AR239" s="9">
        <f t="shared" si="78"/>
        <v>1</v>
      </c>
      <c r="AS239" s="9">
        <v>1</v>
      </c>
      <c r="AT239" s="9">
        <v>2</v>
      </c>
      <c r="AU239" s="9">
        <v>2</v>
      </c>
      <c r="AV239" s="9">
        <f t="shared" si="79"/>
        <v>1</v>
      </c>
      <c r="AW239" s="12">
        <v>43647</v>
      </c>
      <c r="AX239" s="9">
        <v>9310</v>
      </c>
      <c r="AY239" s="9">
        <v>6400</v>
      </c>
      <c r="AZ239" s="9">
        <v>1800</v>
      </c>
      <c r="BA239" s="9">
        <v>6400</v>
      </c>
      <c r="BB239" s="9">
        <v>1800.000244140625</v>
      </c>
      <c r="BC239" s="9">
        <v>201000</v>
      </c>
      <c r="BD239" s="9">
        <v>900</v>
      </c>
      <c r="BE239" s="9">
        <v>100</v>
      </c>
      <c r="BF239" s="9"/>
      <c r="BG239" s="9">
        <v>9580</v>
      </c>
      <c r="BH239" s="9">
        <v>6300</v>
      </c>
      <c r="BI239" s="9">
        <v>2100</v>
      </c>
      <c r="BJ239" s="9">
        <v>256000</v>
      </c>
      <c r="BK239" s="9">
        <v>900</v>
      </c>
      <c r="BL239" s="9">
        <v>200</v>
      </c>
      <c r="BM239" s="9"/>
      <c r="BN239" s="9">
        <v>8430</v>
      </c>
      <c r="BO239" s="9">
        <v>5500</v>
      </c>
      <c r="BP239" s="9">
        <v>1700</v>
      </c>
      <c r="BQ239" s="9">
        <v>212000</v>
      </c>
      <c r="BR239" s="9">
        <v>1000</v>
      </c>
      <c r="BS239" s="9">
        <v>100</v>
      </c>
      <c r="BT239" s="9"/>
      <c r="BU239" s="9">
        <v>10740</v>
      </c>
      <c r="BV239" s="9">
        <v>7500</v>
      </c>
      <c r="BW239" s="9">
        <v>1900</v>
      </c>
      <c r="BX239" s="9">
        <v>254000</v>
      </c>
      <c r="BY239" s="9">
        <v>1000</v>
      </c>
      <c r="BZ239" s="10" t="s">
        <v>524</v>
      </c>
      <c r="CA239" s="9">
        <v>200</v>
      </c>
      <c r="CB239" s="9"/>
      <c r="CC239" s="10">
        <f t="shared" si="80"/>
        <v>3.5555550733025347</v>
      </c>
      <c r="CD239" s="10">
        <f t="shared" si="81"/>
        <v>111.66665152090772</v>
      </c>
      <c r="CE239" s="10">
        <f t="shared" si="91"/>
        <v>714666.56973380945</v>
      </c>
      <c r="CF239" s="10">
        <f t="shared" si="73"/>
        <v>0</v>
      </c>
      <c r="CG239" s="10">
        <f t="shared" si="74"/>
        <v>0</v>
      </c>
      <c r="CH239" s="10">
        <f t="shared" si="75"/>
        <v>2</v>
      </c>
      <c r="CI239" s="9">
        <f t="shared" si="82"/>
        <v>1</v>
      </c>
      <c r="CJ239" s="10">
        <f t="shared" si="76"/>
        <v>21</v>
      </c>
      <c r="CK239" s="10" t="b">
        <f t="shared" si="83"/>
        <v>1</v>
      </c>
      <c r="CL239" s="10" t="b">
        <f t="shared" si="84"/>
        <v>1</v>
      </c>
      <c r="CM239" s="10" t="b">
        <f t="shared" si="85"/>
        <v>0</v>
      </c>
      <c r="CN239" s="9">
        <f t="shared" si="86"/>
        <v>1</v>
      </c>
      <c r="CO239" s="10">
        <f t="shared" si="92"/>
        <v>2</v>
      </c>
      <c r="CP239" s="10" t="b">
        <f t="shared" si="87"/>
        <v>0</v>
      </c>
      <c r="CQ239" s="10" t="b">
        <f t="shared" si="88"/>
        <v>0</v>
      </c>
      <c r="CR239" s="10" cm="1">
        <f t="array" ref="CR239">_xlfn.IFS(AND($CI239=0, CK239=FALSE), NA(), AND($CI239=1, CK239=FALSE), 0, CK239=TRUE, 1)</f>
        <v>1</v>
      </c>
      <c r="CS239" s="10" cm="1">
        <f t="array" ref="CS239">_xlfn.IFS(AND($CI239=0, CL239=FALSE), NA(), AND($CI239=1, CL239=FALSE), 0, CL239=TRUE, 1)</f>
        <v>1</v>
      </c>
      <c r="CT239" s="10" cm="1">
        <f t="array" ref="CT239">_xlfn.IFS(AND($CI239=0, CM239=FALSE), NA(), AND($CI239=1, CM239=FALSE), 0, CM239=TRUE, 1)</f>
        <v>0</v>
      </c>
      <c r="CU239" s="10" cm="1">
        <f t="array" ref="CU239">_xlfn.IFS(AND($CN239=0, CP239=FALSE), NA(), AND($CN239=1, CP239=FALSE), 0, CP239=TRUE, 1)</f>
        <v>0</v>
      </c>
      <c r="CV239" s="10" cm="1">
        <f t="array" ref="CV239">_xlfn.IFS(AND($CN239=0, CQ239=FALSE), NA(), AND($CN239=1, CQ239=FALSE), 0, CQ239=TRUE, 1)</f>
        <v>0</v>
      </c>
    </row>
    <row r="240" spans="1:100" x14ac:dyDescent="0.25">
      <c r="A240" s="8">
        <v>239</v>
      </c>
      <c r="B240" s="9">
        <v>71</v>
      </c>
      <c r="C240" s="10" t="s">
        <v>9</v>
      </c>
      <c r="D240" s="11" t="s">
        <v>99</v>
      </c>
      <c r="E240" s="12">
        <v>23528</v>
      </c>
      <c r="F240" s="13">
        <v>1</v>
      </c>
      <c r="G240" s="9">
        <v>49.122520446777344</v>
      </c>
      <c r="H240" s="12">
        <v>41470</v>
      </c>
      <c r="I240" s="9">
        <v>1</v>
      </c>
      <c r="J240" s="12">
        <v>41470</v>
      </c>
      <c r="K240" s="9">
        <v>1</v>
      </c>
      <c r="L240" s="9">
        <v>1</v>
      </c>
      <c r="M240" s="10" t="s">
        <v>401</v>
      </c>
      <c r="N240" s="9">
        <v>2</v>
      </c>
      <c r="O240" s="10" t="s">
        <v>145</v>
      </c>
      <c r="P240" s="9">
        <v>2</v>
      </c>
      <c r="Q240" s="10" t="s">
        <v>145</v>
      </c>
      <c r="R240" s="12">
        <v>41470</v>
      </c>
      <c r="S240" s="10" t="s">
        <v>145</v>
      </c>
      <c r="T240" s="9">
        <v>6</v>
      </c>
      <c r="U240" s="10" t="s">
        <v>401</v>
      </c>
      <c r="V240" s="10" t="s">
        <v>401</v>
      </c>
      <c r="W240" s="9"/>
      <c r="X240" s="9"/>
      <c r="Y240" s="9">
        <v>3</v>
      </c>
      <c r="Z240" s="19">
        <v>1</v>
      </c>
      <c r="AB240" s="9"/>
      <c r="AC240" s="9"/>
      <c r="AD240" s="9">
        <v>2</v>
      </c>
      <c r="AE240" s="9">
        <v>2</v>
      </c>
      <c r="AF240" s="9">
        <v>1</v>
      </c>
      <c r="AG240" s="9">
        <v>1</v>
      </c>
      <c r="AH240" s="9">
        <v>1</v>
      </c>
      <c r="AI240" s="9">
        <v>1</v>
      </c>
      <c r="AJ240" s="12">
        <v>42478</v>
      </c>
      <c r="AK240" s="9">
        <v>2</v>
      </c>
      <c r="AL240" s="12">
        <v>42744</v>
      </c>
      <c r="AM240" s="9">
        <v>3</v>
      </c>
      <c r="AN240" s="12">
        <v>42602</v>
      </c>
      <c r="AO240" s="12">
        <v>42724</v>
      </c>
      <c r="AP240" s="12">
        <v>42781</v>
      </c>
      <c r="AQ240" s="9">
        <v>1</v>
      </c>
      <c r="AR240" s="9">
        <f t="shared" si="78"/>
        <v>1</v>
      </c>
      <c r="AS240" s="9">
        <v>1</v>
      </c>
      <c r="AT240" s="9">
        <v>1</v>
      </c>
      <c r="AU240" s="9">
        <v>1</v>
      </c>
      <c r="AV240" s="9">
        <f t="shared" si="79"/>
        <v>0</v>
      </c>
      <c r="AW240" s="12">
        <v>43322</v>
      </c>
      <c r="AX240" s="9">
        <v>6960</v>
      </c>
      <c r="AY240" s="9">
        <v>5500</v>
      </c>
      <c r="AZ240" s="9">
        <v>900</v>
      </c>
      <c r="BA240" s="9">
        <v>5500</v>
      </c>
      <c r="BB240" s="9">
        <v>900.0001220703125</v>
      </c>
      <c r="BC240" s="9">
        <v>221000</v>
      </c>
      <c r="BD240" s="9">
        <v>500</v>
      </c>
      <c r="BE240" s="9">
        <v>100</v>
      </c>
      <c r="BF240" s="9"/>
      <c r="BG240" s="9">
        <v>5600</v>
      </c>
      <c r="BH240" s="9">
        <v>5400</v>
      </c>
      <c r="BI240" s="9">
        <v>900</v>
      </c>
      <c r="BJ240" s="9">
        <v>2310000</v>
      </c>
      <c r="BK240" s="9">
        <v>500</v>
      </c>
      <c r="BL240" s="9">
        <v>102</v>
      </c>
      <c r="BM240" s="9">
        <v>231</v>
      </c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10" t="s">
        <v>401</v>
      </c>
      <c r="CA240" s="9"/>
      <c r="CB240" s="9"/>
      <c r="CC240" s="10">
        <f t="shared" si="80"/>
        <v>6.1111102822387311</v>
      </c>
      <c r="CD240" s="10">
        <f t="shared" si="81"/>
        <v>245.55552224995628</v>
      </c>
      <c r="CE240" s="10">
        <f t="shared" si="91"/>
        <v>1350555.3723747595</v>
      </c>
      <c r="CF240" s="10">
        <f t="shared" si="73"/>
        <v>1</v>
      </c>
      <c r="CG240" s="10">
        <f t="shared" si="74"/>
        <v>0</v>
      </c>
      <c r="CH240" s="10">
        <f t="shared" si="75"/>
        <v>9</v>
      </c>
      <c r="CI240" s="9">
        <f t="shared" si="82"/>
        <v>0</v>
      </c>
      <c r="CJ240" s="10">
        <f t="shared" si="76"/>
        <v>28</v>
      </c>
      <c r="CK240" s="10" t="b">
        <f t="shared" si="83"/>
        <v>1</v>
      </c>
      <c r="CL240" s="10" t="b">
        <f t="shared" si="84"/>
        <v>1</v>
      </c>
      <c r="CM240" s="10" t="b">
        <f t="shared" si="85"/>
        <v>1</v>
      </c>
      <c r="CN240" s="9">
        <f t="shared" si="86"/>
        <v>1</v>
      </c>
      <c r="CO240" s="10">
        <f t="shared" si="92"/>
        <v>8</v>
      </c>
      <c r="CP240" s="10" t="b">
        <f t="shared" si="87"/>
        <v>1</v>
      </c>
      <c r="CQ240" s="10" t="b">
        <f t="shared" si="88"/>
        <v>0</v>
      </c>
      <c r="CR240" s="10" cm="1">
        <f t="array" ref="CR240">_xlfn.IFS(AND($CI240=0, CK240=FALSE), NA(), AND($CI240=1, CK240=FALSE), 0, CK240=TRUE, 1)</f>
        <v>1</v>
      </c>
      <c r="CS240" s="10" cm="1">
        <f t="array" ref="CS240">_xlfn.IFS(AND($CI240=0, CL240=FALSE), NA(), AND($CI240=1, CL240=FALSE), 0, CL240=TRUE, 1)</f>
        <v>1</v>
      </c>
      <c r="CT240" s="10" cm="1">
        <f t="array" ref="CT240">_xlfn.IFS(AND($CI240=0, CM240=FALSE), NA(), AND($CI240=1, CM240=FALSE), 0, CM240=TRUE, 1)</f>
        <v>1</v>
      </c>
      <c r="CU240" s="10" cm="1">
        <f t="array" ref="CU240">_xlfn.IFS(AND($CN240=0, CP240=FALSE), NA(), AND($CN240=1, CP240=FALSE), 0, CP240=TRUE, 1)</f>
        <v>1</v>
      </c>
      <c r="CV240" s="10" cm="1">
        <f t="array" ref="CV240">_xlfn.IFS(AND($CN240=0, CQ240=FALSE), NA(), AND($CN240=1, CQ240=FALSE), 0, CQ240=TRUE, 1)</f>
        <v>0</v>
      </c>
    </row>
    <row r="241" spans="1:100" ht="15.75" x14ac:dyDescent="0.25">
      <c r="A241" s="8">
        <v>240</v>
      </c>
      <c r="B241" s="9">
        <v>171</v>
      </c>
      <c r="C241" s="10" t="s">
        <v>15</v>
      </c>
      <c r="D241" s="11" t="s">
        <v>164</v>
      </c>
      <c r="E241" s="12">
        <v>22987</v>
      </c>
      <c r="F241" s="13">
        <v>1</v>
      </c>
      <c r="G241" s="9">
        <v>50.609172821044922</v>
      </c>
      <c r="H241" s="12">
        <v>41472</v>
      </c>
      <c r="I241" s="9">
        <v>1</v>
      </c>
      <c r="J241" s="12">
        <v>41508</v>
      </c>
      <c r="K241" s="9">
        <v>0</v>
      </c>
      <c r="L241" s="9">
        <v>1</v>
      </c>
      <c r="M241" s="10" t="s">
        <v>401</v>
      </c>
      <c r="N241" s="9"/>
      <c r="O241" s="10" t="s">
        <v>401</v>
      </c>
      <c r="P241" s="9"/>
      <c r="Q241" s="10" t="s">
        <v>401</v>
      </c>
      <c r="R241" s="12">
        <v>42902</v>
      </c>
      <c r="S241" s="10" t="s">
        <v>145</v>
      </c>
      <c r="T241" s="9"/>
      <c r="U241" s="10" t="s">
        <v>401</v>
      </c>
      <c r="V241" s="10" t="s">
        <v>401</v>
      </c>
      <c r="W241" s="9"/>
      <c r="X241" s="9"/>
      <c r="Y241" s="9">
        <v>2</v>
      </c>
      <c r="Z241" s="14">
        <v>1</v>
      </c>
      <c r="AA241" s="17">
        <v>10.3</v>
      </c>
      <c r="AB241" s="18">
        <v>98</v>
      </c>
      <c r="AC241" s="18">
        <v>14</v>
      </c>
      <c r="AD241" s="9">
        <v>2</v>
      </c>
      <c r="AE241" s="9">
        <v>2</v>
      </c>
      <c r="AF241" s="9">
        <v>2</v>
      </c>
      <c r="AG241" s="9">
        <v>1</v>
      </c>
      <c r="AH241" s="9">
        <v>1</v>
      </c>
      <c r="AI241" s="9">
        <v>0</v>
      </c>
      <c r="AJ241" s="12">
        <v>43154</v>
      </c>
      <c r="AK241" s="9">
        <v>2</v>
      </c>
      <c r="AL241" s="12">
        <v>43231</v>
      </c>
      <c r="AM241" s="9">
        <v>4</v>
      </c>
      <c r="AN241" s="12">
        <v>43197</v>
      </c>
      <c r="AO241" s="12">
        <v>43197</v>
      </c>
      <c r="AP241" s="12">
        <v>43256</v>
      </c>
      <c r="AQ241" s="9">
        <v>1</v>
      </c>
      <c r="AR241" s="9">
        <f t="shared" si="78"/>
        <v>1</v>
      </c>
      <c r="AS241" s="9">
        <v>1</v>
      </c>
      <c r="AT241" s="9">
        <v>1</v>
      </c>
      <c r="AU241" s="9">
        <v>2</v>
      </c>
      <c r="AV241" s="9">
        <f t="shared" si="79"/>
        <v>1</v>
      </c>
      <c r="AW241" s="12">
        <v>43426</v>
      </c>
      <c r="AX241" s="9">
        <v>5290</v>
      </c>
      <c r="AY241" s="9">
        <v>3250</v>
      </c>
      <c r="AZ241" s="9">
        <v>1070</v>
      </c>
      <c r="BA241" s="9">
        <v>3250</v>
      </c>
      <c r="BB241" s="9">
        <v>1069.9998779296875</v>
      </c>
      <c r="BC241" s="9">
        <v>443000</v>
      </c>
      <c r="BD241" s="9">
        <v>720</v>
      </c>
      <c r="BE241" s="9">
        <v>140</v>
      </c>
      <c r="BF241" s="9"/>
      <c r="BG241" s="9">
        <v>11890</v>
      </c>
      <c r="BH241" s="9">
        <v>8400</v>
      </c>
      <c r="BI241" s="9"/>
      <c r="BJ241" s="9">
        <v>694000</v>
      </c>
      <c r="BK241" s="9"/>
      <c r="BL241" s="9"/>
      <c r="BM241" s="9">
        <v>171</v>
      </c>
      <c r="BN241" s="9">
        <v>14350</v>
      </c>
      <c r="BO241" s="9">
        <v>10500</v>
      </c>
      <c r="BP241" s="9"/>
      <c r="BQ241" s="9">
        <v>554000</v>
      </c>
      <c r="BR241" s="9"/>
      <c r="BS241" s="9"/>
      <c r="BT241" s="9">
        <v>209</v>
      </c>
      <c r="BU241" s="9">
        <v>22650</v>
      </c>
      <c r="BV241" s="9">
        <v>19820</v>
      </c>
      <c r="BW241" s="9">
        <v>1580</v>
      </c>
      <c r="BX241" s="9">
        <v>454000</v>
      </c>
      <c r="BY241" s="9">
        <v>1150</v>
      </c>
      <c r="BZ241" s="10" t="s">
        <v>307</v>
      </c>
      <c r="CA241" s="9">
        <v>20</v>
      </c>
      <c r="CB241" s="9">
        <v>134</v>
      </c>
      <c r="CC241" s="10">
        <f t="shared" si="80"/>
        <v>3.0373835240881832</v>
      </c>
      <c r="CD241" s="10">
        <f t="shared" si="81"/>
        <v>414.01873882186618</v>
      </c>
      <c r="CE241" s="10">
        <f t="shared" si="91"/>
        <v>1345560.9011710652</v>
      </c>
      <c r="CF241" s="10">
        <f t="shared" si="73"/>
        <v>0</v>
      </c>
      <c r="CG241" s="10">
        <f t="shared" si="74"/>
        <v>0</v>
      </c>
      <c r="CH241" s="10">
        <f t="shared" si="75"/>
        <v>3</v>
      </c>
      <c r="CI241" s="9">
        <f t="shared" si="82"/>
        <v>1</v>
      </c>
      <c r="CJ241" s="10">
        <f t="shared" si="76"/>
        <v>9</v>
      </c>
      <c r="CK241" s="10" t="b">
        <f t="shared" si="83"/>
        <v>1</v>
      </c>
      <c r="CL241" s="10" t="b">
        <f t="shared" si="84"/>
        <v>0</v>
      </c>
      <c r="CM241" s="10" t="b">
        <f t="shared" si="85"/>
        <v>0</v>
      </c>
      <c r="CN241" s="9">
        <f t="shared" si="86"/>
        <v>1</v>
      </c>
      <c r="CO241" s="10">
        <f t="shared" si="92"/>
        <v>2</v>
      </c>
      <c r="CP241" s="10" t="b">
        <f t="shared" si="87"/>
        <v>0</v>
      </c>
      <c r="CQ241" s="10" t="b">
        <f t="shared" si="88"/>
        <v>0</v>
      </c>
      <c r="CR241" s="10" cm="1">
        <f t="array" ref="CR241">_xlfn.IFS(AND($CI241=0, CK241=FALSE), NA(), AND($CI241=1, CK241=FALSE), 0, CK241=TRUE, 1)</f>
        <v>1</v>
      </c>
      <c r="CS241" s="10" cm="1">
        <f t="array" ref="CS241">_xlfn.IFS(AND($CI241=0, CL241=FALSE), NA(), AND($CI241=1, CL241=FALSE), 0, CL241=TRUE, 1)</f>
        <v>0</v>
      </c>
      <c r="CT241" s="10" cm="1">
        <f t="array" ref="CT241">_xlfn.IFS(AND($CI241=0, CM241=FALSE), NA(), AND($CI241=1, CM241=FALSE), 0, CM241=TRUE, 1)</f>
        <v>0</v>
      </c>
      <c r="CU241" s="10" cm="1">
        <f t="array" ref="CU241">_xlfn.IFS(AND($CN241=0, CP241=FALSE), NA(), AND($CN241=1, CP241=FALSE), 0, CP241=TRUE, 1)</f>
        <v>0</v>
      </c>
      <c r="CV241" s="10" cm="1">
        <f t="array" ref="CV241">_xlfn.IFS(AND($CN241=0, CQ241=FALSE), NA(), AND($CN241=1, CQ241=FALSE), 0, CQ241=TRUE, 1)</f>
        <v>0</v>
      </c>
    </row>
    <row r="242" spans="1:100" ht="15.75" x14ac:dyDescent="0.25">
      <c r="A242" s="8">
        <v>241</v>
      </c>
      <c r="B242" s="9">
        <v>42</v>
      </c>
      <c r="C242" s="10" t="s">
        <v>6</v>
      </c>
      <c r="D242" s="11" t="s">
        <v>76</v>
      </c>
      <c r="E242" s="12">
        <v>16027</v>
      </c>
      <c r="F242" s="13">
        <v>1</v>
      </c>
      <c r="G242" s="9">
        <v>69.681037902832031</v>
      </c>
      <c r="H242" s="12">
        <v>41478</v>
      </c>
      <c r="I242" s="9">
        <v>1</v>
      </c>
      <c r="J242" s="12">
        <v>41478</v>
      </c>
      <c r="K242" s="9">
        <v>0</v>
      </c>
      <c r="L242" s="9">
        <v>1</v>
      </c>
      <c r="M242" s="10" t="s">
        <v>401</v>
      </c>
      <c r="N242" s="9">
        <v>2</v>
      </c>
      <c r="O242" s="10" t="s">
        <v>145</v>
      </c>
      <c r="P242" s="9">
        <v>2</v>
      </c>
      <c r="Q242" s="10" t="s">
        <v>145</v>
      </c>
      <c r="R242" s="12">
        <v>41815</v>
      </c>
      <c r="S242" s="10" t="s">
        <v>145</v>
      </c>
      <c r="T242" s="9">
        <v>5</v>
      </c>
      <c r="U242" s="10" t="s">
        <v>401</v>
      </c>
      <c r="V242" s="10" t="s">
        <v>401</v>
      </c>
      <c r="W242" s="9"/>
      <c r="X242" s="9"/>
      <c r="Y242" s="9">
        <v>3</v>
      </c>
      <c r="Z242" s="14">
        <v>1</v>
      </c>
      <c r="AA242" s="17">
        <v>11.1</v>
      </c>
      <c r="AB242" s="18" t="s">
        <v>461</v>
      </c>
      <c r="AC242" s="18">
        <v>14</v>
      </c>
      <c r="AD242" s="9">
        <v>2</v>
      </c>
      <c r="AE242" s="9">
        <v>2</v>
      </c>
      <c r="AF242" s="9">
        <v>1</v>
      </c>
      <c r="AG242" s="9">
        <v>1</v>
      </c>
      <c r="AH242" s="9">
        <v>1</v>
      </c>
      <c r="AI242" s="9">
        <v>1</v>
      </c>
      <c r="AJ242" s="12">
        <v>43112</v>
      </c>
      <c r="AK242" s="9">
        <v>2</v>
      </c>
      <c r="AL242" s="12">
        <v>44585</v>
      </c>
      <c r="AM242" s="9">
        <v>2</v>
      </c>
      <c r="AN242" s="12">
        <v>43217</v>
      </c>
      <c r="AO242" s="12">
        <v>43313</v>
      </c>
      <c r="AP242" s="12">
        <v>44774</v>
      </c>
      <c r="AQ242" s="9">
        <v>1</v>
      </c>
      <c r="AR242" s="9">
        <f t="shared" si="78"/>
        <v>1</v>
      </c>
      <c r="AS242" s="9">
        <v>1</v>
      </c>
      <c r="AT242" s="9">
        <v>1</v>
      </c>
      <c r="AU242" s="9">
        <v>2</v>
      </c>
      <c r="AV242" s="9">
        <f t="shared" si="79"/>
        <v>1</v>
      </c>
      <c r="AW242" s="12">
        <v>44774</v>
      </c>
      <c r="AX242" s="9">
        <v>8960</v>
      </c>
      <c r="AY242" s="9">
        <v>5470</v>
      </c>
      <c r="AZ242" s="9">
        <v>2510</v>
      </c>
      <c r="BA242" s="9">
        <v>5470</v>
      </c>
      <c r="BB242" s="9">
        <v>2510.00048828125</v>
      </c>
      <c r="BC242" s="9">
        <v>307000</v>
      </c>
      <c r="BD242" s="9"/>
      <c r="BE242" s="9"/>
      <c r="BF242" s="9">
        <v>212</v>
      </c>
      <c r="BG242" s="9">
        <v>10550</v>
      </c>
      <c r="BH242" s="9">
        <v>7060</v>
      </c>
      <c r="BI242" s="9">
        <v>2100</v>
      </c>
      <c r="BJ242" s="9">
        <v>275000</v>
      </c>
      <c r="BK242" s="9"/>
      <c r="BL242" s="9"/>
      <c r="BM242" s="9">
        <v>209</v>
      </c>
      <c r="BN242" s="9">
        <v>12200</v>
      </c>
      <c r="BO242" s="9">
        <v>8850</v>
      </c>
      <c r="BP242" s="9">
        <v>3150</v>
      </c>
      <c r="BQ242" s="9">
        <v>440000</v>
      </c>
      <c r="BR242" s="9"/>
      <c r="BS242" s="9"/>
      <c r="BT242" s="9">
        <v>301</v>
      </c>
      <c r="BU242" s="9">
        <v>15570</v>
      </c>
      <c r="BV242" s="9">
        <v>12800</v>
      </c>
      <c r="BW242" s="9">
        <v>2100</v>
      </c>
      <c r="BX242" s="9">
        <v>411000</v>
      </c>
      <c r="BY242" s="9"/>
      <c r="BZ242" s="10" t="s">
        <v>401</v>
      </c>
      <c r="CA242" s="9"/>
      <c r="CB242" s="9">
        <v>209</v>
      </c>
      <c r="CC242" s="10">
        <f t="shared" si="80"/>
        <v>2.1792824445805752</v>
      </c>
      <c r="CD242" s="10">
        <f t="shared" si="81"/>
        <v>122.31073317847104</v>
      </c>
      <c r="CE242" s="10">
        <f t="shared" si="91"/>
        <v>669039.71048623661</v>
      </c>
      <c r="CF242" s="10">
        <f t="shared" si="73"/>
        <v>1</v>
      </c>
      <c r="CG242" s="10">
        <f t="shared" si="74"/>
        <v>1</v>
      </c>
      <c r="CH242" s="10">
        <f t="shared" si="75"/>
        <v>48</v>
      </c>
      <c r="CI242" s="9">
        <f t="shared" si="82"/>
        <v>1</v>
      </c>
      <c r="CJ242" s="10">
        <f t="shared" si="76"/>
        <v>55</v>
      </c>
      <c r="CK242" s="10" t="b">
        <f t="shared" si="83"/>
        <v>1</v>
      </c>
      <c r="CL242" s="10" t="b">
        <f t="shared" si="84"/>
        <v>1</v>
      </c>
      <c r="CM242" s="10" t="b">
        <f t="shared" si="85"/>
        <v>1</v>
      </c>
      <c r="CN242" s="9">
        <f t="shared" si="86"/>
        <v>1</v>
      </c>
      <c r="CO242" s="10">
        <f t="shared" si="92"/>
        <v>7</v>
      </c>
      <c r="CP242" s="10" t="b">
        <f t="shared" si="87"/>
        <v>1</v>
      </c>
      <c r="CQ242" s="10" t="b">
        <f t="shared" si="88"/>
        <v>0</v>
      </c>
      <c r="CR242" s="10" cm="1">
        <f t="array" ref="CR242">_xlfn.IFS(AND($CI242=0, CK242=FALSE), NA(), AND($CI242=1, CK242=FALSE), 0, CK242=TRUE, 1)</f>
        <v>1</v>
      </c>
      <c r="CS242" s="10" cm="1">
        <f t="array" ref="CS242">_xlfn.IFS(AND($CI242=0, CL242=FALSE), NA(), AND($CI242=1, CL242=FALSE), 0, CL242=TRUE, 1)</f>
        <v>1</v>
      </c>
      <c r="CT242" s="10" cm="1">
        <f t="array" ref="CT242">_xlfn.IFS(AND($CI242=0, CM242=FALSE), NA(), AND($CI242=1, CM242=FALSE), 0, CM242=TRUE, 1)</f>
        <v>1</v>
      </c>
      <c r="CU242" s="10" cm="1">
        <f t="array" ref="CU242">_xlfn.IFS(AND($CN242=0, CP242=FALSE), NA(), AND($CN242=1, CP242=FALSE), 0, CP242=TRUE, 1)</f>
        <v>1</v>
      </c>
      <c r="CV242" s="10" cm="1">
        <f t="array" ref="CV242">_xlfn.IFS(AND($CN242=0, CQ242=FALSE), NA(), AND($CN242=1, CQ242=FALSE), 0, CQ242=TRUE, 1)</f>
        <v>0</v>
      </c>
    </row>
    <row r="243" spans="1:100" ht="15.75" x14ac:dyDescent="0.25">
      <c r="A243" s="8">
        <v>242</v>
      </c>
      <c r="B243" s="9">
        <v>258</v>
      </c>
      <c r="C243" s="10" t="s">
        <v>21</v>
      </c>
      <c r="D243" s="11" t="s">
        <v>213</v>
      </c>
      <c r="E243" s="12">
        <v>13993</v>
      </c>
      <c r="F243" s="13">
        <v>1</v>
      </c>
      <c r="G243" s="9">
        <v>75.258041381835938</v>
      </c>
      <c r="H243" s="12">
        <v>41481</v>
      </c>
      <c r="I243" s="9">
        <v>1</v>
      </c>
      <c r="J243" s="12">
        <v>41481</v>
      </c>
      <c r="K243" s="9">
        <v>0</v>
      </c>
      <c r="L243" s="9">
        <v>1</v>
      </c>
      <c r="M243" s="10" t="s">
        <v>401</v>
      </c>
      <c r="N243" s="9"/>
      <c r="O243" s="10" t="s">
        <v>401</v>
      </c>
      <c r="P243" s="9"/>
      <c r="Q243" s="10" t="s">
        <v>401</v>
      </c>
      <c r="R243" s="12">
        <v>41972</v>
      </c>
      <c r="S243" s="10" t="s">
        <v>145</v>
      </c>
      <c r="T243" s="9">
        <v>6</v>
      </c>
      <c r="U243" s="10" t="s">
        <v>401</v>
      </c>
      <c r="V243" s="10" t="s">
        <v>401</v>
      </c>
      <c r="W243" s="9"/>
      <c r="X243" s="9"/>
      <c r="Y243" s="9">
        <v>3</v>
      </c>
      <c r="Z243" s="14">
        <v>1</v>
      </c>
      <c r="AA243" s="15">
        <v>13.5</v>
      </c>
      <c r="AB243" s="16">
        <v>85</v>
      </c>
      <c r="AC243" s="16">
        <v>17</v>
      </c>
      <c r="AD243" s="9">
        <v>2</v>
      </c>
      <c r="AE243" s="9">
        <v>2</v>
      </c>
      <c r="AF243" s="9">
        <v>1</v>
      </c>
      <c r="AG243" s="9">
        <v>0</v>
      </c>
      <c r="AH243" s="9">
        <v>1</v>
      </c>
      <c r="AI243" s="9">
        <v>0</v>
      </c>
      <c r="AJ243" s="12">
        <v>42417</v>
      </c>
      <c r="AK243" s="9">
        <v>2</v>
      </c>
      <c r="AL243" s="12">
        <v>44445</v>
      </c>
      <c r="AM243" s="9">
        <v>2</v>
      </c>
      <c r="AN243" s="12">
        <v>43076</v>
      </c>
      <c r="AO243" s="12">
        <v>44461</v>
      </c>
      <c r="AP243" s="12">
        <v>44461</v>
      </c>
      <c r="AQ243" s="9">
        <v>1</v>
      </c>
      <c r="AR243" s="9">
        <f t="shared" si="78"/>
        <v>1</v>
      </c>
      <c r="AS243" s="9">
        <v>1</v>
      </c>
      <c r="AT243" s="9">
        <v>2</v>
      </c>
      <c r="AU243" s="9">
        <v>2</v>
      </c>
      <c r="AV243" s="9">
        <f t="shared" si="79"/>
        <v>1</v>
      </c>
      <c r="AW243" s="12">
        <v>44468</v>
      </c>
      <c r="AX243" s="9">
        <v>14290</v>
      </c>
      <c r="AY243" s="9">
        <v>10310</v>
      </c>
      <c r="AZ243" s="9">
        <v>2480</v>
      </c>
      <c r="BA243" s="9">
        <v>10310</v>
      </c>
      <c r="BB243" s="9">
        <v>2480</v>
      </c>
      <c r="BC243" s="9">
        <v>308000</v>
      </c>
      <c r="BD243" s="9">
        <v>1280</v>
      </c>
      <c r="BE243" s="9">
        <v>200</v>
      </c>
      <c r="BF243" s="9">
        <v>266</v>
      </c>
      <c r="BG243" s="9">
        <v>13900</v>
      </c>
      <c r="BH243" s="9">
        <v>9750</v>
      </c>
      <c r="BI243" s="9">
        <v>2200</v>
      </c>
      <c r="BJ243" s="9">
        <v>320000</v>
      </c>
      <c r="BK243" s="9">
        <v>1670</v>
      </c>
      <c r="BL243" s="9">
        <v>250</v>
      </c>
      <c r="BM243" s="9">
        <v>292</v>
      </c>
      <c r="BN243" s="9">
        <v>11430</v>
      </c>
      <c r="BO243" s="9">
        <v>7700</v>
      </c>
      <c r="BP243" s="9">
        <v>1840</v>
      </c>
      <c r="BQ243" s="9">
        <v>324000</v>
      </c>
      <c r="BR243" s="9">
        <v>1500</v>
      </c>
      <c r="BS243" s="9">
        <v>360</v>
      </c>
      <c r="BT243" s="9">
        <v>273</v>
      </c>
      <c r="BU243" s="9">
        <v>12920</v>
      </c>
      <c r="BV243" s="9">
        <v>8760</v>
      </c>
      <c r="BW243" s="9">
        <v>2560</v>
      </c>
      <c r="BX243" s="9">
        <v>319000</v>
      </c>
      <c r="BY243" s="9">
        <v>1380</v>
      </c>
      <c r="BZ243" s="10" t="s">
        <v>526</v>
      </c>
      <c r="CA243" s="9">
        <v>190</v>
      </c>
      <c r="CB243" s="9">
        <v>269</v>
      </c>
      <c r="CC243" s="10">
        <f t="shared" si="80"/>
        <v>4.157258064516129</v>
      </c>
      <c r="CD243" s="10">
        <f t="shared" si="81"/>
        <v>124.19354838709677</v>
      </c>
      <c r="CE243" s="10">
        <f t="shared" si="91"/>
        <v>1280435.4838709678</v>
      </c>
      <c r="CF243" s="10">
        <f t="shared" si="73"/>
        <v>1</v>
      </c>
      <c r="CG243" s="10">
        <f t="shared" si="74"/>
        <v>1</v>
      </c>
      <c r="CH243" s="10">
        <f t="shared" si="75"/>
        <v>67</v>
      </c>
      <c r="CI243" s="9">
        <f t="shared" si="82"/>
        <v>1</v>
      </c>
      <c r="CJ243" s="10">
        <f t="shared" si="76"/>
        <v>67</v>
      </c>
      <c r="CK243" s="10" t="b">
        <f t="shared" si="83"/>
        <v>1</v>
      </c>
      <c r="CL243" s="10" t="b">
        <f t="shared" si="84"/>
        <v>1</v>
      </c>
      <c r="CM243" s="10" t="b">
        <f t="shared" si="85"/>
        <v>1</v>
      </c>
      <c r="CN243" s="9">
        <f t="shared" si="86"/>
        <v>1</v>
      </c>
      <c r="CO243" s="10">
        <f t="shared" si="92"/>
        <v>67</v>
      </c>
      <c r="CP243" s="10" t="b">
        <f t="shared" si="87"/>
        <v>1</v>
      </c>
      <c r="CQ243" s="10" t="b">
        <f t="shared" si="88"/>
        <v>1</v>
      </c>
      <c r="CR243" s="10" cm="1">
        <f t="array" ref="CR243">_xlfn.IFS(AND($CI243=0, CK243=FALSE), NA(), AND($CI243=1, CK243=FALSE), 0, CK243=TRUE, 1)</f>
        <v>1</v>
      </c>
      <c r="CS243" s="10" cm="1">
        <f t="array" ref="CS243">_xlfn.IFS(AND($CI243=0, CL243=FALSE), NA(), AND($CI243=1, CL243=FALSE), 0, CL243=TRUE, 1)</f>
        <v>1</v>
      </c>
      <c r="CT243" s="10" cm="1">
        <f t="array" ref="CT243">_xlfn.IFS(AND($CI243=0, CM243=FALSE), NA(), AND($CI243=1, CM243=FALSE), 0, CM243=TRUE, 1)</f>
        <v>1</v>
      </c>
      <c r="CU243" s="10" cm="1">
        <f t="array" ref="CU243">_xlfn.IFS(AND($CN243=0, CP243=FALSE), NA(), AND($CN243=1, CP243=FALSE), 0, CP243=TRUE, 1)</f>
        <v>1</v>
      </c>
      <c r="CV243" s="10" cm="1">
        <f t="array" ref="CV243">_xlfn.IFS(AND($CN243=0, CQ243=FALSE), NA(), AND($CN243=1, CQ243=FALSE), 0, CQ243=TRUE, 1)</f>
        <v>1</v>
      </c>
    </row>
    <row r="244" spans="1:100" ht="15.75" x14ac:dyDescent="0.25">
      <c r="A244" s="8">
        <v>243</v>
      </c>
      <c r="B244" s="9">
        <v>63</v>
      </c>
      <c r="C244" s="10" t="s">
        <v>8</v>
      </c>
      <c r="D244" s="11" t="s">
        <v>93</v>
      </c>
      <c r="E244" s="12">
        <v>19009</v>
      </c>
      <c r="F244" s="13">
        <v>2</v>
      </c>
      <c r="G244" s="9">
        <v>61.524982452392578</v>
      </c>
      <c r="H244" s="12">
        <v>41481</v>
      </c>
      <c r="I244" s="9">
        <v>1</v>
      </c>
      <c r="J244" s="12">
        <v>41480</v>
      </c>
      <c r="K244" s="9">
        <v>0</v>
      </c>
      <c r="L244" s="9">
        <v>1</v>
      </c>
      <c r="M244" s="10" t="s">
        <v>401</v>
      </c>
      <c r="N244" s="9">
        <v>1</v>
      </c>
      <c r="O244" s="10" t="s">
        <v>401</v>
      </c>
      <c r="P244" s="9">
        <v>1</v>
      </c>
      <c r="Q244" s="10" t="s">
        <v>401</v>
      </c>
      <c r="R244" s="12">
        <v>41936</v>
      </c>
      <c r="S244" s="10" t="s">
        <v>145</v>
      </c>
      <c r="T244" s="9">
        <v>5</v>
      </c>
      <c r="U244" s="10" t="s">
        <v>401</v>
      </c>
      <c r="V244" s="10" t="s">
        <v>401</v>
      </c>
      <c r="W244" s="9"/>
      <c r="X244" s="9"/>
      <c r="Y244" s="9">
        <v>3</v>
      </c>
      <c r="Z244" s="14">
        <v>1</v>
      </c>
      <c r="AA244" s="17">
        <v>11.6</v>
      </c>
      <c r="AB244" s="9"/>
      <c r="AC244" s="9"/>
      <c r="AD244" s="9">
        <v>1</v>
      </c>
      <c r="AE244" s="9">
        <v>1</v>
      </c>
      <c r="AF244" s="9">
        <v>1</v>
      </c>
      <c r="AG244" s="9">
        <v>1</v>
      </c>
      <c r="AH244" s="9">
        <v>0</v>
      </c>
      <c r="AI244" s="9">
        <v>0</v>
      </c>
      <c r="AJ244" s="12">
        <v>42961</v>
      </c>
      <c r="AK244" s="9">
        <v>2</v>
      </c>
      <c r="AL244" s="12">
        <v>43542</v>
      </c>
      <c r="AM244" s="9">
        <v>3</v>
      </c>
      <c r="AN244" s="12">
        <v>43171</v>
      </c>
      <c r="AO244" s="12">
        <v>43075</v>
      </c>
      <c r="AP244" s="12">
        <v>43557</v>
      </c>
      <c r="AQ244" s="9">
        <v>1</v>
      </c>
      <c r="AR244" s="9">
        <f t="shared" si="78"/>
        <v>1</v>
      </c>
      <c r="AS244" s="9">
        <v>1</v>
      </c>
      <c r="AT244" s="9">
        <v>1</v>
      </c>
      <c r="AU244" s="9">
        <v>2</v>
      </c>
      <c r="AV244" s="9">
        <f t="shared" si="79"/>
        <v>1</v>
      </c>
      <c r="AW244" s="12">
        <v>43557</v>
      </c>
      <c r="AX244" s="9">
        <v>7800</v>
      </c>
      <c r="AY244" s="9">
        <v>4000</v>
      </c>
      <c r="AZ244" s="9"/>
      <c r="BA244" s="9">
        <v>4000</v>
      </c>
      <c r="BB244" s="9">
        <v>2338.534912109375</v>
      </c>
      <c r="BC244" s="9">
        <v>456000</v>
      </c>
      <c r="BD244" s="9"/>
      <c r="BE244" s="9"/>
      <c r="BF244" s="9"/>
      <c r="BG244" s="9">
        <v>8400</v>
      </c>
      <c r="BH244" s="9">
        <v>4541</v>
      </c>
      <c r="BI244" s="9"/>
      <c r="BJ244" s="9">
        <v>455000</v>
      </c>
      <c r="BK244" s="9"/>
      <c r="BL244" s="9"/>
      <c r="BM244" s="9"/>
      <c r="BN244" s="9">
        <v>8400</v>
      </c>
      <c r="BO244" s="9">
        <v>4540</v>
      </c>
      <c r="BP244" s="9"/>
      <c r="BQ244" s="9">
        <v>455000</v>
      </c>
      <c r="BR244" s="9"/>
      <c r="BS244" s="9"/>
      <c r="BT244" s="9"/>
      <c r="BU244" s="9">
        <v>8800</v>
      </c>
      <c r="BV244" s="9">
        <v>4939</v>
      </c>
      <c r="BW244" s="9"/>
      <c r="BX244" s="9">
        <v>391000</v>
      </c>
      <c r="BY244" s="9"/>
      <c r="BZ244" s="10" t="s">
        <v>401</v>
      </c>
      <c r="CA244" s="9"/>
      <c r="CB244" s="9"/>
      <c r="CC244" s="10">
        <f t="shared" si="80"/>
        <v>1.7104726464793172</v>
      </c>
      <c r="CD244" s="10">
        <f t="shared" si="81"/>
        <v>194.99388169864216</v>
      </c>
      <c r="CE244" s="10">
        <f t="shared" si="91"/>
        <v>779975.52679456864</v>
      </c>
      <c r="CF244" s="10">
        <f t="shared" si="73"/>
        <v>1</v>
      </c>
      <c r="CG244" s="10">
        <f t="shared" si="74"/>
        <v>0</v>
      </c>
      <c r="CH244" s="10">
        <f t="shared" si="75"/>
        <v>19</v>
      </c>
      <c r="CI244" s="9">
        <f t="shared" si="82"/>
        <v>1</v>
      </c>
      <c r="CJ244" s="10">
        <f t="shared" si="76"/>
        <v>20</v>
      </c>
      <c r="CK244" s="10" t="b">
        <f t="shared" si="83"/>
        <v>1</v>
      </c>
      <c r="CL244" s="10" t="b">
        <f t="shared" si="84"/>
        <v>1</v>
      </c>
      <c r="CM244" s="10" t="b">
        <f t="shared" si="85"/>
        <v>0</v>
      </c>
      <c r="CN244" s="9">
        <f t="shared" si="86"/>
        <v>1</v>
      </c>
      <c r="CO244" s="10">
        <f t="shared" si="92"/>
        <v>4</v>
      </c>
      <c r="CP244" s="10" t="b">
        <f t="shared" si="87"/>
        <v>1</v>
      </c>
      <c r="CQ244" s="10" t="b">
        <f t="shared" si="88"/>
        <v>0</v>
      </c>
      <c r="CR244" s="10" cm="1">
        <f t="array" ref="CR244">_xlfn.IFS(AND($CI244=0, CK244=FALSE), NA(), AND($CI244=1, CK244=FALSE), 0, CK244=TRUE, 1)</f>
        <v>1</v>
      </c>
      <c r="CS244" s="10" cm="1">
        <f t="array" ref="CS244">_xlfn.IFS(AND($CI244=0, CL244=FALSE), NA(), AND($CI244=1, CL244=FALSE), 0, CL244=TRUE, 1)</f>
        <v>1</v>
      </c>
      <c r="CT244" s="10" cm="1">
        <f t="array" ref="CT244">_xlfn.IFS(AND($CI244=0, CM244=FALSE), NA(), AND($CI244=1, CM244=FALSE), 0, CM244=TRUE, 1)</f>
        <v>0</v>
      </c>
      <c r="CU244" s="10" cm="1">
        <f t="array" ref="CU244">_xlfn.IFS(AND($CN244=0, CP244=FALSE), NA(), AND($CN244=1, CP244=FALSE), 0, CP244=TRUE, 1)</f>
        <v>1</v>
      </c>
      <c r="CV244" s="10" cm="1">
        <f t="array" ref="CV244">_xlfn.IFS(AND($CN244=0, CQ244=FALSE), NA(), AND($CN244=1, CQ244=FALSE), 0, CQ244=TRUE, 1)</f>
        <v>0</v>
      </c>
    </row>
    <row r="245" spans="1:100" ht="15.75" x14ac:dyDescent="0.25">
      <c r="A245" s="8">
        <v>244</v>
      </c>
      <c r="B245" s="9">
        <v>569</v>
      </c>
      <c r="C245" s="10" t="s">
        <v>17</v>
      </c>
      <c r="D245" s="11" t="s">
        <v>190</v>
      </c>
      <c r="E245" s="12">
        <v>16836</v>
      </c>
      <c r="F245" s="13">
        <v>1</v>
      </c>
      <c r="G245" s="9">
        <v>67.490760803222656</v>
      </c>
      <c r="H245" s="12">
        <v>41487</v>
      </c>
      <c r="I245" s="9">
        <v>1</v>
      </c>
      <c r="J245" s="12">
        <v>41487</v>
      </c>
      <c r="K245" s="9">
        <v>0</v>
      </c>
      <c r="L245" s="9">
        <v>1</v>
      </c>
      <c r="M245" s="10" t="s">
        <v>401</v>
      </c>
      <c r="N245" s="9">
        <v>2</v>
      </c>
      <c r="O245" s="10" t="s">
        <v>148</v>
      </c>
      <c r="P245" s="9">
        <v>2</v>
      </c>
      <c r="Q245" s="10" t="s">
        <v>448</v>
      </c>
      <c r="R245" s="12"/>
      <c r="S245" s="10" t="s">
        <v>146</v>
      </c>
      <c r="T245" s="9"/>
      <c r="U245" s="10" t="s">
        <v>401</v>
      </c>
      <c r="V245" s="10" t="s">
        <v>401</v>
      </c>
      <c r="W245" s="9"/>
      <c r="X245" s="9"/>
      <c r="Y245" s="9">
        <v>2</v>
      </c>
      <c r="Z245" s="14">
        <v>2</v>
      </c>
      <c r="AA245" s="15">
        <v>12.2</v>
      </c>
      <c r="AB245" s="16">
        <v>78</v>
      </c>
      <c r="AC245" s="16">
        <v>26</v>
      </c>
      <c r="AD245" s="9"/>
      <c r="AE245" s="9"/>
      <c r="AF245" s="9">
        <v>1</v>
      </c>
      <c r="AG245" s="9">
        <v>0</v>
      </c>
      <c r="AH245" s="9">
        <v>1</v>
      </c>
      <c r="AI245" s="9">
        <v>0</v>
      </c>
      <c r="AJ245" s="12">
        <v>43697</v>
      </c>
      <c r="AK245" s="9">
        <v>2</v>
      </c>
      <c r="AL245" s="12">
        <v>43837</v>
      </c>
      <c r="AM245" s="9">
        <v>3</v>
      </c>
      <c r="AN245" s="12">
        <v>43766</v>
      </c>
      <c r="AO245" s="12">
        <v>43844</v>
      </c>
      <c r="AP245" s="12">
        <v>43844</v>
      </c>
      <c r="AQ245" s="9">
        <v>1</v>
      </c>
      <c r="AR245" s="9">
        <f t="shared" si="78"/>
        <v>1</v>
      </c>
      <c r="AS245" s="9">
        <v>1</v>
      </c>
      <c r="AT245" s="9">
        <v>2</v>
      </c>
      <c r="AU245" s="9">
        <v>1</v>
      </c>
      <c r="AV245" s="9">
        <f t="shared" si="79"/>
        <v>0</v>
      </c>
      <c r="AW245" s="12">
        <v>44957</v>
      </c>
      <c r="AX245" s="9">
        <v>6990</v>
      </c>
      <c r="AY245" s="9"/>
      <c r="AZ245" s="9"/>
      <c r="BA245" s="9">
        <v>4357.0322265625</v>
      </c>
      <c r="BB245" s="9">
        <v>1600.7457275390625</v>
      </c>
      <c r="BC245" s="9">
        <v>364000</v>
      </c>
      <c r="BD245" s="9"/>
      <c r="BE245" s="9"/>
      <c r="BF245" s="9"/>
      <c r="BG245" s="9">
        <v>8140</v>
      </c>
      <c r="BH245" s="9">
        <v>6300</v>
      </c>
      <c r="BI245" s="9">
        <v>500</v>
      </c>
      <c r="BJ245" s="9">
        <v>302000</v>
      </c>
      <c r="BK245" s="9">
        <v>1100</v>
      </c>
      <c r="BL245" s="9">
        <v>200</v>
      </c>
      <c r="BM245" s="9"/>
      <c r="BN245" s="9">
        <v>9300</v>
      </c>
      <c r="BO245" s="9">
        <v>6100</v>
      </c>
      <c r="BP245" s="9">
        <v>2100</v>
      </c>
      <c r="BQ245" s="9">
        <v>331000</v>
      </c>
      <c r="BR245" s="9">
        <v>800</v>
      </c>
      <c r="BS245" s="9">
        <v>200</v>
      </c>
      <c r="BT245" s="9"/>
      <c r="BU245" s="9"/>
      <c r="BV245" s="9"/>
      <c r="BW245" s="9"/>
      <c r="BX245" s="9"/>
      <c r="BY245" s="9"/>
      <c r="BZ245" s="10" t="s">
        <v>401</v>
      </c>
      <c r="CA245" s="9"/>
      <c r="CB245" s="9"/>
      <c r="CC245" s="10">
        <f t="shared" si="80"/>
        <v>2.7218765301725139</v>
      </c>
      <c r="CD245" s="10">
        <f t="shared" si="81"/>
        <v>227.39401626240942</v>
      </c>
      <c r="CE245" s="10">
        <f t="shared" si="91"/>
        <v>990763.05698279501</v>
      </c>
      <c r="CF245" s="10">
        <f t="shared" si="73"/>
        <v>1</v>
      </c>
      <c r="CG245" s="10">
        <f t="shared" si="74"/>
        <v>0</v>
      </c>
      <c r="CH245" s="10">
        <f t="shared" si="75"/>
        <v>5</v>
      </c>
      <c r="CI245" s="9">
        <f t="shared" si="82"/>
        <v>0</v>
      </c>
      <c r="CJ245" s="10">
        <f t="shared" si="76"/>
        <v>41</v>
      </c>
      <c r="CK245" s="10" t="b">
        <f t="shared" si="83"/>
        <v>1</v>
      </c>
      <c r="CL245" s="10" t="b">
        <f t="shared" si="84"/>
        <v>1</v>
      </c>
      <c r="CM245" s="10" t="b">
        <f t="shared" si="85"/>
        <v>1</v>
      </c>
      <c r="CN245" s="9">
        <f t="shared" si="86"/>
        <v>1</v>
      </c>
      <c r="CO245" s="10">
        <f t="shared" si="92"/>
        <v>5</v>
      </c>
      <c r="CP245" s="10" t="b">
        <f t="shared" si="87"/>
        <v>1</v>
      </c>
      <c r="CQ245" s="10" t="b">
        <f t="shared" si="88"/>
        <v>0</v>
      </c>
      <c r="CR245" s="10" cm="1">
        <f t="array" ref="CR245">_xlfn.IFS(AND($CI245=0, CK245=FALSE), NA(), AND($CI245=1, CK245=FALSE), 0, CK245=TRUE, 1)</f>
        <v>1</v>
      </c>
      <c r="CS245" s="10" cm="1">
        <f t="array" ref="CS245">_xlfn.IFS(AND($CI245=0, CL245=FALSE), NA(), AND($CI245=1, CL245=FALSE), 0, CL245=TRUE, 1)</f>
        <v>1</v>
      </c>
      <c r="CT245" s="10" cm="1">
        <f t="array" ref="CT245">_xlfn.IFS(AND($CI245=0, CM245=FALSE), NA(), AND($CI245=1, CM245=FALSE), 0, CM245=TRUE, 1)</f>
        <v>1</v>
      </c>
      <c r="CU245" s="10" cm="1">
        <f t="array" ref="CU245">_xlfn.IFS(AND($CN245=0, CP245=FALSE), NA(), AND($CN245=1, CP245=FALSE), 0, CP245=TRUE, 1)</f>
        <v>1</v>
      </c>
      <c r="CV245" s="10" cm="1">
        <f t="array" ref="CV245">_xlfn.IFS(AND($CN245=0, CQ245=FALSE), NA(), AND($CN245=1, CQ245=FALSE), 0, CQ245=TRUE, 1)</f>
        <v>0</v>
      </c>
    </row>
    <row r="246" spans="1:100" ht="15.75" x14ac:dyDescent="0.25">
      <c r="A246" s="8">
        <v>245</v>
      </c>
      <c r="B246" s="9">
        <v>556</v>
      </c>
      <c r="C246" s="10" t="s">
        <v>35</v>
      </c>
      <c r="D246" s="11" t="s">
        <v>90</v>
      </c>
      <c r="E246" s="12">
        <v>13951</v>
      </c>
      <c r="F246" s="13">
        <v>1</v>
      </c>
      <c r="G246" s="9">
        <v>75.408622741699219</v>
      </c>
      <c r="H246" s="12">
        <v>41494</v>
      </c>
      <c r="I246" s="9">
        <v>1</v>
      </c>
      <c r="J246" s="12">
        <v>41494</v>
      </c>
      <c r="K246" s="9">
        <v>1</v>
      </c>
      <c r="L246" s="9">
        <v>1</v>
      </c>
      <c r="M246" s="10" t="s">
        <v>401</v>
      </c>
      <c r="N246" s="9">
        <v>2</v>
      </c>
      <c r="O246" s="10" t="s">
        <v>145</v>
      </c>
      <c r="P246" s="9">
        <v>2</v>
      </c>
      <c r="Q246" s="10" t="s">
        <v>145</v>
      </c>
      <c r="R246" s="12">
        <v>41494</v>
      </c>
      <c r="S246" s="10" t="s">
        <v>145</v>
      </c>
      <c r="T246" s="9">
        <v>5</v>
      </c>
      <c r="U246" s="10" t="s">
        <v>401</v>
      </c>
      <c r="V246" s="10" t="s">
        <v>401</v>
      </c>
      <c r="W246" s="9"/>
      <c r="X246" s="9"/>
      <c r="Y246" s="9">
        <v>3</v>
      </c>
      <c r="Z246" s="14">
        <v>1</v>
      </c>
      <c r="AA246" s="28">
        <v>15</v>
      </c>
      <c r="AB246" s="29">
        <v>91</v>
      </c>
      <c r="AC246" s="9"/>
      <c r="AD246" s="9">
        <v>2</v>
      </c>
      <c r="AE246" s="9">
        <v>2</v>
      </c>
      <c r="AF246" s="9">
        <v>1</v>
      </c>
      <c r="AG246" s="9">
        <v>1</v>
      </c>
      <c r="AH246" s="9">
        <v>1</v>
      </c>
      <c r="AI246" s="9">
        <v>0</v>
      </c>
      <c r="AJ246" s="12">
        <v>43276</v>
      </c>
      <c r="AK246" s="9">
        <v>2</v>
      </c>
      <c r="AL246" s="12">
        <v>44075</v>
      </c>
      <c r="AM246" s="9">
        <v>3</v>
      </c>
      <c r="AN246" s="12">
        <v>43783</v>
      </c>
      <c r="AO246" s="12">
        <v>43896</v>
      </c>
      <c r="AP246" s="12">
        <v>44098</v>
      </c>
      <c r="AQ246" s="9">
        <v>1</v>
      </c>
      <c r="AR246" s="9">
        <f t="shared" si="78"/>
        <v>1</v>
      </c>
      <c r="AS246" s="9">
        <v>1</v>
      </c>
      <c r="AT246" s="9">
        <v>1</v>
      </c>
      <c r="AU246" s="9">
        <v>1</v>
      </c>
      <c r="AV246" s="9">
        <f t="shared" si="79"/>
        <v>0</v>
      </c>
      <c r="AW246" s="12">
        <v>44910</v>
      </c>
      <c r="AX246" s="9">
        <v>5500</v>
      </c>
      <c r="AY246" s="9">
        <v>3590</v>
      </c>
      <c r="AZ246" s="9">
        <v>1320</v>
      </c>
      <c r="BA246" s="9">
        <v>3590</v>
      </c>
      <c r="BB246" s="9">
        <v>1320.0001220703125</v>
      </c>
      <c r="BC246" s="9">
        <v>252000</v>
      </c>
      <c r="BD246" s="9">
        <v>380</v>
      </c>
      <c r="BE246" s="9">
        <v>120</v>
      </c>
      <c r="BF246" s="9"/>
      <c r="BG246" s="9">
        <v>5200</v>
      </c>
      <c r="BH246" s="9">
        <v>3360</v>
      </c>
      <c r="BI246" s="9">
        <v>1250</v>
      </c>
      <c r="BJ246" s="9">
        <v>287000</v>
      </c>
      <c r="BK246" s="9">
        <v>470</v>
      </c>
      <c r="BL246" s="9">
        <v>160</v>
      </c>
      <c r="BM246" s="9"/>
      <c r="BN246" s="9">
        <v>4500</v>
      </c>
      <c r="BO246" s="9">
        <v>2820</v>
      </c>
      <c r="BP246" s="9">
        <v>1010</v>
      </c>
      <c r="BQ246" s="9">
        <v>258000</v>
      </c>
      <c r="BR246" s="9">
        <v>440</v>
      </c>
      <c r="BS246" s="9">
        <v>170</v>
      </c>
      <c r="BT246" s="9">
        <v>182</v>
      </c>
      <c r="BU246" s="9">
        <v>5300</v>
      </c>
      <c r="BV246" s="9">
        <v>3480</v>
      </c>
      <c r="BW246" s="9">
        <v>1140</v>
      </c>
      <c r="BX246" s="9">
        <v>307000</v>
      </c>
      <c r="BY246" s="9">
        <v>480</v>
      </c>
      <c r="BZ246" s="10" t="s">
        <v>547</v>
      </c>
      <c r="CA246" s="9">
        <v>180</v>
      </c>
      <c r="CB246" s="9"/>
      <c r="CC246" s="10">
        <f t="shared" si="80"/>
        <v>2.7196967181861909</v>
      </c>
      <c r="CD246" s="10">
        <f t="shared" si="81"/>
        <v>190.90907325429529</v>
      </c>
      <c r="CE246" s="10">
        <f t="shared" si="91"/>
        <v>685363.5729829201</v>
      </c>
      <c r="CF246" s="10">
        <f t="shared" si="73"/>
        <v>1</v>
      </c>
      <c r="CG246" s="10">
        <f t="shared" si="74"/>
        <v>0</v>
      </c>
      <c r="CH246" s="10">
        <f t="shared" si="75"/>
        <v>27</v>
      </c>
      <c r="CI246" s="9">
        <f t="shared" si="82"/>
        <v>0</v>
      </c>
      <c r="CJ246" s="10">
        <f t="shared" si="76"/>
        <v>54</v>
      </c>
      <c r="CK246" s="10" t="b">
        <f t="shared" si="83"/>
        <v>1</v>
      </c>
      <c r="CL246" s="10" t="b">
        <f t="shared" si="84"/>
        <v>1</v>
      </c>
      <c r="CM246" s="10" t="b">
        <f t="shared" si="85"/>
        <v>1</v>
      </c>
      <c r="CN246" s="9">
        <f t="shared" si="86"/>
        <v>1</v>
      </c>
      <c r="CO246" s="10">
        <f t="shared" si="92"/>
        <v>21</v>
      </c>
      <c r="CP246" s="10" t="b">
        <f t="shared" si="87"/>
        <v>1</v>
      </c>
      <c r="CQ246" s="10" t="b">
        <f t="shared" si="88"/>
        <v>1</v>
      </c>
      <c r="CR246" s="10" cm="1">
        <f t="array" ref="CR246">_xlfn.IFS(AND($CI246=0, CK246=FALSE), NA(), AND($CI246=1, CK246=FALSE), 0, CK246=TRUE, 1)</f>
        <v>1</v>
      </c>
      <c r="CS246" s="10" cm="1">
        <f t="array" ref="CS246">_xlfn.IFS(AND($CI246=0, CL246=FALSE), NA(), AND($CI246=1, CL246=FALSE), 0, CL246=TRUE, 1)</f>
        <v>1</v>
      </c>
      <c r="CT246" s="10" cm="1">
        <f t="array" ref="CT246">_xlfn.IFS(AND($CI246=0, CM246=FALSE), NA(), AND($CI246=1, CM246=FALSE), 0, CM246=TRUE, 1)</f>
        <v>1</v>
      </c>
      <c r="CU246" s="10" cm="1">
        <f t="array" ref="CU246">_xlfn.IFS(AND($CN246=0, CP246=FALSE), NA(), AND($CN246=1, CP246=FALSE), 0, CP246=TRUE, 1)</f>
        <v>1</v>
      </c>
      <c r="CV246" s="10" cm="1">
        <f t="array" ref="CV246">_xlfn.IFS(AND($CN246=0, CQ246=FALSE), NA(), AND($CN246=1, CQ246=FALSE), 0, CQ246=TRUE, 1)</f>
        <v>1</v>
      </c>
    </row>
    <row r="247" spans="1:100" ht="15.75" x14ac:dyDescent="0.25">
      <c r="A247" s="8">
        <v>246</v>
      </c>
      <c r="B247" s="9">
        <v>242</v>
      </c>
      <c r="C247" s="10" t="s">
        <v>20</v>
      </c>
      <c r="D247" s="11" t="s">
        <v>64</v>
      </c>
      <c r="E247" s="12">
        <v>26072</v>
      </c>
      <c r="F247" s="13">
        <v>2</v>
      </c>
      <c r="G247" s="9">
        <v>42.228610992431641</v>
      </c>
      <c r="H247" s="12">
        <v>41496</v>
      </c>
      <c r="I247" s="9">
        <v>1</v>
      </c>
      <c r="J247" s="12">
        <v>41496</v>
      </c>
      <c r="K247" s="9">
        <v>1</v>
      </c>
      <c r="L247" s="9">
        <v>2</v>
      </c>
      <c r="M247" s="10" t="s">
        <v>401</v>
      </c>
      <c r="N247" s="9">
        <v>2</v>
      </c>
      <c r="O247" s="10" t="s">
        <v>145</v>
      </c>
      <c r="P247" s="9">
        <v>2</v>
      </c>
      <c r="Q247" s="10" t="s">
        <v>145</v>
      </c>
      <c r="R247" s="12">
        <v>41496</v>
      </c>
      <c r="S247" s="10">
        <v>1</v>
      </c>
      <c r="T247" s="9">
        <v>5</v>
      </c>
      <c r="U247" s="10" t="s">
        <v>401</v>
      </c>
      <c r="V247" s="10" t="s">
        <v>401</v>
      </c>
      <c r="W247" s="9"/>
      <c r="X247" s="9"/>
      <c r="Y247" s="9">
        <v>3</v>
      </c>
      <c r="Z247" s="14">
        <v>1</v>
      </c>
      <c r="AB247" s="9"/>
      <c r="AC247" s="9"/>
      <c r="AD247" s="9">
        <v>2</v>
      </c>
      <c r="AE247" s="9">
        <v>2</v>
      </c>
      <c r="AF247" s="9">
        <v>1</v>
      </c>
      <c r="AG247" s="9">
        <v>1</v>
      </c>
      <c r="AH247" s="9">
        <v>0</v>
      </c>
      <c r="AI247" s="9">
        <v>1</v>
      </c>
      <c r="AJ247" s="12">
        <v>42825</v>
      </c>
      <c r="AK247" s="9">
        <v>2</v>
      </c>
      <c r="AL247" s="12">
        <v>43042</v>
      </c>
      <c r="AM247" s="9">
        <v>2</v>
      </c>
      <c r="AN247" s="12">
        <v>42916</v>
      </c>
      <c r="AO247" s="12">
        <v>42983</v>
      </c>
      <c r="AP247" s="12">
        <v>43059</v>
      </c>
      <c r="AQ247" s="9">
        <v>1</v>
      </c>
      <c r="AR247" s="9">
        <f t="shared" si="78"/>
        <v>1</v>
      </c>
      <c r="AS247" s="9">
        <v>1</v>
      </c>
      <c r="AT247" s="9">
        <v>1</v>
      </c>
      <c r="AU247" s="9">
        <v>2</v>
      </c>
      <c r="AV247" s="9">
        <f t="shared" si="79"/>
        <v>1</v>
      </c>
      <c r="AW247" s="12">
        <v>43059</v>
      </c>
      <c r="AX247" s="9"/>
      <c r="AY247" s="9"/>
      <c r="AZ247" s="9"/>
      <c r="BA247" s="9">
        <v>5721.384765625</v>
      </c>
      <c r="BB247" s="9">
        <v>922.71649169921875</v>
      </c>
      <c r="BC247" s="9"/>
      <c r="BD247" s="9"/>
      <c r="BE247" s="9"/>
      <c r="BF247" s="9"/>
      <c r="BG247" s="9">
        <v>7900</v>
      </c>
      <c r="BH247" s="9">
        <v>5609</v>
      </c>
      <c r="BI247" s="9"/>
      <c r="BJ247" s="9">
        <v>408000</v>
      </c>
      <c r="BK247" s="9"/>
      <c r="BL247" s="9"/>
      <c r="BM247" s="9"/>
      <c r="BN247" s="9">
        <v>8700</v>
      </c>
      <c r="BO247" s="9">
        <v>6612</v>
      </c>
      <c r="BP247" s="9"/>
      <c r="BQ247" s="9">
        <v>377000</v>
      </c>
      <c r="BR247" s="9"/>
      <c r="BS247" s="9"/>
      <c r="BT247" s="9"/>
      <c r="BU247" s="9">
        <v>6800</v>
      </c>
      <c r="BV247" s="9">
        <v>5304</v>
      </c>
      <c r="BW247" s="9"/>
      <c r="BX247" s="9">
        <v>413000</v>
      </c>
      <c r="BY247" s="9"/>
      <c r="BZ247" s="10" t="s">
        <v>401</v>
      </c>
      <c r="CA247" s="9"/>
      <c r="CB247" s="9"/>
      <c r="CC247" s="10">
        <f t="shared" si="80"/>
        <v>6.2005879564251041</v>
      </c>
      <c r="CF247" s="10">
        <f t="shared" si="73"/>
        <v>1</v>
      </c>
      <c r="CG247" s="10">
        <f t="shared" si="74"/>
        <v>1</v>
      </c>
      <c r="CH247" s="10">
        <f t="shared" si="75"/>
        <v>8</v>
      </c>
      <c r="CI247" s="9">
        <f t="shared" si="82"/>
        <v>1</v>
      </c>
      <c r="CJ247" s="10">
        <f t="shared" si="76"/>
        <v>8</v>
      </c>
      <c r="CK247" s="10" t="b">
        <f t="shared" si="83"/>
        <v>1</v>
      </c>
      <c r="CL247" s="10" t="b">
        <f t="shared" si="84"/>
        <v>0</v>
      </c>
      <c r="CM247" s="10" t="b">
        <f t="shared" si="85"/>
        <v>0</v>
      </c>
      <c r="CN247" s="9">
        <f t="shared" si="86"/>
        <v>1</v>
      </c>
      <c r="CO247" s="10">
        <f t="shared" si="92"/>
        <v>6</v>
      </c>
      <c r="CP247" s="10" t="b">
        <f t="shared" si="87"/>
        <v>1</v>
      </c>
      <c r="CQ247" s="10" t="b">
        <f t="shared" si="88"/>
        <v>0</v>
      </c>
      <c r="CR247" s="10" cm="1">
        <f t="array" ref="CR247">_xlfn.IFS(AND($CI247=0, CK247=FALSE), NA(), AND($CI247=1, CK247=FALSE), 0, CK247=TRUE, 1)</f>
        <v>1</v>
      </c>
      <c r="CS247" s="10" cm="1">
        <f t="array" ref="CS247">_xlfn.IFS(AND($CI247=0, CL247=FALSE), NA(), AND($CI247=1, CL247=FALSE), 0, CL247=TRUE, 1)</f>
        <v>0</v>
      </c>
      <c r="CT247" s="10" cm="1">
        <f t="array" ref="CT247">_xlfn.IFS(AND($CI247=0, CM247=FALSE), NA(), AND($CI247=1, CM247=FALSE), 0, CM247=TRUE, 1)</f>
        <v>0</v>
      </c>
      <c r="CU247" s="10" cm="1">
        <f t="array" ref="CU247">_xlfn.IFS(AND($CN247=0, CP247=FALSE), NA(), AND($CN247=1, CP247=FALSE), 0, CP247=TRUE, 1)</f>
        <v>1</v>
      </c>
      <c r="CV247" s="10" cm="1">
        <f t="array" ref="CV247">_xlfn.IFS(AND($CN247=0, CQ247=FALSE), NA(), AND($CN247=1, CQ247=FALSE), 0, CQ247=TRUE, 1)</f>
        <v>0</v>
      </c>
    </row>
    <row r="248" spans="1:100" x14ac:dyDescent="0.25">
      <c r="A248" s="8">
        <v>247</v>
      </c>
      <c r="B248" s="9">
        <v>90</v>
      </c>
      <c r="C248" s="10" t="s">
        <v>10</v>
      </c>
      <c r="D248" s="11" t="s">
        <v>118</v>
      </c>
      <c r="E248" s="12">
        <v>18230</v>
      </c>
      <c r="F248" s="13">
        <v>1</v>
      </c>
      <c r="G248" s="9">
        <v>63.728954315185547</v>
      </c>
      <c r="H248" s="12">
        <v>41507</v>
      </c>
      <c r="I248" s="9">
        <v>1</v>
      </c>
      <c r="J248" s="12">
        <v>41507</v>
      </c>
      <c r="K248" s="9">
        <v>1</v>
      </c>
      <c r="L248" s="9">
        <v>1</v>
      </c>
      <c r="M248" s="10" t="s">
        <v>401</v>
      </c>
      <c r="N248" s="9">
        <v>1</v>
      </c>
      <c r="O248" s="10" t="s">
        <v>401</v>
      </c>
      <c r="P248" s="9">
        <v>1</v>
      </c>
      <c r="Q248" s="10" t="s">
        <v>401</v>
      </c>
      <c r="R248" s="12">
        <v>42470</v>
      </c>
      <c r="S248" s="10" t="s">
        <v>146</v>
      </c>
      <c r="T248" s="9">
        <v>4</v>
      </c>
      <c r="U248" s="10" t="s">
        <v>401</v>
      </c>
      <c r="V248" s="10" t="s">
        <v>401</v>
      </c>
      <c r="W248" s="9"/>
      <c r="X248" s="9"/>
      <c r="Y248" s="9">
        <v>3</v>
      </c>
      <c r="Z248" s="19">
        <v>2</v>
      </c>
      <c r="AB248" s="9"/>
      <c r="AC248" s="9"/>
      <c r="AD248" s="9">
        <v>2</v>
      </c>
      <c r="AE248" s="9">
        <v>2</v>
      </c>
      <c r="AF248" s="9">
        <v>1</v>
      </c>
      <c r="AG248" s="9">
        <v>1</v>
      </c>
      <c r="AH248" s="9">
        <v>1</v>
      </c>
      <c r="AI248" s="9">
        <v>0</v>
      </c>
      <c r="AJ248" s="12">
        <v>43545</v>
      </c>
      <c r="AK248" s="9">
        <v>2</v>
      </c>
      <c r="AL248" s="12">
        <v>43700</v>
      </c>
      <c r="AM248" s="9">
        <v>3</v>
      </c>
      <c r="AN248" s="12">
        <v>43622</v>
      </c>
      <c r="AO248" s="12">
        <v>43700</v>
      </c>
      <c r="AP248" s="12">
        <v>43700</v>
      </c>
      <c r="AQ248" s="9">
        <v>1</v>
      </c>
      <c r="AR248" s="9">
        <f t="shared" si="78"/>
        <v>1</v>
      </c>
      <c r="AS248" s="9">
        <v>1</v>
      </c>
      <c r="AT248" s="9">
        <v>2</v>
      </c>
      <c r="AU248" s="9">
        <v>1</v>
      </c>
      <c r="AV248" s="9">
        <f t="shared" si="79"/>
        <v>0</v>
      </c>
      <c r="AW248" s="12">
        <v>43943</v>
      </c>
      <c r="AX248" s="9">
        <v>6000</v>
      </c>
      <c r="AY248" s="9">
        <v>4250</v>
      </c>
      <c r="AZ248" s="9">
        <v>1080</v>
      </c>
      <c r="BA248" s="9">
        <v>4250</v>
      </c>
      <c r="BB248" s="9">
        <v>1080.0001220703125</v>
      </c>
      <c r="BC248" s="9">
        <v>310000</v>
      </c>
      <c r="BD248" s="9">
        <v>430</v>
      </c>
      <c r="BE248" s="9">
        <v>220</v>
      </c>
      <c r="BF248" s="9"/>
      <c r="BG248" s="9">
        <v>6900</v>
      </c>
      <c r="BH248" s="9">
        <v>4210</v>
      </c>
      <c r="BI248" s="9">
        <v>1570</v>
      </c>
      <c r="BJ248" s="9">
        <v>326000</v>
      </c>
      <c r="BK248" s="9">
        <v>680</v>
      </c>
      <c r="BL248" s="9">
        <v>330</v>
      </c>
      <c r="BM248" s="9">
        <v>247</v>
      </c>
      <c r="BN248" s="9">
        <v>7000</v>
      </c>
      <c r="BO248" s="9">
        <v>4620</v>
      </c>
      <c r="BP248" s="9">
        <v>1460</v>
      </c>
      <c r="BQ248" s="9">
        <v>280000</v>
      </c>
      <c r="BR248" s="9">
        <v>560</v>
      </c>
      <c r="BS248" s="9">
        <v>300</v>
      </c>
      <c r="BT248" s="9">
        <v>215</v>
      </c>
      <c r="BU248" s="9">
        <v>7300</v>
      </c>
      <c r="BV248" s="9">
        <v>4730</v>
      </c>
      <c r="BW248" s="9">
        <v>1520</v>
      </c>
      <c r="BX248" s="9">
        <v>314000</v>
      </c>
      <c r="BY248" s="9">
        <v>650</v>
      </c>
      <c r="BZ248" s="10" t="s">
        <v>554</v>
      </c>
      <c r="CA248" s="9">
        <v>70</v>
      </c>
      <c r="CB248" s="9">
        <v>246</v>
      </c>
      <c r="CC248" s="10">
        <f t="shared" si="80"/>
        <v>3.93518474039886</v>
      </c>
      <c r="CD248" s="10">
        <f t="shared" si="81"/>
        <v>287.03700459379922</v>
      </c>
      <c r="CE248" s="10">
        <f t="shared" ref="CE248:CE253" si="93">BC248*CC248</f>
        <v>1219907.2695236467</v>
      </c>
      <c r="CF248" s="10">
        <f t="shared" si="73"/>
        <v>1</v>
      </c>
      <c r="CG248" s="10">
        <f t="shared" si="74"/>
        <v>0</v>
      </c>
      <c r="CH248" s="10">
        <f t="shared" si="75"/>
        <v>5</v>
      </c>
      <c r="CI248" s="9">
        <f t="shared" si="82"/>
        <v>0</v>
      </c>
      <c r="CJ248" s="10">
        <f t="shared" si="76"/>
        <v>13</v>
      </c>
      <c r="CK248" s="10" t="b">
        <f t="shared" si="83"/>
        <v>1</v>
      </c>
      <c r="CL248" s="10" t="b">
        <f t="shared" si="84"/>
        <v>0</v>
      </c>
      <c r="CM248" s="10" t="b">
        <f t="shared" si="85"/>
        <v>0</v>
      </c>
      <c r="CN248" s="9">
        <f t="shared" si="86"/>
        <v>1</v>
      </c>
      <c r="CO248" s="10">
        <f t="shared" si="92"/>
        <v>5</v>
      </c>
      <c r="CP248" s="10" t="b">
        <f t="shared" si="87"/>
        <v>1</v>
      </c>
      <c r="CQ248" s="10" t="b">
        <f t="shared" si="88"/>
        <v>0</v>
      </c>
      <c r="CR248" s="10" cm="1">
        <f t="array" ref="CR248">_xlfn.IFS(AND($CI248=0, CK248=FALSE), NA(), AND($CI248=1, CK248=FALSE), 0, CK248=TRUE, 1)</f>
        <v>1</v>
      </c>
      <c r="CS248" s="10" t="e" cm="1">
        <f t="array" ref="CS248">_xlfn.IFS(AND($CI248=0, CL248=FALSE), NA(), AND($CI248=1, CL248=FALSE), 0, CL248=TRUE, 1)</f>
        <v>#N/A</v>
      </c>
      <c r="CT248" s="10" t="e" cm="1">
        <f t="array" ref="CT248">_xlfn.IFS(AND($CI248=0, CM248=FALSE), NA(), AND($CI248=1, CM248=FALSE), 0, CM248=TRUE, 1)</f>
        <v>#N/A</v>
      </c>
      <c r="CU248" s="10" cm="1">
        <f t="array" ref="CU248">_xlfn.IFS(AND($CN248=0, CP248=FALSE), NA(), AND($CN248=1, CP248=FALSE), 0, CP248=TRUE, 1)</f>
        <v>1</v>
      </c>
      <c r="CV248" s="10" cm="1">
        <f t="array" ref="CV248">_xlfn.IFS(AND($CN248=0, CQ248=FALSE), NA(), AND($CN248=1, CQ248=FALSE), 0, CQ248=TRUE, 1)</f>
        <v>0</v>
      </c>
    </row>
    <row r="249" spans="1:100" ht="15.75" x14ac:dyDescent="0.25">
      <c r="A249" s="8">
        <v>248</v>
      </c>
      <c r="B249" s="9">
        <v>355</v>
      </c>
      <c r="C249" s="10" t="s">
        <v>28</v>
      </c>
      <c r="D249" s="11" t="s">
        <v>42</v>
      </c>
      <c r="E249" s="12">
        <v>14880</v>
      </c>
      <c r="F249" s="13">
        <v>1</v>
      </c>
      <c r="G249" s="9">
        <v>72.906227111816406</v>
      </c>
      <c r="H249" s="12">
        <v>41509</v>
      </c>
      <c r="I249" s="9">
        <v>1</v>
      </c>
      <c r="J249" s="12">
        <v>41866</v>
      </c>
      <c r="K249" s="9">
        <v>0</v>
      </c>
      <c r="L249" s="9">
        <v>1</v>
      </c>
      <c r="M249" s="10" t="s">
        <v>401</v>
      </c>
      <c r="N249" s="9">
        <v>1</v>
      </c>
      <c r="O249" s="10" t="s">
        <v>401</v>
      </c>
      <c r="P249" s="9">
        <v>1</v>
      </c>
      <c r="Q249" s="10" t="s">
        <v>401</v>
      </c>
      <c r="R249" s="12">
        <v>42632</v>
      </c>
      <c r="S249" s="10" t="s">
        <v>146</v>
      </c>
      <c r="T249" s="9"/>
      <c r="U249" s="10" t="s">
        <v>401</v>
      </c>
      <c r="V249" s="10" t="s">
        <v>401</v>
      </c>
      <c r="W249" s="9"/>
      <c r="X249" s="9"/>
      <c r="Y249" s="9">
        <v>2</v>
      </c>
      <c r="Z249" s="14">
        <v>2</v>
      </c>
      <c r="AA249" s="21">
        <v>11.3</v>
      </c>
      <c r="AB249" s="22">
        <v>90</v>
      </c>
      <c r="AC249" s="22">
        <v>21</v>
      </c>
      <c r="AD249" s="9">
        <v>2</v>
      </c>
      <c r="AE249" s="9">
        <v>2</v>
      </c>
      <c r="AF249" s="9">
        <v>1</v>
      </c>
      <c r="AG249" s="9">
        <v>1</v>
      </c>
      <c r="AH249" s="9">
        <v>1</v>
      </c>
      <c r="AI249" s="9">
        <v>1</v>
      </c>
      <c r="AJ249" s="12">
        <v>43277</v>
      </c>
      <c r="AK249" s="9">
        <v>2</v>
      </c>
      <c r="AL249" s="12">
        <v>43305</v>
      </c>
      <c r="AM249" s="9">
        <v>4</v>
      </c>
      <c r="AN249" s="12">
        <v>43331</v>
      </c>
      <c r="AO249" s="12">
        <v>43331</v>
      </c>
      <c r="AP249" s="12">
        <v>43331</v>
      </c>
      <c r="AQ249" s="9">
        <v>1</v>
      </c>
      <c r="AR249" s="9">
        <f t="shared" si="78"/>
        <v>1</v>
      </c>
      <c r="AS249" s="9">
        <v>1</v>
      </c>
      <c r="AT249" s="9">
        <v>2</v>
      </c>
      <c r="AU249" s="9">
        <v>2</v>
      </c>
      <c r="AV249" s="9">
        <f t="shared" si="79"/>
        <v>1</v>
      </c>
      <c r="AW249" s="12">
        <v>43331</v>
      </c>
      <c r="AX249" s="9">
        <v>7390</v>
      </c>
      <c r="AY249" s="9">
        <v>5750</v>
      </c>
      <c r="AZ249" s="9">
        <v>720</v>
      </c>
      <c r="BA249" s="9">
        <v>5750</v>
      </c>
      <c r="BB249" s="9">
        <v>720.00006103515625</v>
      </c>
      <c r="BC249" s="9">
        <v>394000</v>
      </c>
      <c r="BD249" s="9">
        <v>760</v>
      </c>
      <c r="BE249" s="9">
        <v>30</v>
      </c>
      <c r="BF249" s="9">
        <v>388</v>
      </c>
      <c r="BG249" s="9">
        <v>6210</v>
      </c>
      <c r="BH249" s="9">
        <v>5230</v>
      </c>
      <c r="BI249" s="9">
        <v>440</v>
      </c>
      <c r="BJ249" s="9">
        <v>307000</v>
      </c>
      <c r="BK249" s="9">
        <v>440</v>
      </c>
      <c r="BL249" s="9">
        <v>10</v>
      </c>
      <c r="BM249" s="9">
        <v>363</v>
      </c>
      <c r="BN249" s="9">
        <v>6870</v>
      </c>
      <c r="BO249" s="9">
        <v>5720</v>
      </c>
      <c r="BP249" s="9">
        <v>600</v>
      </c>
      <c r="BQ249" s="9">
        <v>321000</v>
      </c>
      <c r="BR249" s="9">
        <v>410</v>
      </c>
      <c r="BS249" s="9">
        <v>10</v>
      </c>
      <c r="BT249" s="9">
        <v>324</v>
      </c>
      <c r="BU249" s="9"/>
      <c r="BV249" s="9"/>
      <c r="BW249" s="9"/>
      <c r="BX249" s="9"/>
      <c r="BY249" s="9"/>
      <c r="BZ249" s="10" t="s">
        <v>401</v>
      </c>
      <c r="CA249" s="9"/>
      <c r="CB249" s="9"/>
      <c r="CC249" s="10">
        <f t="shared" si="80"/>
        <v>7.9861104341201417</v>
      </c>
      <c r="CD249" s="10">
        <f t="shared" si="81"/>
        <v>547.22217583362362</v>
      </c>
      <c r="CE249" s="10">
        <f t="shared" si="93"/>
        <v>3146527.5110433358</v>
      </c>
      <c r="CF249" s="10">
        <f t="shared" si="73"/>
        <v>0</v>
      </c>
      <c r="CG249" s="10">
        <f t="shared" si="74"/>
        <v>0</v>
      </c>
      <c r="CH249" s="10">
        <f t="shared" si="75"/>
        <v>1</v>
      </c>
      <c r="CI249" s="9">
        <f t="shared" si="82"/>
        <v>1</v>
      </c>
      <c r="CJ249" s="10">
        <f t="shared" si="76"/>
        <v>2</v>
      </c>
      <c r="CK249" s="10" t="b">
        <f t="shared" si="83"/>
        <v>0</v>
      </c>
      <c r="CL249" s="10" t="b">
        <f t="shared" si="84"/>
        <v>0</v>
      </c>
      <c r="CM249" s="10" t="b">
        <f t="shared" si="85"/>
        <v>0</v>
      </c>
      <c r="CN249" s="9">
        <f t="shared" si="86"/>
        <v>1</v>
      </c>
      <c r="CO249" s="10">
        <f t="shared" si="92"/>
        <v>2</v>
      </c>
      <c r="CP249" s="10" t="b">
        <f t="shared" si="87"/>
        <v>0</v>
      </c>
      <c r="CQ249" s="10" t="b">
        <f t="shared" si="88"/>
        <v>0</v>
      </c>
      <c r="CR249" s="10" cm="1">
        <f t="array" ref="CR249">_xlfn.IFS(AND($CI249=0, CK249=FALSE), NA(), AND($CI249=1, CK249=FALSE), 0, CK249=TRUE, 1)</f>
        <v>0</v>
      </c>
      <c r="CS249" s="10" cm="1">
        <f t="array" ref="CS249">_xlfn.IFS(AND($CI249=0, CL249=FALSE), NA(), AND($CI249=1, CL249=FALSE), 0, CL249=TRUE, 1)</f>
        <v>0</v>
      </c>
      <c r="CT249" s="10" cm="1">
        <f t="array" ref="CT249">_xlfn.IFS(AND($CI249=0, CM249=FALSE), NA(), AND($CI249=1, CM249=FALSE), 0, CM249=TRUE, 1)</f>
        <v>0</v>
      </c>
      <c r="CU249" s="10" cm="1">
        <f t="array" ref="CU249">_xlfn.IFS(AND($CN249=0, CP249=FALSE), NA(), AND($CN249=1, CP249=FALSE), 0, CP249=TRUE, 1)</f>
        <v>0</v>
      </c>
      <c r="CV249" s="10" cm="1">
        <f t="array" ref="CV249">_xlfn.IFS(AND($CN249=0, CQ249=FALSE), NA(), AND($CN249=1, CQ249=FALSE), 0, CQ249=TRUE, 1)</f>
        <v>0</v>
      </c>
    </row>
    <row r="250" spans="1:100" ht="15.75" x14ac:dyDescent="0.25">
      <c r="A250" s="8">
        <v>249</v>
      </c>
      <c r="B250" s="9">
        <v>333</v>
      </c>
      <c r="C250" s="10" t="s">
        <v>26</v>
      </c>
      <c r="D250" s="11" t="s">
        <v>241</v>
      </c>
      <c r="E250" s="12">
        <v>23123</v>
      </c>
      <c r="F250" s="13">
        <v>1</v>
      </c>
      <c r="G250" s="9">
        <v>50.362766265869141</v>
      </c>
      <c r="H250" s="12">
        <v>41518</v>
      </c>
      <c r="I250" s="9">
        <v>1</v>
      </c>
      <c r="J250" s="12">
        <v>41529</v>
      </c>
      <c r="K250" s="9">
        <v>0</v>
      </c>
      <c r="L250" s="9">
        <v>1</v>
      </c>
      <c r="M250" s="10" t="s">
        <v>401</v>
      </c>
      <c r="N250" s="9">
        <v>1</v>
      </c>
      <c r="O250" s="10" t="s">
        <v>401</v>
      </c>
      <c r="P250" s="9">
        <v>1</v>
      </c>
      <c r="Q250" s="10" t="s">
        <v>401</v>
      </c>
      <c r="R250" s="12">
        <v>42461</v>
      </c>
      <c r="S250" s="10" t="s">
        <v>145</v>
      </c>
      <c r="T250" s="9"/>
      <c r="U250" s="10" t="s">
        <v>401</v>
      </c>
      <c r="V250" s="10" t="s">
        <v>401</v>
      </c>
      <c r="W250" s="9"/>
      <c r="X250" s="9"/>
      <c r="Y250" s="9">
        <v>2</v>
      </c>
      <c r="Z250" s="14">
        <v>1</v>
      </c>
      <c r="AA250" s="15">
        <v>13.4</v>
      </c>
      <c r="AB250" s="16" t="s">
        <v>489</v>
      </c>
      <c r="AC250" s="16" t="s">
        <v>481</v>
      </c>
      <c r="AD250" s="9">
        <v>1</v>
      </c>
      <c r="AE250" s="9">
        <v>1</v>
      </c>
      <c r="AF250" s="9">
        <v>1</v>
      </c>
      <c r="AG250" s="9">
        <v>1</v>
      </c>
      <c r="AH250" s="9">
        <v>1</v>
      </c>
      <c r="AI250" s="9">
        <v>1</v>
      </c>
      <c r="AJ250" s="12">
        <v>42914</v>
      </c>
      <c r="AK250" s="9">
        <v>1</v>
      </c>
      <c r="AL250" s="12">
        <v>44967</v>
      </c>
      <c r="AM250" s="9">
        <v>2</v>
      </c>
      <c r="AN250" s="12">
        <v>42986</v>
      </c>
      <c r="AO250" s="12"/>
      <c r="AP250" s="12"/>
      <c r="AQ250" s="9">
        <v>2</v>
      </c>
      <c r="AR250" s="9">
        <f t="shared" si="78"/>
        <v>0</v>
      </c>
      <c r="AS250" s="9">
        <v>2</v>
      </c>
      <c r="AT250" s="9"/>
      <c r="AU250" s="9">
        <v>1</v>
      </c>
      <c r="AV250" s="9">
        <f t="shared" si="79"/>
        <v>0</v>
      </c>
      <c r="AW250" s="12">
        <v>44967</v>
      </c>
      <c r="AX250" s="9">
        <v>4070</v>
      </c>
      <c r="AY250" s="9">
        <v>2010</v>
      </c>
      <c r="AZ250" s="9">
        <v>1530</v>
      </c>
      <c r="BA250" s="9">
        <v>2010</v>
      </c>
      <c r="BB250" s="9">
        <v>1530.0001220703125</v>
      </c>
      <c r="BC250" s="9">
        <v>156000</v>
      </c>
      <c r="BD250" s="9">
        <v>370</v>
      </c>
      <c r="BE250" s="9">
        <v>150</v>
      </c>
      <c r="BF250" s="9">
        <v>197</v>
      </c>
      <c r="BG250" s="9">
        <v>4380</v>
      </c>
      <c r="BH250" s="9">
        <v>2590</v>
      </c>
      <c r="BI250" s="9">
        <v>1220</v>
      </c>
      <c r="BJ250" s="9">
        <v>229000</v>
      </c>
      <c r="BK250" s="9">
        <v>490</v>
      </c>
      <c r="BL250" s="9">
        <v>60</v>
      </c>
      <c r="BM250" s="9"/>
      <c r="BN250" s="9">
        <v>3910</v>
      </c>
      <c r="BO250" s="9">
        <v>2140</v>
      </c>
      <c r="BP250" s="9">
        <v>1260</v>
      </c>
      <c r="BQ250" s="9">
        <v>201000</v>
      </c>
      <c r="BR250" s="9">
        <v>410</v>
      </c>
      <c r="BS250" s="9">
        <v>70</v>
      </c>
      <c r="BT250" s="9"/>
      <c r="BU250" s="9">
        <v>3920</v>
      </c>
      <c r="BV250" s="9">
        <v>2060</v>
      </c>
      <c r="BW250" s="9">
        <v>1190</v>
      </c>
      <c r="BX250" s="9">
        <v>199000</v>
      </c>
      <c r="BY250" s="9">
        <v>400</v>
      </c>
      <c r="BZ250" s="10" t="s">
        <v>534</v>
      </c>
      <c r="CA250" s="9">
        <v>220</v>
      </c>
      <c r="CB250" s="9"/>
      <c r="CC250" s="10">
        <f t="shared" si="80"/>
        <v>1.3137253853811317</v>
      </c>
      <c r="CD250" s="10">
        <f t="shared" si="81"/>
        <v>101.96077617883411</v>
      </c>
      <c r="CE250" s="10">
        <f t="shared" si="93"/>
        <v>204941.16011945656</v>
      </c>
      <c r="CF250" s="10">
        <f t="shared" si="73"/>
        <v>1</v>
      </c>
      <c r="CG250" s="10">
        <f t="shared" si="74"/>
        <v>1</v>
      </c>
      <c r="CH250" s="10">
        <f t="shared" si="75"/>
        <v>68</v>
      </c>
      <c r="CI250" s="9">
        <f t="shared" si="82"/>
        <v>0</v>
      </c>
      <c r="CJ250" s="10">
        <f t="shared" si="76"/>
        <v>68</v>
      </c>
      <c r="CK250" s="10" t="b">
        <f t="shared" si="83"/>
        <v>1</v>
      </c>
      <c r="CL250" s="10" t="b">
        <f t="shared" si="84"/>
        <v>1</v>
      </c>
      <c r="CM250" s="10" t="b">
        <f t="shared" si="85"/>
        <v>1</v>
      </c>
      <c r="CN250" s="9">
        <f t="shared" si="86"/>
        <v>0</v>
      </c>
      <c r="CO250" s="10">
        <f>CJ250</f>
        <v>68</v>
      </c>
      <c r="CP250" s="10" t="b">
        <f t="shared" si="87"/>
        <v>1</v>
      </c>
      <c r="CQ250" s="10" t="b">
        <f t="shared" si="88"/>
        <v>1</v>
      </c>
      <c r="CR250" s="10" cm="1">
        <f t="array" ref="CR250">_xlfn.IFS(AND($CI250=0, CK250=FALSE), NA(), AND($CI250=1, CK250=FALSE), 0, CK250=TRUE, 1)</f>
        <v>1</v>
      </c>
      <c r="CS250" s="10" cm="1">
        <f t="array" ref="CS250">_xlfn.IFS(AND($CI250=0, CL250=FALSE), NA(), AND($CI250=1, CL250=FALSE), 0, CL250=TRUE, 1)</f>
        <v>1</v>
      </c>
      <c r="CT250" s="10" cm="1">
        <f t="array" ref="CT250">_xlfn.IFS(AND($CI250=0, CM250=FALSE), NA(), AND($CI250=1, CM250=FALSE), 0, CM250=TRUE, 1)</f>
        <v>1</v>
      </c>
      <c r="CU250" s="10" cm="1">
        <f t="array" ref="CU250">_xlfn.IFS(AND($CN250=0, CP250=FALSE), NA(), AND($CN250=1, CP250=FALSE), 0, CP250=TRUE, 1)</f>
        <v>1</v>
      </c>
      <c r="CV250" s="10" cm="1">
        <f t="array" ref="CV250">_xlfn.IFS(AND($CN250=0, CQ250=FALSE), NA(), AND($CN250=1, CQ250=FALSE), 0, CQ250=TRUE, 1)</f>
        <v>1</v>
      </c>
    </row>
    <row r="251" spans="1:100" ht="15.75" x14ac:dyDescent="0.25">
      <c r="A251" s="8">
        <v>250</v>
      </c>
      <c r="B251" s="9">
        <v>454</v>
      </c>
      <c r="C251" s="10" t="s">
        <v>30</v>
      </c>
      <c r="D251" s="11" t="s">
        <v>63</v>
      </c>
      <c r="E251" s="12">
        <v>24202</v>
      </c>
      <c r="F251" s="13">
        <v>2</v>
      </c>
      <c r="G251" s="9">
        <v>47.408622741699219</v>
      </c>
      <c r="H251" s="12">
        <v>41518</v>
      </c>
      <c r="I251" s="9">
        <v>1</v>
      </c>
      <c r="J251" s="12">
        <v>41523</v>
      </c>
      <c r="K251" s="9">
        <v>0</v>
      </c>
      <c r="L251" s="9">
        <v>1</v>
      </c>
      <c r="M251" s="10" t="s">
        <v>401</v>
      </c>
      <c r="N251" s="9">
        <v>1</v>
      </c>
      <c r="O251" s="10" t="s">
        <v>401</v>
      </c>
      <c r="P251" s="9">
        <v>1</v>
      </c>
      <c r="Q251" s="10" t="s">
        <v>401</v>
      </c>
      <c r="R251" s="12">
        <v>41974</v>
      </c>
      <c r="S251" s="10" t="s">
        <v>145</v>
      </c>
      <c r="T251" s="9"/>
      <c r="U251" s="10" t="s">
        <v>401</v>
      </c>
      <c r="V251" s="10" t="s">
        <v>401</v>
      </c>
      <c r="W251" s="9"/>
      <c r="X251" s="9"/>
      <c r="Y251" s="9">
        <v>2</v>
      </c>
      <c r="Z251" s="14">
        <v>1</v>
      </c>
      <c r="AA251" s="17">
        <v>13.2</v>
      </c>
      <c r="AB251" s="18">
        <v>103</v>
      </c>
      <c r="AC251" s="18">
        <v>8</v>
      </c>
      <c r="AD251" s="9">
        <v>1</v>
      </c>
      <c r="AE251" s="9">
        <v>1</v>
      </c>
      <c r="AF251" s="9">
        <v>1</v>
      </c>
      <c r="AG251" s="9">
        <v>1</v>
      </c>
      <c r="AH251" s="9">
        <v>1</v>
      </c>
      <c r="AI251" s="9">
        <v>1</v>
      </c>
      <c r="AJ251" s="12">
        <v>43104</v>
      </c>
      <c r="AK251" s="9">
        <v>2</v>
      </c>
      <c r="AL251" s="12">
        <v>43873</v>
      </c>
      <c r="AM251" s="9">
        <v>3</v>
      </c>
      <c r="AN251" s="12">
        <v>43191</v>
      </c>
      <c r="AO251" s="12">
        <v>43871</v>
      </c>
      <c r="AP251" s="12">
        <v>43871</v>
      </c>
      <c r="AQ251" s="9">
        <v>1</v>
      </c>
      <c r="AR251" s="9">
        <f t="shared" si="78"/>
        <v>1</v>
      </c>
      <c r="AS251" s="9">
        <v>1</v>
      </c>
      <c r="AT251" s="9">
        <v>2</v>
      </c>
      <c r="AU251" s="9">
        <v>1</v>
      </c>
      <c r="AV251" s="9">
        <f t="shared" si="79"/>
        <v>0</v>
      </c>
      <c r="AW251" s="12">
        <v>44940</v>
      </c>
      <c r="AX251" s="9">
        <v>7150</v>
      </c>
      <c r="AY251" s="9">
        <v>4300</v>
      </c>
      <c r="AZ251" s="9">
        <v>1940</v>
      </c>
      <c r="BA251" s="9">
        <v>4300</v>
      </c>
      <c r="BB251" s="9">
        <v>1939.999755859375</v>
      </c>
      <c r="BC251" s="9">
        <v>282000</v>
      </c>
      <c r="BD251" s="9">
        <v>740</v>
      </c>
      <c r="BE251" s="9">
        <v>80</v>
      </c>
      <c r="BF251" s="9">
        <v>234</v>
      </c>
      <c r="BG251" s="9">
        <v>9560</v>
      </c>
      <c r="BH251" s="9">
        <v>6030</v>
      </c>
      <c r="BI251" s="9">
        <v>2600</v>
      </c>
      <c r="BJ251" s="9">
        <v>292000</v>
      </c>
      <c r="BK251" s="9">
        <v>840</v>
      </c>
      <c r="BL251" s="9">
        <v>90</v>
      </c>
      <c r="BM251" s="9">
        <v>267</v>
      </c>
      <c r="BN251" s="9">
        <v>10460</v>
      </c>
      <c r="BO251" s="9">
        <v>6640</v>
      </c>
      <c r="BP251" s="9">
        <v>2810</v>
      </c>
      <c r="BQ251" s="9">
        <v>274000</v>
      </c>
      <c r="BR251" s="9">
        <v>900</v>
      </c>
      <c r="BS251" s="9">
        <v>90</v>
      </c>
      <c r="BT251" s="9"/>
      <c r="BU251" s="9">
        <v>10720</v>
      </c>
      <c r="BV251" s="9">
        <v>7460</v>
      </c>
      <c r="BW251" s="9">
        <v>3050</v>
      </c>
      <c r="BX251" s="9">
        <v>277000</v>
      </c>
      <c r="BY251" s="9">
        <v>150</v>
      </c>
      <c r="BZ251" s="10" t="s">
        <v>544</v>
      </c>
      <c r="CA251" s="9">
        <v>60</v>
      </c>
      <c r="CB251" s="9"/>
      <c r="CC251" s="10">
        <f t="shared" si="80"/>
        <v>2.2164951242971673</v>
      </c>
      <c r="CD251" s="10">
        <f t="shared" si="81"/>
        <v>145.36084303530262</v>
      </c>
      <c r="CE251" s="10">
        <f t="shared" si="93"/>
        <v>625051.62505180121</v>
      </c>
      <c r="CF251" s="10">
        <f t="shared" si="73"/>
        <v>1</v>
      </c>
      <c r="CG251" s="10">
        <f t="shared" si="74"/>
        <v>0</v>
      </c>
      <c r="CH251" s="10">
        <f t="shared" si="75"/>
        <v>25</v>
      </c>
      <c r="CI251" s="9">
        <f t="shared" si="82"/>
        <v>0</v>
      </c>
      <c r="CJ251" s="10">
        <f t="shared" si="76"/>
        <v>60</v>
      </c>
      <c r="CK251" s="10" t="b">
        <f t="shared" si="83"/>
        <v>1</v>
      </c>
      <c r="CL251" s="10" t="b">
        <f t="shared" si="84"/>
        <v>1</v>
      </c>
      <c r="CM251" s="10" t="b">
        <f t="shared" si="85"/>
        <v>1</v>
      </c>
      <c r="CN251" s="9">
        <f t="shared" si="86"/>
        <v>1</v>
      </c>
      <c r="CO251" s="10">
        <f>(YEAR(AO251)-YEAR(AJ251))*12+MONTH(AO251)-MONTH(AJ251)</f>
        <v>25</v>
      </c>
      <c r="CP251" s="10" t="b">
        <f t="shared" si="87"/>
        <v>1</v>
      </c>
      <c r="CQ251" s="10" t="b">
        <f t="shared" si="88"/>
        <v>1</v>
      </c>
      <c r="CR251" s="10" cm="1">
        <f t="array" ref="CR251">_xlfn.IFS(AND($CI251=0, CK251=FALSE), NA(), AND($CI251=1, CK251=FALSE), 0, CK251=TRUE, 1)</f>
        <v>1</v>
      </c>
      <c r="CS251" s="10" cm="1">
        <f t="array" ref="CS251">_xlfn.IFS(AND($CI251=0, CL251=FALSE), NA(), AND($CI251=1, CL251=FALSE), 0, CL251=TRUE, 1)</f>
        <v>1</v>
      </c>
      <c r="CT251" s="10" cm="1">
        <f t="array" ref="CT251">_xlfn.IFS(AND($CI251=0, CM251=FALSE), NA(), AND($CI251=1, CM251=FALSE), 0, CM251=TRUE, 1)</f>
        <v>1</v>
      </c>
      <c r="CU251" s="10" cm="1">
        <f t="array" ref="CU251">_xlfn.IFS(AND($CN251=0, CP251=FALSE), NA(), AND($CN251=1, CP251=FALSE), 0, CP251=TRUE, 1)</f>
        <v>1</v>
      </c>
      <c r="CV251" s="10" cm="1">
        <f t="array" ref="CV251">_xlfn.IFS(AND($CN251=0, CQ251=FALSE), NA(), AND($CN251=1, CQ251=FALSE), 0, CQ251=TRUE, 1)</f>
        <v>1</v>
      </c>
    </row>
    <row r="252" spans="1:100" x14ac:dyDescent="0.25">
      <c r="A252" s="8">
        <v>251</v>
      </c>
      <c r="B252" s="9">
        <v>115</v>
      </c>
      <c r="C252" s="10" t="s">
        <v>12</v>
      </c>
      <c r="D252" s="11" t="s">
        <v>138</v>
      </c>
      <c r="E252" s="12">
        <v>17817</v>
      </c>
      <c r="F252" s="13">
        <v>2</v>
      </c>
      <c r="G252" s="9">
        <v>64.892539978027344</v>
      </c>
      <c r="H252" s="12">
        <v>41519</v>
      </c>
      <c r="I252" s="9">
        <v>1</v>
      </c>
      <c r="J252" s="12">
        <v>41553</v>
      </c>
      <c r="K252" s="9">
        <v>0</v>
      </c>
      <c r="L252" s="9">
        <v>1</v>
      </c>
      <c r="M252" s="10" t="s">
        <v>401</v>
      </c>
      <c r="N252" s="9">
        <v>2</v>
      </c>
      <c r="O252" s="10" t="s">
        <v>421</v>
      </c>
      <c r="P252" s="9">
        <v>2</v>
      </c>
      <c r="Q252" s="10" t="s">
        <v>421</v>
      </c>
      <c r="R252" s="12">
        <v>41723</v>
      </c>
      <c r="S252" s="10" t="s">
        <v>145</v>
      </c>
      <c r="T252" s="9"/>
      <c r="U252" s="10" t="s">
        <v>401</v>
      </c>
      <c r="V252" s="10" t="s">
        <v>401</v>
      </c>
      <c r="W252" s="9"/>
      <c r="X252" s="9"/>
      <c r="Y252" s="9">
        <v>2</v>
      </c>
      <c r="Z252" s="19">
        <v>1</v>
      </c>
      <c r="AB252" s="9"/>
      <c r="AC252" s="9"/>
      <c r="AD252" s="9">
        <v>2</v>
      </c>
      <c r="AE252" s="9">
        <v>2</v>
      </c>
      <c r="AF252" s="9">
        <v>2</v>
      </c>
      <c r="AG252" s="9">
        <v>0</v>
      </c>
      <c r="AH252" s="9">
        <v>1</v>
      </c>
      <c r="AI252" s="9">
        <v>0</v>
      </c>
      <c r="AJ252" s="12">
        <v>43047</v>
      </c>
      <c r="AK252" s="9">
        <v>2</v>
      </c>
      <c r="AL252" s="12">
        <v>43259</v>
      </c>
      <c r="AM252" s="9">
        <v>2</v>
      </c>
      <c r="AN252" s="12">
        <v>43117</v>
      </c>
      <c r="AO252" s="12">
        <v>43336</v>
      </c>
      <c r="AP252" s="12">
        <v>43336</v>
      </c>
      <c r="AQ252" s="9">
        <v>1</v>
      </c>
      <c r="AR252" s="9">
        <f t="shared" si="78"/>
        <v>1</v>
      </c>
      <c r="AS252" s="9">
        <v>1</v>
      </c>
      <c r="AT252" s="9">
        <v>2</v>
      </c>
      <c r="AU252" s="9">
        <v>1</v>
      </c>
      <c r="AV252" s="9">
        <f t="shared" si="79"/>
        <v>0</v>
      </c>
      <c r="AW252" s="12">
        <v>43921</v>
      </c>
      <c r="AX252" s="9">
        <v>4080</v>
      </c>
      <c r="AY252" s="9">
        <v>2570</v>
      </c>
      <c r="AZ252" s="9">
        <v>910</v>
      </c>
      <c r="BA252" s="9">
        <v>2570</v>
      </c>
      <c r="BB252" s="9">
        <v>910</v>
      </c>
      <c r="BC252" s="9">
        <v>210000</v>
      </c>
      <c r="BD252" s="9">
        <v>560</v>
      </c>
      <c r="BE252" s="9">
        <v>40</v>
      </c>
      <c r="BF252" s="9"/>
      <c r="BG252" s="9">
        <v>4790</v>
      </c>
      <c r="BH252" s="9">
        <v>3040</v>
      </c>
      <c r="BI252" s="9">
        <v>1110</v>
      </c>
      <c r="BJ252" s="9">
        <v>262000</v>
      </c>
      <c r="BK252" s="9">
        <v>610</v>
      </c>
      <c r="BL252" s="9">
        <v>20</v>
      </c>
      <c r="BM252" s="9"/>
      <c r="BN252" s="9">
        <v>4840</v>
      </c>
      <c r="BO252" s="9">
        <v>2990</v>
      </c>
      <c r="BP252" s="9">
        <v>1150</v>
      </c>
      <c r="BQ252" s="9">
        <v>258000</v>
      </c>
      <c r="BR252" s="9">
        <v>650</v>
      </c>
      <c r="BS252" s="9">
        <v>40</v>
      </c>
      <c r="BT252" s="9"/>
      <c r="BU252" s="9">
        <v>6110</v>
      </c>
      <c r="BV252" s="9">
        <v>4190</v>
      </c>
      <c r="BW252" s="9">
        <v>1150</v>
      </c>
      <c r="BX252" s="9">
        <v>286000</v>
      </c>
      <c r="BY252" s="9">
        <v>690</v>
      </c>
      <c r="BZ252" s="10" t="s">
        <v>554</v>
      </c>
      <c r="CA252" s="9">
        <v>70</v>
      </c>
      <c r="CB252" s="9"/>
      <c r="CC252" s="10">
        <f t="shared" si="80"/>
        <v>2.8241758241758244</v>
      </c>
      <c r="CD252" s="10">
        <f t="shared" si="81"/>
        <v>230.76923076923077</v>
      </c>
      <c r="CE252" s="10">
        <f t="shared" si="93"/>
        <v>593076.92307692312</v>
      </c>
      <c r="CF252" s="10">
        <f t="shared" si="73"/>
        <v>1</v>
      </c>
      <c r="CG252" s="10">
        <f t="shared" si="74"/>
        <v>1</v>
      </c>
      <c r="CH252" s="10">
        <f t="shared" si="75"/>
        <v>7</v>
      </c>
      <c r="CI252" s="9">
        <f t="shared" si="82"/>
        <v>0</v>
      </c>
      <c r="CJ252" s="10">
        <f t="shared" si="76"/>
        <v>28</v>
      </c>
      <c r="CK252" s="10" t="b">
        <f t="shared" si="83"/>
        <v>1</v>
      </c>
      <c r="CL252" s="10" t="b">
        <f t="shared" si="84"/>
        <v>1</v>
      </c>
      <c r="CM252" s="10" t="b">
        <f t="shared" si="85"/>
        <v>1</v>
      </c>
      <c r="CN252" s="9">
        <f t="shared" si="86"/>
        <v>1</v>
      </c>
      <c r="CO252" s="10">
        <f>(YEAR(AO252)-YEAR(AJ252))*12+MONTH(AO252)-MONTH(AJ252)</f>
        <v>9</v>
      </c>
      <c r="CP252" s="10" t="b">
        <f t="shared" si="87"/>
        <v>1</v>
      </c>
      <c r="CQ252" s="10" t="b">
        <f t="shared" si="88"/>
        <v>1</v>
      </c>
      <c r="CR252" s="10" cm="1">
        <f t="array" ref="CR252">_xlfn.IFS(AND($CI252=0, CK252=FALSE), NA(), AND($CI252=1, CK252=FALSE), 0, CK252=TRUE, 1)</f>
        <v>1</v>
      </c>
      <c r="CS252" s="10" cm="1">
        <f t="array" ref="CS252">_xlfn.IFS(AND($CI252=0, CL252=FALSE), NA(), AND($CI252=1, CL252=FALSE), 0, CL252=TRUE, 1)</f>
        <v>1</v>
      </c>
      <c r="CT252" s="10" cm="1">
        <f t="array" ref="CT252">_xlfn.IFS(AND($CI252=0, CM252=FALSE), NA(), AND($CI252=1, CM252=FALSE), 0, CM252=TRUE, 1)</f>
        <v>1</v>
      </c>
      <c r="CU252" s="10" cm="1">
        <f t="array" ref="CU252">_xlfn.IFS(AND($CN252=0, CP252=FALSE), NA(), AND($CN252=1, CP252=FALSE), 0, CP252=TRUE, 1)</f>
        <v>1</v>
      </c>
      <c r="CV252" s="10" cm="1">
        <f t="array" ref="CV252">_xlfn.IFS(AND($CN252=0, CQ252=FALSE), NA(), AND($CN252=1, CQ252=FALSE), 0, CQ252=TRUE, 1)</f>
        <v>1</v>
      </c>
    </row>
    <row r="253" spans="1:100" ht="15.75" x14ac:dyDescent="0.25">
      <c r="A253" s="8">
        <v>252</v>
      </c>
      <c r="B253" s="9">
        <v>464</v>
      </c>
      <c r="C253" s="10" t="s">
        <v>30</v>
      </c>
      <c r="D253" s="11" t="s">
        <v>88</v>
      </c>
      <c r="E253" s="12">
        <v>22546</v>
      </c>
      <c r="F253" s="13">
        <v>1</v>
      </c>
      <c r="G253" s="9">
        <v>51.969882965087891</v>
      </c>
      <c r="H253" s="12">
        <v>41528</v>
      </c>
      <c r="I253" s="9">
        <v>1</v>
      </c>
      <c r="J253" s="12">
        <v>41528</v>
      </c>
      <c r="K253" s="9">
        <v>1</v>
      </c>
      <c r="L253" s="9">
        <v>1</v>
      </c>
      <c r="M253" s="10" t="s">
        <v>401</v>
      </c>
      <c r="N253" s="9">
        <v>2</v>
      </c>
      <c r="O253" s="10" t="s">
        <v>145</v>
      </c>
      <c r="P253" s="9">
        <v>2</v>
      </c>
      <c r="Q253" s="10" t="s">
        <v>145</v>
      </c>
      <c r="R253" s="12">
        <v>41528</v>
      </c>
      <c r="S253" s="10" t="s">
        <v>145</v>
      </c>
      <c r="T253" s="9">
        <v>4</v>
      </c>
      <c r="U253" s="10" t="s">
        <v>401</v>
      </c>
      <c r="V253" s="10" t="s">
        <v>401</v>
      </c>
      <c r="W253" s="9"/>
      <c r="X253" s="9"/>
      <c r="Y253" s="9">
        <v>3</v>
      </c>
      <c r="Z253" s="14">
        <v>1</v>
      </c>
      <c r="AA253" s="17">
        <v>13</v>
      </c>
      <c r="AB253" s="18">
        <v>88</v>
      </c>
      <c r="AC253" s="18">
        <v>13</v>
      </c>
      <c r="AD253" s="9">
        <v>2</v>
      </c>
      <c r="AE253" s="9">
        <v>2</v>
      </c>
      <c r="AF253" s="9">
        <v>1</v>
      </c>
      <c r="AG253" s="9">
        <v>0</v>
      </c>
      <c r="AH253" s="9">
        <v>0</v>
      </c>
      <c r="AI253" s="9">
        <v>1</v>
      </c>
      <c r="AJ253" s="12">
        <v>43361</v>
      </c>
      <c r="AK253" s="9">
        <v>2</v>
      </c>
      <c r="AL253" s="12">
        <v>43705</v>
      </c>
      <c r="AM253" s="9">
        <v>3</v>
      </c>
      <c r="AN253" s="12">
        <v>43449</v>
      </c>
      <c r="AO253" s="12">
        <v>43706</v>
      </c>
      <c r="AP253" s="12">
        <v>43706</v>
      </c>
      <c r="AQ253" s="9">
        <v>1</v>
      </c>
      <c r="AR253" s="9">
        <f t="shared" si="78"/>
        <v>1</v>
      </c>
      <c r="AS253" s="9">
        <v>1</v>
      </c>
      <c r="AT253" s="9">
        <v>2</v>
      </c>
      <c r="AU253" s="9">
        <v>2</v>
      </c>
      <c r="AV253" s="9">
        <f t="shared" si="79"/>
        <v>1</v>
      </c>
      <c r="AW253" s="12">
        <v>44207</v>
      </c>
      <c r="AX253" s="9">
        <v>5890</v>
      </c>
      <c r="AY253" s="9">
        <v>3350</v>
      </c>
      <c r="AZ253" s="9">
        <v>1660</v>
      </c>
      <c r="BA253" s="9">
        <v>3350</v>
      </c>
      <c r="BB253" s="9">
        <v>1659.999755859375</v>
      </c>
      <c r="BC253" s="9">
        <v>195000</v>
      </c>
      <c r="BD253" s="9">
        <v>940</v>
      </c>
      <c r="BE253" s="9">
        <v>110</v>
      </c>
      <c r="BF253" s="9">
        <v>325</v>
      </c>
      <c r="BG253" s="9">
        <v>6260</v>
      </c>
      <c r="BH253" s="9">
        <v>3980</v>
      </c>
      <c r="BI253" s="9">
        <v>1330</v>
      </c>
      <c r="BJ253" s="9">
        <v>193000</v>
      </c>
      <c r="BK253" s="9">
        <v>840</v>
      </c>
      <c r="BL253" s="9">
        <v>90</v>
      </c>
      <c r="BM253" s="9"/>
      <c r="BN253" s="9">
        <v>7070</v>
      </c>
      <c r="BO253" s="9">
        <v>4650</v>
      </c>
      <c r="BP253" s="9">
        <v>1430</v>
      </c>
      <c r="BQ253" s="9">
        <v>181000</v>
      </c>
      <c r="BR253" s="9">
        <v>900</v>
      </c>
      <c r="BS253" s="9">
        <v>80</v>
      </c>
      <c r="BT253" s="9"/>
      <c r="BU253" s="9">
        <v>7830</v>
      </c>
      <c r="BV253" s="9">
        <v>5430</v>
      </c>
      <c r="BW253" s="9">
        <v>1570</v>
      </c>
      <c r="BX253" s="9">
        <v>187000</v>
      </c>
      <c r="BY253" s="9">
        <v>740</v>
      </c>
      <c r="BZ253" s="10" t="s">
        <v>558</v>
      </c>
      <c r="CA253" s="9">
        <v>80</v>
      </c>
      <c r="CB253" s="9">
        <v>325</v>
      </c>
      <c r="CC253" s="10">
        <f t="shared" si="80"/>
        <v>2.0180725859599411</v>
      </c>
      <c r="CD253" s="10">
        <f t="shared" si="81"/>
        <v>117.46989679468315</v>
      </c>
      <c r="CE253" s="10">
        <f t="shared" si="93"/>
        <v>393524.15426218853</v>
      </c>
      <c r="CF253" s="10">
        <f t="shared" si="73"/>
        <v>1</v>
      </c>
      <c r="CG253" s="10">
        <f t="shared" si="74"/>
        <v>0</v>
      </c>
      <c r="CH253" s="10">
        <f t="shared" si="75"/>
        <v>11</v>
      </c>
      <c r="CI253" s="9">
        <f t="shared" si="82"/>
        <v>1</v>
      </c>
      <c r="CJ253" s="10">
        <f t="shared" si="76"/>
        <v>28</v>
      </c>
      <c r="CK253" s="10" t="b">
        <f t="shared" si="83"/>
        <v>1</v>
      </c>
      <c r="CL253" s="10" t="b">
        <f t="shared" si="84"/>
        <v>1</v>
      </c>
      <c r="CM253" s="10" t="b">
        <f t="shared" si="85"/>
        <v>1</v>
      </c>
      <c r="CN253" s="9">
        <f t="shared" si="86"/>
        <v>1</v>
      </c>
      <c r="CO253" s="10">
        <f>(YEAR(AO253)-YEAR(AJ253))*12+MONTH(AO253)-MONTH(AJ253)</f>
        <v>11</v>
      </c>
      <c r="CP253" s="10" t="b">
        <f t="shared" si="87"/>
        <v>1</v>
      </c>
      <c r="CQ253" s="10" t="b">
        <f t="shared" si="88"/>
        <v>1</v>
      </c>
      <c r="CR253" s="10" cm="1">
        <f t="array" ref="CR253">_xlfn.IFS(AND($CI253=0, CK253=FALSE), NA(), AND($CI253=1, CK253=FALSE), 0, CK253=TRUE, 1)</f>
        <v>1</v>
      </c>
      <c r="CS253" s="10" cm="1">
        <f t="array" ref="CS253">_xlfn.IFS(AND($CI253=0, CL253=FALSE), NA(), AND($CI253=1, CL253=FALSE), 0, CL253=TRUE, 1)</f>
        <v>1</v>
      </c>
      <c r="CT253" s="10" cm="1">
        <f t="array" ref="CT253">_xlfn.IFS(AND($CI253=0, CM253=FALSE), NA(), AND($CI253=1, CM253=FALSE), 0, CM253=TRUE, 1)</f>
        <v>1</v>
      </c>
      <c r="CU253" s="10" cm="1">
        <f t="array" ref="CU253">_xlfn.IFS(AND($CN253=0, CP253=FALSE), NA(), AND($CN253=1, CP253=FALSE), 0, CP253=TRUE, 1)</f>
        <v>1</v>
      </c>
      <c r="CV253" s="10" cm="1">
        <f t="array" ref="CV253">_xlfn.IFS(AND($CN253=0, CQ253=FALSE), NA(), AND($CN253=1, CQ253=FALSE), 0, CQ253=TRUE, 1)</f>
        <v>1</v>
      </c>
    </row>
    <row r="254" spans="1:100" ht="15.75" x14ac:dyDescent="0.25">
      <c r="A254" s="8">
        <v>253</v>
      </c>
      <c r="B254" s="9">
        <v>510</v>
      </c>
      <c r="C254" s="10" t="s">
        <v>33</v>
      </c>
      <c r="D254" s="11" t="s">
        <v>85</v>
      </c>
      <c r="E254" s="12">
        <v>15922</v>
      </c>
      <c r="F254" s="13">
        <v>1</v>
      </c>
      <c r="G254" s="9">
        <v>70.116355895996094</v>
      </c>
      <c r="H254" s="12">
        <v>41532</v>
      </c>
      <c r="I254" s="9">
        <v>1</v>
      </c>
      <c r="J254" s="12">
        <v>41546</v>
      </c>
      <c r="K254" s="9">
        <v>0</v>
      </c>
      <c r="L254" s="9">
        <v>1</v>
      </c>
      <c r="M254" s="10" t="s">
        <v>401</v>
      </c>
      <c r="N254" s="9">
        <v>1</v>
      </c>
      <c r="O254" s="10" t="s">
        <v>401</v>
      </c>
      <c r="P254" s="9">
        <v>1</v>
      </c>
      <c r="Q254" s="10" t="s">
        <v>401</v>
      </c>
      <c r="R254" s="12">
        <v>42178</v>
      </c>
      <c r="S254" s="10" t="s">
        <v>145</v>
      </c>
      <c r="T254" s="9">
        <v>6</v>
      </c>
      <c r="U254" s="10" t="s">
        <v>147</v>
      </c>
      <c r="V254" s="10" t="s">
        <v>401</v>
      </c>
      <c r="W254" s="9"/>
      <c r="X254" s="9"/>
      <c r="Y254" s="9">
        <v>4</v>
      </c>
      <c r="Z254" s="14">
        <v>1</v>
      </c>
      <c r="AA254" s="15">
        <v>11.3</v>
      </c>
      <c r="AB254" s="16">
        <v>97</v>
      </c>
      <c r="AC254" s="16">
        <v>12</v>
      </c>
      <c r="AD254" s="9">
        <v>2</v>
      </c>
      <c r="AE254" s="9">
        <v>2</v>
      </c>
      <c r="AF254" s="9">
        <v>1</v>
      </c>
      <c r="AG254" s="9">
        <v>1</v>
      </c>
      <c r="AH254" s="9">
        <v>1</v>
      </c>
      <c r="AI254" s="9">
        <v>0</v>
      </c>
      <c r="AJ254" s="12">
        <v>42913</v>
      </c>
      <c r="AK254" s="9">
        <v>2</v>
      </c>
      <c r="AL254" s="12">
        <v>43801</v>
      </c>
      <c r="AM254" s="9">
        <v>1</v>
      </c>
      <c r="AN254" s="12">
        <v>43160</v>
      </c>
      <c r="AO254" s="12">
        <v>43788</v>
      </c>
      <c r="AP254" s="12">
        <v>43788</v>
      </c>
      <c r="AQ254" s="9">
        <v>1</v>
      </c>
      <c r="AR254" s="9">
        <f t="shared" si="78"/>
        <v>1</v>
      </c>
      <c r="AS254" s="9">
        <v>1</v>
      </c>
      <c r="AT254" s="9">
        <v>2</v>
      </c>
      <c r="AU254" s="9">
        <v>2</v>
      </c>
      <c r="AV254" s="9">
        <f t="shared" si="79"/>
        <v>1</v>
      </c>
      <c r="AW254" s="12">
        <v>43868</v>
      </c>
      <c r="AX254" s="9"/>
      <c r="AY254" s="9"/>
      <c r="AZ254" s="9"/>
      <c r="BA254" s="9">
        <v>5010.64453125</v>
      </c>
      <c r="BB254" s="9">
        <v>1205.18115234375</v>
      </c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10" t="s">
        <v>401</v>
      </c>
      <c r="CA254" s="9"/>
      <c r="CB254" s="9"/>
      <c r="CC254" s="10">
        <f t="shared" si="80"/>
        <v>4.157586203124449</v>
      </c>
      <c r="CF254" s="10">
        <f t="shared" si="73"/>
        <v>1</v>
      </c>
      <c r="CG254" s="10">
        <f t="shared" si="74"/>
        <v>1</v>
      </c>
      <c r="CH254" s="10">
        <f t="shared" si="75"/>
        <v>30</v>
      </c>
      <c r="CI254" s="9">
        <f t="shared" si="82"/>
        <v>1</v>
      </c>
      <c r="CJ254" s="10">
        <f t="shared" si="76"/>
        <v>32</v>
      </c>
      <c r="CK254" s="10" t="b">
        <f t="shared" si="83"/>
        <v>1</v>
      </c>
      <c r="CL254" s="10" t="b">
        <f t="shared" si="84"/>
        <v>1</v>
      </c>
      <c r="CM254" s="10" t="b">
        <f t="shared" si="85"/>
        <v>1</v>
      </c>
      <c r="CN254" s="9">
        <f t="shared" si="86"/>
        <v>1</v>
      </c>
      <c r="CO254" s="10">
        <f>(YEAR(AO254)-YEAR(AJ254))*12+MONTH(AO254)-MONTH(AJ254)</f>
        <v>29</v>
      </c>
      <c r="CP254" s="10" t="b">
        <f t="shared" si="87"/>
        <v>1</v>
      </c>
      <c r="CQ254" s="10" t="b">
        <f t="shared" si="88"/>
        <v>1</v>
      </c>
      <c r="CR254" s="10" cm="1">
        <f t="array" ref="CR254">_xlfn.IFS(AND($CI254=0, CK254=FALSE), NA(), AND($CI254=1, CK254=FALSE), 0, CK254=TRUE, 1)</f>
        <v>1</v>
      </c>
      <c r="CS254" s="10" cm="1">
        <f t="array" ref="CS254">_xlfn.IFS(AND($CI254=0, CL254=FALSE), NA(), AND($CI254=1, CL254=FALSE), 0, CL254=TRUE, 1)</f>
        <v>1</v>
      </c>
      <c r="CT254" s="10" cm="1">
        <f t="array" ref="CT254">_xlfn.IFS(AND($CI254=0, CM254=FALSE), NA(), AND($CI254=1, CM254=FALSE), 0, CM254=TRUE, 1)</f>
        <v>1</v>
      </c>
      <c r="CU254" s="10" cm="1">
        <f t="array" ref="CU254">_xlfn.IFS(AND($CN254=0, CP254=FALSE), NA(), AND($CN254=1, CP254=FALSE), 0, CP254=TRUE, 1)</f>
        <v>1</v>
      </c>
      <c r="CV254" s="10" cm="1">
        <f t="array" ref="CV254">_xlfn.IFS(AND($CN254=0, CQ254=FALSE), NA(), AND($CN254=1, CQ254=FALSE), 0, CQ254=TRUE, 1)</f>
        <v>1</v>
      </c>
    </row>
    <row r="255" spans="1:100" ht="15.75" x14ac:dyDescent="0.25">
      <c r="A255" s="8">
        <v>254</v>
      </c>
      <c r="B255" s="9">
        <v>455</v>
      </c>
      <c r="C255" s="10" t="s">
        <v>30</v>
      </c>
      <c r="D255" s="11" t="s">
        <v>217</v>
      </c>
      <c r="E255" s="12">
        <v>19631</v>
      </c>
      <c r="F255" s="13">
        <v>2</v>
      </c>
      <c r="G255" s="9">
        <v>59.964408874511719</v>
      </c>
      <c r="H255" s="12">
        <v>41533</v>
      </c>
      <c r="I255" s="9">
        <v>1</v>
      </c>
      <c r="J255" s="12">
        <v>41533</v>
      </c>
      <c r="K255" s="9">
        <v>0</v>
      </c>
      <c r="L255" s="9">
        <v>1</v>
      </c>
      <c r="M255" s="10" t="s">
        <v>401</v>
      </c>
      <c r="N255" s="9">
        <v>1</v>
      </c>
      <c r="O255" s="10" t="s">
        <v>401</v>
      </c>
      <c r="P255" s="9">
        <v>1</v>
      </c>
      <c r="Q255" s="10" t="s">
        <v>401</v>
      </c>
      <c r="R255" s="12">
        <v>41919</v>
      </c>
      <c r="S255" s="10" t="s">
        <v>146</v>
      </c>
      <c r="T255" s="9"/>
      <c r="U255" s="10" t="s">
        <v>401</v>
      </c>
      <c r="V255" s="10" t="s">
        <v>401</v>
      </c>
      <c r="W255" s="9"/>
      <c r="X255" s="9"/>
      <c r="Y255" s="9">
        <v>2</v>
      </c>
      <c r="Z255" s="14">
        <v>2</v>
      </c>
      <c r="AA255" s="15">
        <v>12.1</v>
      </c>
      <c r="AB255" s="16">
        <v>88</v>
      </c>
      <c r="AC255" s="16">
        <v>9</v>
      </c>
      <c r="AD255" s="9">
        <v>1</v>
      </c>
      <c r="AE255" s="9">
        <v>1</v>
      </c>
      <c r="AF255" s="9">
        <v>1</v>
      </c>
      <c r="AG255" s="9">
        <v>0</v>
      </c>
      <c r="AH255" s="9">
        <v>1</v>
      </c>
      <c r="AI255" s="9">
        <v>0</v>
      </c>
      <c r="AJ255" s="12">
        <v>42510</v>
      </c>
      <c r="AK255" s="9">
        <v>1</v>
      </c>
      <c r="AL255" s="12">
        <v>44967</v>
      </c>
      <c r="AM255" s="9">
        <v>3</v>
      </c>
      <c r="AN255" s="12">
        <v>42760</v>
      </c>
      <c r="AO255" s="12"/>
      <c r="AP255" s="12"/>
      <c r="AQ255" s="9">
        <v>2</v>
      </c>
      <c r="AR255" s="9">
        <f t="shared" si="78"/>
        <v>0</v>
      </c>
      <c r="AS255" s="9">
        <v>2</v>
      </c>
      <c r="AT255" s="9"/>
      <c r="AU255" s="9">
        <v>1</v>
      </c>
      <c r="AV255" s="9">
        <f t="shared" si="79"/>
        <v>0</v>
      </c>
      <c r="AW255" s="12">
        <v>44971</v>
      </c>
      <c r="AX255" s="9">
        <v>6450</v>
      </c>
      <c r="AY255" s="9">
        <v>3230</v>
      </c>
      <c r="AZ255" s="9">
        <v>2270</v>
      </c>
      <c r="BA255" s="9">
        <v>3230</v>
      </c>
      <c r="BB255" s="9">
        <v>2270.000244140625</v>
      </c>
      <c r="BC255" s="9">
        <v>211000</v>
      </c>
      <c r="BD255" s="9">
        <v>380</v>
      </c>
      <c r="BE255" s="9">
        <v>80</v>
      </c>
      <c r="BF255" s="9">
        <v>201</v>
      </c>
      <c r="BG255" s="9">
        <v>5690</v>
      </c>
      <c r="BH255" s="9">
        <v>3040</v>
      </c>
      <c r="BI255" s="9">
        <v>2170</v>
      </c>
      <c r="BJ255" s="9">
        <v>233000</v>
      </c>
      <c r="BK255" s="9">
        <v>400</v>
      </c>
      <c r="BL255" s="9">
        <v>70</v>
      </c>
      <c r="BM255" s="9"/>
      <c r="BN255" s="9">
        <v>7780</v>
      </c>
      <c r="BO255" s="9">
        <v>4280</v>
      </c>
      <c r="BP255" s="9">
        <v>2920</v>
      </c>
      <c r="BQ255" s="9">
        <v>253000</v>
      </c>
      <c r="BR255" s="9">
        <v>540</v>
      </c>
      <c r="BS255" s="9">
        <v>0</v>
      </c>
      <c r="BT255" s="9">
        <v>196</v>
      </c>
      <c r="BU255" s="9">
        <v>7920</v>
      </c>
      <c r="BV255" s="9">
        <v>4870</v>
      </c>
      <c r="BW255" s="9">
        <v>2660</v>
      </c>
      <c r="BX255" s="9">
        <v>271000</v>
      </c>
      <c r="BY255" s="9">
        <v>380</v>
      </c>
      <c r="BZ255" s="10" t="s">
        <v>442</v>
      </c>
      <c r="CA255" s="9">
        <v>0</v>
      </c>
      <c r="CB255" s="9">
        <v>204</v>
      </c>
      <c r="CC255" s="10">
        <f t="shared" si="80"/>
        <v>1.4229073359517681</v>
      </c>
      <c r="CD255" s="10">
        <f t="shared" si="81"/>
        <v>92.951531853196002</v>
      </c>
      <c r="CE255" s="10">
        <f t="shared" ref="CE255:CE262" si="94">BC255*CC255</f>
        <v>300233.44788582309</v>
      </c>
      <c r="CF255" s="10">
        <f t="shared" si="73"/>
        <v>1</v>
      </c>
      <c r="CG255" s="10">
        <f t="shared" si="74"/>
        <v>0</v>
      </c>
      <c r="CH255" s="10">
        <f t="shared" si="75"/>
        <v>81</v>
      </c>
      <c r="CI255" s="9">
        <f t="shared" si="82"/>
        <v>0</v>
      </c>
      <c r="CJ255" s="10">
        <f t="shared" si="76"/>
        <v>81</v>
      </c>
      <c r="CK255" s="10" t="b">
        <f t="shared" si="83"/>
        <v>1</v>
      </c>
      <c r="CL255" s="10" t="b">
        <f t="shared" si="84"/>
        <v>1</v>
      </c>
      <c r="CM255" s="10" t="b">
        <f t="shared" si="85"/>
        <v>1</v>
      </c>
      <c r="CN255" s="9">
        <f t="shared" si="86"/>
        <v>0</v>
      </c>
      <c r="CO255" s="10">
        <f>CJ255</f>
        <v>81</v>
      </c>
      <c r="CP255" s="10" t="b">
        <f t="shared" si="87"/>
        <v>1</v>
      </c>
      <c r="CQ255" s="10" t="b">
        <f t="shared" si="88"/>
        <v>1</v>
      </c>
      <c r="CR255" s="10" cm="1">
        <f t="array" ref="CR255">_xlfn.IFS(AND($CI255=0, CK255=FALSE), NA(), AND($CI255=1, CK255=FALSE), 0, CK255=TRUE, 1)</f>
        <v>1</v>
      </c>
      <c r="CS255" s="10" cm="1">
        <f t="array" ref="CS255">_xlfn.IFS(AND($CI255=0, CL255=FALSE), NA(), AND($CI255=1, CL255=FALSE), 0, CL255=TRUE, 1)</f>
        <v>1</v>
      </c>
      <c r="CT255" s="10" cm="1">
        <f t="array" ref="CT255">_xlfn.IFS(AND($CI255=0, CM255=FALSE), NA(), AND($CI255=1, CM255=FALSE), 0, CM255=TRUE, 1)</f>
        <v>1</v>
      </c>
      <c r="CU255" s="10" cm="1">
        <f t="array" ref="CU255">_xlfn.IFS(AND($CN255=0, CP255=FALSE), NA(), AND($CN255=1, CP255=FALSE), 0, CP255=TRUE, 1)</f>
        <v>1</v>
      </c>
      <c r="CV255" s="10" cm="1">
        <f t="array" ref="CV255">_xlfn.IFS(AND($CN255=0, CQ255=FALSE), NA(), AND($CN255=1, CQ255=FALSE), 0, CQ255=TRUE, 1)</f>
        <v>1</v>
      </c>
    </row>
    <row r="256" spans="1:100" x14ac:dyDescent="0.25">
      <c r="A256" s="8">
        <v>255</v>
      </c>
      <c r="B256" s="9">
        <v>469</v>
      </c>
      <c r="C256" s="10" t="s">
        <v>31</v>
      </c>
      <c r="D256" s="11" t="s">
        <v>357</v>
      </c>
      <c r="E256" s="12"/>
      <c r="F256" s="13">
        <v>1</v>
      </c>
      <c r="G256" s="9">
        <v>65</v>
      </c>
      <c r="H256" s="12">
        <v>41535</v>
      </c>
      <c r="I256" s="9">
        <v>1</v>
      </c>
      <c r="J256" s="12">
        <v>41535</v>
      </c>
      <c r="K256" s="9">
        <v>1</v>
      </c>
      <c r="L256" s="9">
        <v>1</v>
      </c>
      <c r="M256" s="10" t="s">
        <v>401</v>
      </c>
      <c r="N256" s="9">
        <v>2</v>
      </c>
      <c r="O256" s="10" t="s">
        <v>409</v>
      </c>
      <c r="P256" s="9">
        <v>2</v>
      </c>
      <c r="Q256" s="10" t="s">
        <v>409</v>
      </c>
      <c r="R256" s="12">
        <v>41570</v>
      </c>
      <c r="S256" s="10" t="s">
        <v>145</v>
      </c>
      <c r="T256" s="9">
        <v>5</v>
      </c>
      <c r="U256" s="10" t="s">
        <v>401</v>
      </c>
      <c r="V256" s="10" t="s">
        <v>401</v>
      </c>
      <c r="W256" s="9"/>
      <c r="X256" s="9"/>
      <c r="Y256" s="9">
        <v>3</v>
      </c>
      <c r="Z256" s="19">
        <v>1</v>
      </c>
      <c r="AB256" s="9"/>
      <c r="AC256" s="9"/>
      <c r="AD256" s="9">
        <v>2</v>
      </c>
      <c r="AE256" s="9">
        <v>2</v>
      </c>
      <c r="AF256" s="9">
        <v>1</v>
      </c>
      <c r="AG256" s="9">
        <v>0</v>
      </c>
      <c r="AH256" s="9">
        <v>1</v>
      </c>
      <c r="AI256" s="9">
        <v>0</v>
      </c>
      <c r="AJ256" s="12">
        <v>42794</v>
      </c>
      <c r="AK256" s="9">
        <v>2</v>
      </c>
      <c r="AL256" s="12">
        <v>43075</v>
      </c>
      <c r="AM256" s="9">
        <v>3</v>
      </c>
      <c r="AN256" s="12">
        <v>42870</v>
      </c>
      <c r="AO256" s="12">
        <v>43074</v>
      </c>
      <c r="AP256" s="12">
        <v>43074</v>
      </c>
      <c r="AQ256" s="9">
        <v>1</v>
      </c>
      <c r="AR256" s="9">
        <f t="shared" si="78"/>
        <v>1</v>
      </c>
      <c r="AS256" s="9">
        <v>1</v>
      </c>
      <c r="AT256" s="9">
        <v>2</v>
      </c>
      <c r="AU256" s="9">
        <v>2</v>
      </c>
      <c r="AV256" s="9">
        <f t="shared" si="79"/>
        <v>1</v>
      </c>
      <c r="AW256" s="12">
        <v>43386</v>
      </c>
      <c r="AX256" s="9">
        <v>4570</v>
      </c>
      <c r="AY256" s="9">
        <v>2520</v>
      </c>
      <c r="AZ256" s="9">
        <v>1380</v>
      </c>
      <c r="BA256" s="9">
        <v>2520</v>
      </c>
      <c r="BB256" s="9">
        <v>1380.0001220703125</v>
      </c>
      <c r="BC256" s="9">
        <v>199000</v>
      </c>
      <c r="BD256" s="9">
        <v>530</v>
      </c>
      <c r="BE256" s="9">
        <v>110</v>
      </c>
      <c r="BF256" s="9">
        <v>384</v>
      </c>
      <c r="BG256" s="9">
        <v>5520</v>
      </c>
      <c r="BH256" s="9">
        <v>3810</v>
      </c>
      <c r="BI256" s="9">
        <v>960</v>
      </c>
      <c r="BJ256" s="9">
        <v>182000</v>
      </c>
      <c r="BK256" s="9">
        <v>550</v>
      </c>
      <c r="BL256" s="9">
        <v>150</v>
      </c>
      <c r="BM256" s="9">
        <v>411</v>
      </c>
      <c r="BN256" s="9">
        <v>5720</v>
      </c>
      <c r="BO256" s="9">
        <v>3640</v>
      </c>
      <c r="BP256" s="9">
        <v>1160</v>
      </c>
      <c r="BQ256" s="9">
        <v>212000</v>
      </c>
      <c r="BR256" s="9">
        <v>610</v>
      </c>
      <c r="BS256" s="9">
        <v>250</v>
      </c>
      <c r="BT256" s="9">
        <v>386</v>
      </c>
      <c r="BU256" s="9">
        <v>5180</v>
      </c>
      <c r="BV256" s="9">
        <v>3220</v>
      </c>
      <c r="BW256" s="9">
        <v>1180</v>
      </c>
      <c r="BX256" s="9">
        <v>229000</v>
      </c>
      <c r="BY256" s="9">
        <v>520</v>
      </c>
      <c r="BZ256" s="10" t="s">
        <v>564</v>
      </c>
      <c r="CA256" s="9">
        <v>210</v>
      </c>
      <c r="CB256" s="9">
        <v>377</v>
      </c>
      <c r="CC256" s="10">
        <f t="shared" si="80"/>
        <v>1.8260867949920394</v>
      </c>
      <c r="CD256" s="10">
        <f t="shared" si="81"/>
        <v>144.20288579500627</v>
      </c>
      <c r="CE256" s="10">
        <f t="shared" si="94"/>
        <v>363391.27220341587</v>
      </c>
      <c r="CF256" s="10">
        <f t="shared" si="73"/>
        <v>1</v>
      </c>
      <c r="CG256" s="10">
        <f t="shared" si="74"/>
        <v>0</v>
      </c>
      <c r="CH256" s="10">
        <f t="shared" si="75"/>
        <v>10</v>
      </c>
      <c r="CI256" s="9">
        <f t="shared" si="82"/>
        <v>1</v>
      </c>
      <c r="CJ256" s="10">
        <f t="shared" si="76"/>
        <v>20</v>
      </c>
      <c r="CK256" s="10" t="b">
        <f t="shared" si="83"/>
        <v>1</v>
      </c>
      <c r="CL256" s="10" t="b">
        <f t="shared" si="84"/>
        <v>1</v>
      </c>
      <c r="CM256" s="10" t="b">
        <f t="shared" si="85"/>
        <v>0</v>
      </c>
      <c r="CN256" s="9">
        <f t="shared" si="86"/>
        <v>1</v>
      </c>
      <c r="CO256" s="10">
        <f>(YEAR(AO256)-YEAR(AJ256))*12+MONTH(AO256)-MONTH(AJ256)</f>
        <v>10</v>
      </c>
      <c r="CP256" s="10" t="b">
        <f t="shared" si="87"/>
        <v>1</v>
      </c>
      <c r="CQ256" s="10" t="b">
        <f t="shared" si="88"/>
        <v>1</v>
      </c>
      <c r="CR256" s="10" cm="1">
        <f t="array" ref="CR256">_xlfn.IFS(AND($CI256=0, CK256=FALSE), NA(), AND($CI256=1, CK256=FALSE), 0, CK256=TRUE, 1)</f>
        <v>1</v>
      </c>
      <c r="CS256" s="10" cm="1">
        <f t="array" ref="CS256">_xlfn.IFS(AND($CI256=0, CL256=FALSE), NA(), AND($CI256=1, CL256=FALSE), 0, CL256=TRUE, 1)</f>
        <v>1</v>
      </c>
      <c r="CT256" s="10" cm="1">
        <f t="array" ref="CT256">_xlfn.IFS(AND($CI256=0, CM256=FALSE), NA(), AND($CI256=1, CM256=FALSE), 0, CM256=TRUE, 1)</f>
        <v>0</v>
      </c>
      <c r="CU256" s="10" cm="1">
        <f t="array" ref="CU256">_xlfn.IFS(AND($CN256=0, CP256=FALSE), NA(), AND($CN256=1, CP256=FALSE), 0, CP256=TRUE, 1)</f>
        <v>1</v>
      </c>
      <c r="CV256" s="10" cm="1">
        <f t="array" ref="CV256">_xlfn.IFS(AND($CN256=0, CQ256=FALSE), NA(), AND($CN256=1, CQ256=FALSE), 0, CQ256=TRUE, 1)</f>
        <v>1</v>
      </c>
    </row>
    <row r="257" spans="1:100" ht="15.75" x14ac:dyDescent="0.25">
      <c r="A257" s="8">
        <v>256</v>
      </c>
      <c r="B257" s="9">
        <v>565</v>
      </c>
      <c r="C257" s="10" t="s">
        <v>36</v>
      </c>
      <c r="D257" s="11" t="s">
        <v>54</v>
      </c>
      <c r="E257" s="12">
        <v>18392</v>
      </c>
      <c r="F257" s="13">
        <v>2</v>
      </c>
      <c r="G257" s="9">
        <v>63.381244659423828</v>
      </c>
      <c r="H257" s="12">
        <v>41542</v>
      </c>
      <c r="I257" s="9">
        <v>1</v>
      </c>
      <c r="J257" s="12">
        <v>41540</v>
      </c>
      <c r="K257" s="9">
        <v>0</v>
      </c>
      <c r="L257" s="9">
        <v>1</v>
      </c>
      <c r="M257" s="10" t="s">
        <v>401</v>
      </c>
      <c r="N257" s="9">
        <v>2</v>
      </c>
      <c r="O257" s="10" t="s">
        <v>147</v>
      </c>
      <c r="P257" s="9">
        <v>2</v>
      </c>
      <c r="Q257" s="10" t="s">
        <v>147</v>
      </c>
      <c r="R257" s="12">
        <v>41843</v>
      </c>
      <c r="S257" s="10" t="s">
        <v>146</v>
      </c>
      <c r="T257" s="9">
        <v>1</v>
      </c>
      <c r="U257" s="10" t="s">
        <v>401</v>
      </c>
      <c r="V257" s="10" t="s">
        <v>401</v>
      </c>
      <c r="W257" s="9"/>
      <c r="X257" s="9"/>
      <c r="Y257" s="9">
        <v>3</v>
      </c>
      <c r="Z257" s="14"/>
      <c r="AA257" s="17">
        <v>11.2</v>
      </c>
      <c r="AB257" s="18">
        <v>96</v>
      </c>
      <c r="AC257" s="18">
        <v>18</v>
      </c>
      <c r="AD257" s="9">
        <v>1</v>
      </c>
      <c r="AE257" s="9">
        <v>1</v>
      </c>
      <c r="AF257" s="9">
        <v>1</v>
      </c>
      <c r="AG257" s="9">
        <v>0</v>
      </c>
      <c r="AH257" s="9">
        <v>1</v>
      </c>
      <c r="AI257" s="9">
        <v>0</v>
      </c>
      <c r="AJ257" s="12">
        <v>43346</v>
      </c>
      <c r="AK257" s="9">
        <v>2</v>
      </c>
      <c r="AL257" s="12">
        <v>43416</v>
      </c>
      <c r="AM257" s="9">
        <v>4</v>
      </c>
      <c r="AN257" s="12">
        <v>43425</v>
      </c>
      <c r="AO257" s="12">
        <v>43425</v>
      </c>
      <c r="AP257" s="12">
        <v>43425</v>
      </c>
      <c r="AQ257" s="9">
        <v>1</v>
      </c>
      <c r="AR257" s="9">
        <f t="shared" si="78"/>
        <v>1</v>
      </c>
      <c r="AS257" s="9">
        <v>1</v>
      </c>
      <c r="AT257" s="9">
        <v>2</v>
      </c>
      <c r="AU257" s="9">
        <v>2</v>
      </c>
      <c r="AV257" s="9">
        <f t="shared" si="79"/>
        <v>1</v>
      </c>
      <c r="AW257" s="12">
        <v>44056</v>
      </c>
      <c r="AX257" s="9">
        <v>5600</v>
      </c>
      <c r="AY257" s="9">
        <v>3800</v>
      </c>
      <c r="AZ257" s="9">
        <v>1100</v>
      </c>
      <c r="BA257" s="9">
        <v>3800</v>
      </c>
      <c r="BB257" s="9">
        <v>1100.0001220703125</v>
      </c>
      <c r="BC257" s="9">
        <v>269000</v>
      </c>
      <c r="BD257" s="9">
        <v>700</v>
      </c>
      <c r="BE257" s="9">
        <v>0</v>
      </c>
      <c r="BF257" s="9">
        <v>142</v>
      </c>
      <c r="BG257" s="9">
        <v>5300</v>
      </c>
      <c r="BH257" s="9">
        <v>3900</v>
      </c>
      <c r="BI257" s="9">
        <v>900</v>
      </c>
      <c r="BJ257" s="9">
        <v>351000</v>
      </c>
      <c r="BK257" s="9">
        <v>500</v>
      </c>
      <c r="BL257" s="9">
        <v>0</v>
      </c>
      <c r="BM257" s="9">
        <v>141</v>
      </c>
      <c r="BN257" s="9">
        <v>7200</v>
      </c>
      <c r="BO257" s="9">
        <v>5300</v>
      </c>
      <c r="BP257" s="9">
        <v>1200</v>
      </c>
      <c r="BQ257" s="9">
        <v>327000</v>
      </c>
      <c r="BR257" s="9">
        <v>700</v>
      </c>
      <c r="BS257" s="9">
        <v>0</v>
      </c>
      <c r="BT257" s="9">
        <v>159</v>
      </c>
      <c r="BU257" s="9">
        <v>6200</v>
      </c>
      <c r="BV257" s="9">
        <v>4500</v>
      </c>
      <c r="BW257" s="9">
        <v>1000</v>
      </c>
      <c r="BX257" s="9">
        <v>378000</v>
      </c>
      <c r="BY257" s="9">
        <v>700</v>
      </c>
      <c r="BZ257" s="10" t="s">
        <v>442</v>
      </c>
      <c r="CA257" s="9">
        <v>0</v>
      </c>
      <c r="CB257" s="9">
        <v>166</v>
      </c>
      <c r="CC257" s="10">
        <f t="shared" si="80"/>
        <v>3.4545450711841852</v>
      </c>
      <c r="CD257" s="10">
        <f t="shared" si="81"/>
        <v>244.54542740751205</v>
      </c>
      <c r="CE257" s="10">
        <f t="shared" si="94"/>
        <v>929272.62414854579</v>
      </c>
      <c r="CF257" s="10">
        <f t="shared" si="73"/>
        <v>0</v>
      </c>
      <c r="CG257" s="10">
        <f t="shared" si="74"/>
        <v>0</v>
      </c>
      <c r="CH257" s="10">
        <f t="shared" si="75"/>
        <v>2</v>
      </c>
      <c r="CI257" s="9">
        <f t="shared" si="82"/>
        <v>1</v>
      </c>
      <c r="CJ257" s="10">
        <f t="shared" si="76"/>
        <v>23</v>
      </c>
      <c r="CK257" s="10" t="b">
        <f t="shared" si="83"/>
        <v>1</v>
      </c>
      <c r="CL257" s="10" t="b">
        <f t="shared" si="84"/>
        <v>1</v>
      </c>
      <c r="CM257" s="10" t="b">
        <f t="shared" si="85"/>
        <v>0</v>
      </c>
      <c r="CN257" s="9">
        <f t="shared" si="86"/>
        <v>1</v>
      </c>
      <c r="CO257" s="10">
        <f>(YEAR(AO257)-YEAR(AJ257))*12+MONTH(AO257)-MONTH(AJ257)</f>
        <v>2</v>
      </c>
      <c r="CP257" s="10" t="b">
        <f t="shared" si="87"/>
        <v>0</v>
      </c>
      <c r="CQ257" s="10" t="b">
        <f t="shared" si="88"/>
        <v>0</v>
      </c>
      <c r="CR257" s="10" cm="1">
        <f t="array" ref="CR257">_xlfn.IFS(AND($CI257=0, CK257=FALSE), NA(), AND($CI257=1, CK257=FALSE), 0, CK257=TRUE, 1)</f>
        <v>1</v>
      </c>
      <c r="CS257" s="10" cm="1">
        <f t="array" ref="CS257">_xlfn.IFS(AND($CI257=0, CL257=FALSE), NA(), AND($CI257=1, CL257=FALSE), 0, CL257=TRUE, 1)</f>
        <v>1</v>
      </c>
      <c r="CT257" s="10" cm="1">
        <f t="array" ref="CT257">_xlfn.IFS(AND($CI257=0, CM257=FALSE), NA(), AND($CI257=1, CM257=FALSE), 0, CM257=TRUE, 1)</f>
        <v>0</v>
      </c>
      <c r="CU257" s="10" cm="1">
        <f t="array" ref="CU257">_xlfn.IFS(AND($CN257=0, CP257=FALSE), NA(), AND($CN257=1, CP257=FALSE), 0, CP257=TRUE, 1)</f>
        <v>0</v>
      </c>
      <c r="CV257" s="10" cm="1">
        <f t="array" ref="CV257">_xlfn.IFS(AND($CN257=0, CQ257=FALSE), NA(), AND($CN257=1, CQ257=FALSE), 0, CQ257=TRUE, 1)</f>
        <v>0</v>
      </c>
    </row>
    <row r="258" spans="1:100" ht="15.75" x14ac:dyDescent="0.25">
      <c r="A258" s="8">
        <v>257</v>
      </c>
      <c r="B258" s="9">
        <v>173</v>
      </c>
      <c r="C258" s="10" t="s">
        <v>15</v>
      </c>
      <c r="D258" s="11" t="s">
        <v>166</v>
      </c>
      <c r="E258" s="12">
        <v>13810</v>
      </c>
      <c r="F258" s="13">
        <v>1</v>
      </c>
      <c r="G258" s="9">
        <v>75.9808349609375</v>
      </c>
      <c r="H258" s="12">
        <v>41562</v>
      </c>
      <c r="I258" s="9">
        <v>1</v>
      </c>
      <c r="J258" s="12">
        <v>41593</v>
      </c>
      <c r="K258" s="9">
        <v>0</v>
      </c>
      <c r="L258" s="9">
        <v>1</v>
      </c>
      <c r="M258" s="10" t="s">
        <v>401</v>
      </c>
      <c r="N258" s="9"/>
      <c r="O258" s="10" t="s">
        <v>401</v>
      </c>
      <c r="P258" s="9"/>
      <c r="Q258" s="10" t="s">
        <v>401</v>
      </c>
      <c r="R258" s="12">
        <v>42566</v>
      </c>
      <c r="S258" s="10" t="s">
        <v>146</v>
      </c>
      <c r="T258" s="9"/>
      <c r="U258" s="10" t="s">
        <v>401</v>
      </c>
      <c r="V258" s="10" t="s">
        <v>401</v>
      </c>
      <c r="W258" s="9"/>
      <c r="X258" s="9"/>
      <c r="Y258" s="9">
        <v>2</v>
      </c>
      <c r="Z258" s="14">
        <v>2</v>
      </c>
      <c r="AA258" s="17">
        <v>14.5</v>
      </c>
      <c r="AB258" s="18">
        <v>88</v>
      </c>
      <c r="AC258" s="18">
        <v>14</v>
      </c>
      <c r="AD258" s="9">
        <v>1</v>
      </c>
      <c r="AE258" s="9">
        <v>1</v>
      </c>
      <c r="AF258" s="9">
        <v>1</v>
      </c>
      <c r="AG258" s="9">
        <v>1</v>
      </c>
      <c r="AH258" s="9">
        <v>1</v>
      </c>
      <c r="AI258" s="9">
        <v>0</v>
      </c>
      <c r="AJ258" s="12">
        <v>43110</v>
      </c>
      <c r="AK258" s="9">
        <v>2</v>
      </c>
      <c r="AL258" s="12">
        <v>43412</v>
      </c>
      <c r="AM258" s="9">
        <v>2</v>
      </c>
      <c r="AN258" s="12">
        <v>43244</v>
      </c>
      <c r="AO258" s="12">
        <v>43362</v>
      </c>
      <c r="AP258" s="12">
        <v>43446</v>
      </c>
      <c r="AQ258" s="9">
        <v>1</v>
      </c>
      <c r="AR258" s="9">
        <f t="shared" si="78"/>
        <v>1</v>
      </c>
      <c r="AS258" s="9">
        <v>1</v>
      </c>
      <c r="AT258" s="9">
        <v>1</v>
      </c>
      <c r="AU258" s="9">
        <v>2</v>
      </c>
      <c r="AV258" s="9">
        <f t="shared" si="79"/>
        <v>1</v>
      </c>
      <c r="AW258" s="12">
        <v>43888</v>
      </c>
      <c r="AX258" s="9">
        <v>6970</v>
      </c>
      <c r="AY258" s="9">
        <v>4900</v>
      </c>
      <c r="AZ258" s="9"/>
      <c r="BA258" s="9">
        <v>4900</v>
      </c>
      <c r="BB258" s="9">
        <v>1333.2730712890625</v>
      </c>
      <c r="BC258" s="9">
        <v>182000</v>
      </c>
      <c r="BD258" s="9"/>
      <c r="BE258" s="9"/>
      <c r="BF258" s="9">
        <v>173</v>
      </c>
      <c r="BG258" s="9">
        <v>5810</v>
      </c>
      <c r="BH258" s="9">
        <v>3800</v>
      </c>
      <c r="BI258" s="9"/>
      <c r="BJ258" s="9">
        <v>159000</v>
      </c>
      <c r="BK258" s="9"/>
      <c r="BL258" s="9"/>
      <c r="BM258" s="9"/>
      <c r="BN258" s="9">
        <v>6560</v>
      </c>
      <c r="BO258" s="9">
        <v>4100</v>
      </c>
      <c r="BP258" s="9"/>
      <c r="BQ258" s="9">
        <v>126000</v>
      </c>
      <c r="BR258" s="9"/>
      <c r="BS258" s="9"/>
      <c r="BT258" s="9"/>
      <c r="BU258" s="9">
        <v>4640</v>
      </c>
      <c r="BV258" s="9">
        <v>2900</v>
      </c>
      <c r="BW258" s="9"/>
      <c r="BX258" s="9">
        <v>127000</v>
      </c>
      <c r="BY258" s="9"/>
      <c r="BZ258" s="10" t="s">
        <v>401</v>
      </c>
      <c r="CA258" s="9"/>
      <c r="CB258" s="9"/>
      <c r="CC258" s="10">
        <f t="shared" si="80"/>
        <v>3.6751661047668809</v>
      </c>
      <c r="CD258" s="10">
        <f t="shared" si="81"/>
        <v>136.50616960562701</v>
      </c>
      <c r="CE258" s="10">
        <f t="shared" si="94"/>
        <v>668880.23106757237</v>
      </c>
      <c r="CF258" s="10">
        <f t="shared" ref="CF258:CF294" si="95">IF(AM258=4, 0,1)</f>
        <v>1</v>
      </c>
      <c r="CG258" s="10">
        <f t="shared" ref="CG258:CG321" si="96">IF(OR(AM258=4,AM258=3), 0,1)</f>
        <v>1</v>
      </c>
      <c r="CH258" s="10">
        <f t="shared" ref="CH258:CH321" si="97">(YEAR(AL258)-YEAR(AJ258))*12+MONTH(AL258)-MONTH(AJ258)</f>
        <v>10</v>
      </c>
      <c r="CI258" s="9">
        <f t="shared" si="82"/>
        <v>1</v>
      </c>
      <c r="CJ258" s="10">
        <f t="shared" ref="CJ258:CJ321" si="98">(YEAR(AW258)-YEAR(AJ258))*12+MONTH(AW258)-MONTH(AJ258)</f>
        <v>25</v>
      </c>
      <c r="CK258" s="10" t="b">
        <f t="shared" si="83"/>
        <v>1</v>
      </c>
      <c r="CL258" s="10" t="b">
        <f t="shared" si="84"/>
        <v>1</v>
      </c>
      <c r="CM258" s="10" t="b">
        <f t="shared" si="85"/>
        <v>1</v>
      </c>
      <c r="CN258" s="9">
        <f t="shared" si="86"/>
        <v>1</v>
      </c>
      <c r="CO258" s="10">
        <f>(YEAR(AO258)-YEAR(AJ258))*12+MONTH(AO258)-MONTH(AJ258)</f>
        <v>8</v>
      </c>
      <c r="CP258" s="10" t="b">
        <f t="shared" si="87"/>
        <v>1</v>
      </c>
      <c r="CQ258" s="10" t="b">
        <f t="shared" si="88"/>
        <v>0</v>
      </c>
      <c r="CR258" s="10" cm="1">
        <f t="array" ref="CR258">_xlfn.IFS(AND($CI258=0, CK258=FALSE), NA(), AND($CI258=1, CK258=FALSE), 0, CK258=TRUE, 1)</f>
        <v>1</v>
      </c>
      <c r="CS258" s="10" cm="1">
        <f t="array" ref="CS258">_xlfn.IFS(AND($CI258=0, CL258=FALSE), NA(), AND($CI258=1, CL258=FALSE), 0, CL258=TRUE, 1)</f>
        <v>1</v>
      </c>
      <c r="CT258" s="10" cm="1">
        <f t="array" ref="CT258">_xlfn.IFS(AND($CI258=0, CM258=FALSE), NA(), AND($CI258=1, CM258=FALSE), 0, CM258=TRUE, 1)</f>
        <v>1</v>
      </c>
      <c r="CU258" s="10" cm="1">
        <f t="array" ref="CU258">_xlfn.IFS(AND($CN258=0, CP258=FALSE), NA(), AND($CN258=1, CP258=FALSE), 0, CP258=TRUE, 1)</f>
        <v>1</v>
      </c>
      <c r="CV258" s="10" cm="1">
        <f t="array" ref="CV258">_xlfn.IFS(AND($CN258=0, CQ258=FALSE), NA(), AND($CN258=1, CQ258=FALSE), 0, CQ258=TRUE, 1)</f>
        <v>0</v>
      </c>
    </row>
    <row r="259" spans="1:100" ht="15.75" x14ac:dyDescent="0.25">
      <c r="A259" s="8">
        <v>258</v>
      </c>
      <c r="B259" s="9">
        <v>155</v>
      </c>
      <c r="C259" s="10" t="s">
        <v>14</v>
      </c>
      <c r="D259" s="11" t="s">
        <v>150</v>
      </c>
      <c r="E259" s="12">
        <v>17333</v>
      </c>
      <c r="F259" s="13">
        <v>1</v>
      </c>
      <c r="G259" s="9">
        <v>66.343597412109375</v>
      </c>
      <c r="H259" s="12">
        <v>41565</v>
      </c>
      <c r="I259" s="9">
        <v>1</v>
      </c>
      <c r="J259" s="12">
        <v>42170</v>
      </c>
      <c r="K259" s="9">
        <v>1</v>
      </c>
      <c r="L259" s="9">
        <v>1</v>
      </c>
      <c r="M259" s="10" t="s">
        <v>401</v>
      </c>
      <c r="N259" s="9">
        <v>2</v>
      </c>
      <c r="O259" s="10" t="s">
        <v>145</v>
      </c>
      <c r="P259" s="9">
        <v>2</v>
      </c>
      <c r="Q259" s="10" t="s">
        <v>411</v>
      </c>
      <c r="R259" s="12">
        <v>41565</v>
      </c>
      <c r="S259" s="10" t="s">
        <v>145</v>
      </c>
      <c r="T259" s="9"/>
      <c r="U259" s="10" t="s">
        <v>401</v>
      </c>
      <c r="V259" s="10" t="s">
        <v>401</v>
      </c>
      <c r="W259" s="9"/>
      <c r="X259" s="9"/>
      <c r="Y259" s="9">
        <v>2</v>
      </c>
      <c r="Z259" s="14">
        <v>1</v>
      </c>
      <c r="AA259" s="15">
        <v>11.3</v>
      </c>
      <c r="AB259" s="16">
        <v>91</v>
      </c>
      <c r="AC259" s="16">
        <v>16</v>
      </c>
      <c r="AD259" s="9">
        <v>2</v>
      </c>
      <c r="AE259" s="9">
        <v>2</v>
      </c>
      <c r="AF259" s="9">
        <v>1</v>
      </c>
      <c r="AG259" s="9">
        <v>1</v>
      </c>
      <c r="AH259" s="9">
        <v>1</v>
      </c>
      <c r="AI259" s="9">
        <v>0</v>
      </c>
      <c r="AJ259" s="12">
        <v>43199</v>
      </c>
      <c r="AK259" s="9">
        <v>2</v>
      </c>
      <c r="AL259" s="12">
        <v>43620</v>
      </c>
      <c r="AM259" s="9">
        <v>2</v>
      </c>
      <c r="AN259" s="12">
        <v>43333</v>
      </c>
      <c r="AO259" s="12">
        <v>43441</v>
      </c>
      <c r="AP259" s="12">
        <v>43622</v>
      </c>
      <c r="AQ259" s="9">
        <v>1</v>
      </c>
      <c r="AR259" s="9">
        <f t="shared" ref="AR259:AR322" si="99">IF(AQ259=1,1,0)</f>
        <v>1</v>
      </c>
      <c r="AS259" s="9">
        <v>1</v>
      </c>
      <c r="AT259" s="9">
        <v>1</v>
      </c>
      <c r="AU259" s="9">
        <v>2</v>
      </c>
      <c r="AV259" s="9">
        <f t="shared" ref="AV259:AV322" si="100">IF(AU259=2,1,0)</f>
        <v>1</v>
      </c>
      <c r="AW259" s="12">
        <v>43689</v>
      </c>
      <c r="AX259" s="9">
        <v>7500</v>
      </c>
      <c r="AY259" s="9">
        <v>4800</v>
      </c>
      <c r="AZ259" s="9">
        <v>1500</v>
      </c>
      <c r="BA259" s="9">
        <v>4800</v>
      </c>
      <c r="BB259" s="9">
        <v>1500.0001220703125</v>
      </c>
      <c r="BC259" s="9">
        <v>284000</v>
      </c>
      <c r="BD259" s="9">
        <v>800</v>
      </c>
      <c r="BE259" s="9">
        <v>300</v>
      </c>
      <c r="BF259" s="9">
        <v>183</v>
      </c>
      <c r="BG259" s="9">
        <v>5600</v>
      </c>
      <c r="BH259" s="9">
        <v>3300</v>
      </c>
      <c r="BI259" s="9">
        <v>1500</v>
      </c>
      <c r="BJ259" s="9">
        <v>416000</v>
      </c>
      <c r="BK259" s="9">
        <v>400</v>
      </c>
      <c r="BL259" s="9">
        <v>500</v>
      </c>
      <c r="BM259" s="9">
        <v>171</v>
      </c>
      <c r="BN259" s="9">
        <v>5700</v>
      </c>
      <c r="BO259" s="9">
        <v>3400</v>
      </c>
      <c r="BP259" s="9">
        <v>1600</v>
      </c>
      <c r="BQ259" s="9">
        <v>288000</v>
      </c>
      <c r="BR259" s="9">
        <v>400</v>
      </c>
      <c r="BS259" s="9">
        <v>200</v>
      </c>
      <c r="BT259" s="9">
        <v>149</v>
      </c>
      <c r="BU259" s="9">
        <v>5700</v>
      </c>
      <c r="BV259" s="9">
        <v>3300</v>
      </c>
      <c r="BW259" s="9">
        <v>1600</v>
      </c>
      <c r="BX259" s="9">
        <v>322000</v>
      </c>
      <c r="BY259" s="9">
        <v>500</v>
      </c>
      <c r="BZ259" s="10" t="s">
        <v>542</v>
      </c>
      <c r="CA259" s="9">
        <v>300</v>
      </c>
      <c r="CB259" s="9">
        <v>162</v>
      </c>
      <c r="CC259" s="10">
        <f t="shared" ref="CC259:CC322" si="101">BA259/BB259</f>
        <v>3.1999997395833546</v>
      </c>
      <c r="CD259" s="10">
        <f t="shared" ref="CD259:CD322" si="102">BC259/BB259</f>
        <v>189.33331792534847</v>
      </c>
      <c r="CE259" s="10">
        <f t="shared" si="94"/>
        <v>908799.9260416727</v>
      </c>
      <c r="CF259" s="10">
        <f t="shared" si="95"/>
        <v>1</v>
      </c>
      <c r="CG259" s="10">
        <f t="shared" si="96"/>
        <v>1</v>
      </c>
      <c r="CH259" s="10">
        <f t="shared" si="97"/>
        <v>14</v>
      </c>
      <c r="CI259" s="9">
        <f t="shared" ref="CI259:CI322" si="103">AV259</f>
        <v>1</v>
      </c>
      <c r="CJ259" s="10">
        <f t="shared" si="98"/>
        <v>16</v>
      </c>
      <c r="CK259" s="10" t="b">
        <f t="shared" ref="CK259:CK322" si="104">IF(CJ259&gt;=6, TRUE, FALSE)</f>
        <v>1</v>
      </c>
      <c r="CL259" s="10" t="b">
        <f t="shared" ref="CL259:CL322" si="105">IF(CJ259&gt;=18, TRUE, FALSE)</f>
        <v>0</v>
      </c>
      <c r="CM259" s="10" t="b">
        <f t="shared" ref="CM259:CM322" si="106">IF(CJ259&gt;=24, TRUE, FALSE)</f>
        <v>0</v>
      </c>
      <c r="CN259" s="9">
        <f t="shared" ref="CN259:CN322" si="107">AR259</f>
        <v>1</v>
      </c>
      <c r="CO259" s="10">
        <f>(YEAR(AO259)-YEAR(AJ259))*12+MONTH(AO259)-MONTH(AJ259)</f>
        <v>8</v>
      </c>
      <c r="CP259" s="10" t="b">
        <f t="shared" ref="CP259:CP322" si="108">IF(CO259&gt;=3, TRUE, FALSE)</f>
        <v>1</v>
      </c>
      <c r="CQ259" s="10" t="b">
        <f t="shared" ref="CQ259:CQ322" si="109">IF(CO259&gt;=9, TRUE, FALSE)</f>
        <v>0</v>
      </c>
      <c r="CR259" s="10" cm="1">
        <f t="array" ref="CR259">_xlfn.IFS(AND($CI259=0, CK259=FALSE), NA(), AND($CI259=1, CK259=FALSE), 0, CK259=TRUE, 1)</f>
        <v>1</v>
      </c>
      <c r="CS259" s="10" cm="1">
        <f t="array" ref="CS259">_xlfn.IFS(AND($CI259=0, CL259=FALSE), NA(), AND($CI259=1, CL259=FALSE), 0, CL259=TRUE, 1)</f>
        <v>0</v>
      </c>
      <c r="CT259" s="10" cm="1">
        <f t="array" ref="CT259">_xlfn.IFS(AND($CI259=0, CM259=FALSE), NA(), AND($CI259=1, CM259=FALSE), 0, CM259=TRUE, 1)</f>
        <v>0</v>
      </c>
      <c r="CU259" s="10" cm="1">
        <f t="array" ref="CU259">_xlfn.IFS(AND($CN259=0, CP259=FALSE), NA(), AND($CN259=1, CP259=FALSE), 0, CP259=TRUE, 1)</f>
        <v>1</v>
      </c>
      <c r="CV259" s="10" cm="1">
        <f t="array" ref="CV259">_xlfn.IFS(AND($CN259=0, CQ259=FALSE), NA(), AND($CN259=1, CQ259=FALSE), 0, CQ259=TRUE, 1)</f>
        <v>0</v>
      </c>
    </row>
    <row r="260" spans="1:100" ht="15.75" x14ac:dyDescent="0.25">
      <c r="A260" s="8">
        <v>259</v>
      </c>
      <c r="B260" s="9">
        <v>283</v>
      </c>
      <c r="C260" s="10" t="s">
        <v>21</v>
      </c>
      <c r="D260" s="11" t="s">
        <v>250</v>
      </c>
      <c r="E260" s="12">
        <v>17974</v>
      </c>
      <c r="F260" s="13">
        <v>2</v>
      </c>
      <c r="G260" s="9">
        <v>64.607803344726563</v>
      </c>
      <c r="H260" s="12">
        <v>41572</v>
      </c>
      <c r="I260" s="9">
        <v>1</v>
      </c>
      <c r="J260" s="12">
        <v>41592</v>
      </c>
      <c r="K260" s="9">
        <v>0</v>
      </c>
      <c r="L260" s="9">
        <v>1</v>
      </c>
      <c r="M260" s="10" t="s">
        <v>401</v>
      </c>
      <c r="N260" s="9"/>
      <c r="O260" s="10" t="s">
        <v>401</v>
      </c>
      <c r="P260" s="9"/>
      <c r="Q260" s="10" t="s">
        <v>401</v>
      </c>
      <c r="R260" s="12">
        <v>42040</v>
      </c>
      <c r="S260" s="10" t="s">
        <v>145</v>
      </c>
      <c r="T260" s="9"/>
      <c r="U260" s="10" t="s">
        <v>401</v>
      </c>
      <c r="V260" s="10" t="s">
        <v>401</v>
      </c>
      <c r="W260" s="9"/>
      <c r="X260" s="9"/>
      <c r="Y260" s="9">
        <v>2</v>
      </c>
      <c r="Z260" s="14">
        <v>1</v>
      </c>
      <c r="AA260" s="15">
        <v>12.8</v>
      </c>
      <c r="AB260" s="16">
        <v>98</v>
      </c>
      <c r="AC260" s="16">
        <v>14</v>
      </c>
      <c r="AD260" s="9">
        <v>1</v>
      </c>
      <c r="AE260" s="9">
        <v>1</v>
      </c>
      <c r="AF260" s="9">
        <v>1</v>
      </c>
      <c r="AG260" s="9">
        <v>0</v>
      </c>
      <c r="AH260" s="9">
        <v>1</v>
      </c>
      <c r="AI260" s="9">
        <v>0</v>
      </c>
      <c r="AJ260" s="12">
        <v>42961</v>
      </c>
      <c r="AK260" s="9">
        <v>1</v>
      </c>
      <c r="AL260" s="12">
        <v>44935</v>
      </c>
      <c r="AM260" s="9">
        <v>2</v>
      </c>
      <c r="AN260" s="12">
        <v>43432</v>
      </c>
      <c r="AO260" s="12"/>
      <c r="AP260" s="12"/>
      <c r="AQ260" s="9">
        <v>2</v>
      </c>
      <c r="AR260" s="9">
        <f t="shared" si="99"/>
        <v>0</v>
      </c>
      <c r="AS260" s="9">
        <v>2</v>
      </c>
      <c r="AT260" s="9"/>
      <c r="AU260" s="9">
        <v>1</v>
      </c>
      <c r="AV260" s="9">
        <f t="shared" si="100"/>
        <v>0</v>
      </c>
      <c r="AW260" s="12">
        <v>44935</v>
      </c>
      <c r="AX260" s="9">
        <v>7000</v>
      </c>
      <c r="AY260" s="9">
        <v>5300</v>
      </c>
      <c r="AZ260" s="9">
        <v>910</v>
      </c>
      <c r="BA260" s="9">
        <v>5300</v>
      </c>
      <c r="BB260" s="9">
        <v>910</v>
      </c>
      <c r="BC260" s="9">
        <v>200000</v>
      </c>
      <c r="BD260" s="9">
        <v>640</v>
      </c>
      <c r="BE260" s="9">
        <v>140</v>
      </c>
      <c r="BF260" s="9"/>
      <c r="BG260" s="9">
        <v>10200</v>
      </c>
      <c r="BH260" s="9">
        <v>8480</v>
      </c>
      <c r="BI260" s="9">
        <v>1200</v>
      </c>
      <c r="BJ260" s="9">
        <v>151000</v>
      </c>
      <c r="BK260" s="9">
        <v>920</v>
      </c>
      <c r="BL260" s="9">
        <v>50</v>
      </c>
      <c r="BM260" s="9"/>
      <c r="BN260" s="9">
        <v>8870</v>
      </c>
      <c r="BO260" s="9">
        <v>6970</v>
      </c>
      <c r="BP260" s="9">
        <v>1010</v>
      </c>
      <c r="BQ260" s="9">
        <v>320000</v>
      </c>
      <c r="BR260" s="9">
        <v>770</v>
      </c>
      <c r="BS260" s="9">
        <v>100</v>
      </c>
      <c r="BT260" s="9"/>
      <c r="BU260" s="9">
        <v>7520</v>
      </c>
      <c r="BV260" s="9">
        <v>5570</v>
      </c>
      <c r="BW260" s="9">
        <v>1050</v>
      </c>
      <c r="BX260" s="9">
        <v>189000</v>
      </c>
      <c r="BY260" s="9">
        <v>750</v>
      </c>
      <c r="BZ260" s="10" t="s">
        <v>549</v>
      </c>
      <c r="CA260" s="9">
        <v>110</v>
      </c>
      <c r="CB260" s="9"/>
      <c r="CC260" s="10">
        <f t="shared" si="101"/>
        <v>5.8241758241758239</v>
      </c>
      <c r="CD260" s="10">
        <f t="shared" si="102"/>
        <v>219.78021978021977</v>
      </c>
      <c r="CE260" s="10">
        <f t="shared" si="94"/>
        <v>1164835.1648351648</v>
      </c>
      <c r="CF260" s="10">
        <f t="shared" si="95"/>
        <v>1</v>
      </c>
      <c r="CG260" s="10">
        <f t="shared" si="96"/>
        <v>1</v>
      </c>
      <c r="CH260" s="10">
        <f t="shared" si="97"/>
        <v>65</v>
      </c>
      <c r="CI260" s="9">
        <f t="shared" si="103"/>
        <v>0</v>
      </c>
      <c r="CJ260" s="10">
        <f t="shared" si="98"/>
        <v>65</v>
      </c>
      <c r="CK260" s="10" t="b">
        <f t="shared" si="104"/>
        <v>1</v>
      </c>
      <c r="CL260" s="10" t="b">
        <f t="shared" si="105"/>
        <v>1</v>
      </c>
      <c r="CM260" s="10" t="b">
        <f t="shared" si="106"/>
        <v>1</v>
      </c>
      <c r="CN260" s="9">
        <f t="shared" si="107"/>
        <v>0</v>
      </c>
      <c r="CO260" s="10">
        <f>CJ260</f>
        <v>65</v>
      </c>
      <c r="CP260" s="10" t="b">
        <f t="shared" si="108"/>
        <v>1</v>
      </c>
      <c r="CQ260" s="10" t="b">
        <f t="shared" si="109"/>
        <v>1</v>
      </c>
      <c r="CR260" s="10" cm="1">
        <f t="array" ref="CR260">_xlfn.IFS(AND($CI260=0, CK260=FALSE), NA(), AND($CI260=1, CK260=FALSE), 0, CK260=TRUE, 1)</f>
        <v>1</v>
      </c>
      <c r="CS260" s="10" cm="1">
        <f t="array" ref="CS260">_xlfn.IFS(AND($CI260=0, CL260=FALSE), NA(), AND($CI260=1, CL260=FALSE), 0, CL260=TRUE, 1)</f>
        <v>1</v>
      </c>
      <c r="CT260" s="10" cm="1">
        <f t="array" ref="CT260">_xlfn.IFS(AND($CI260=0, CM260=FALSE), NA(), AND($CI260=1, CM260=FALSE), 0, CM260=TRUE, 1)</f>
        <v>1</v>
      </c>
      <c r="CU260" s="10" cm="1">
        <f t="array" ref="CU260">_xlfn.IFS(AND($CN260=0, CP260=FALSE), NA(), AND($CN260=1, CP260=FALSE), 0, CP260=TRUE, 1)</f>
        <v>1</v>
      </c>
      <c r="CV260" s="10" cm="1">
        <f t="array" ref="CV260">_xlfn.IFS(AND($CN260=0, CQ260=FALSE), NA(), AND($CN260=1, CQ260=FALSE), 0, CQ260=TRUE, 1)</f>
        <v>1</v>
      </c>
    </row>
    <row r="261" spans="1:100" ht="15.75" x14ac:dyDescent="0.25">
      <c r="A261" s="8">
        <v>260</v>
      </c>
      <c r="B261" s="9">
        <v>360</v>
      </c>
      <c r="C261" s="10" t="s">
        <v>28</v>
      </c>
      <c r="D261" s="11" t="s">
        <v>290</v>
      </c>
      <c r="E261" s="12">
        <v>22031</v>
      </c>
      <c r="F261" s="13">
        <v>1</v>
      </c>
      <c r="G261" s="9">
        <v>53.538673400878906</v>
      </c>
      <c r="H261" s="12">
        <v>41586</v>
      </c>
      <c r="I261" s="9">
        <v>1</v>
      </c>
      <c r="J261" s="12">
        <v>41586</v>
      </c>
      <c r="K261" s="9">
        <v>1</v>
      </c>
      <c r="L261" s="9">
        <v>1</v>
      </c>
      <c r="M261" s="10" t="s">
        <v>401</v>
      </c>
      <c r="N261" s="9">
        <v>2</v>
      </c>
      <c r="O261" s="10" t="s">
        <v>409</v>
      </c>
      <c r="P261" s="9">
        <v>2</v>
      </c>
      <c r="Q261" s="10" t="s">
        <v>409</v>
      </c>
      <c r="R261" s="12">
        <v>41586</v>
      </c>
      <c r="S261" s="10" t="s">
        <v>146</v>
      </c>
      <c r="T261" s="9"/>
      <c r="U261" s="10" t="s">
        <v>401</v>
      </c>
      <c r="V261" s="10" t="s">
        <v>401</v>
      </c>
      <c r="W261" s="9"/>
      <c r="X261" s="9"/>
      <c r="Y261" s="9">
        <v>2</v>
      </c>
      <c r="Z261" s="14">
        <v>2</v>
      </c>
      <c r="AA261" s="21">
        <v>11</v>
      </c>
      <c r="AB261" s="22">
        <v>66</v>
      </c>
      <c r="AC261" s="22">
        <v>16</v>
      </c>
      <c r="AD261" s="9">
        <v>2</v>
      </c>
      <c r="AE261" s="9">
        <v>2</v>
      </c>
      <c r="AF261" s="9">
        <v>1</v>
      </c>
      <c r="AG261" s="9">
        <v>0</v>
      </c>
      <c r="AH261" s="9">
        <v>1</v>
      </c>
      <c r="AI261" s="9">
        <v>0</v>
      </c>
      <c r="AJ261" s="12">
        <v>42447</v>
      </c>
      <c r="AK261" s="9">
        <v>2</v>
      </c>
      <c r="AL261" s="12">
        <v>42737</v>
      </c>
      <c r="AM261" s="9">
        <v>3</v>
      </c>
      <c r="AN261" s="12">
        <v>42557</v>
      </c>
      <c r="AO261" s="12">
        <v>42737</v>
      </c>
      <c r="AP261" s="12">
        <v>42737</v>
      </c>
      <c r="AQ261" s="9">
        <v>1</v>
      </c>
      <c r="AR261" s="9">
        <f t="shared" si="99"/>
        <v>1</v>
      </c>
      <c r="AS261" s="9">
        <v>1</v>
      </c>
      <c r="AT261" s="9">
        <v>2</v>
      </c>
      <c r="AU261" s="9">
        <v>2</v>
      </c>
      <c r="AV261" s="9">
        <f t="shared" si="100"/>
        <v>1</v>
      </c>
      <c r="AW261" s="12">
        <v>42829</v>
      </c>
      <c r="AX261" s="9">
        <v>6750</v>
      </c>
      <c r="AY261" s="9">
        <v>3860</v>
      </c>
      <c r="AZ261" s="9">
        <v>2120</v>
      </c>
      <c r="BA261" s="9">
        <v>3860</v>
      </c>
      <c r="BB261" s="9">
        <v>2120.00048828125</v>
      </c>
      <c r="BC261" s="9">
        <v>334000</v>
      </c>
      <c r="BD261" s="9">
        <v>390</v>
      </c>
      <c r="BE261" s="9">
        <v>350</v>
      </c>
      <c r="BF261" s="9">
        <v>341</v>
      </c>
      <c r="BG261" s="9">
        <v>7540</v>
      </c>
      <c r="BH261" s="9">
        <v>4470</v>
      </c>
      <c r="BI261" s="9">
        <v>1820</v>
      </c>
      <c r="BJ261" s="9">
        <v>231000</v>
      </c>
      <c r="BK261" s="9">
        <v>500</v>
      </c>
      <c r="BL261" s="9">
        <v>440</v>
      </c>
      <c r="BM261" s="9">
        <v>315</v>
      </c>
      <c r="BN261" s="9">
        <v>12700</v>
      </c>
      <c r="BO261" s="9">
        <v>9300</v>
      </c>
      <c r="BP261" s="9">
        <v>1820</v>
      </c>
      <c r="BQ261" s="9">
        <v>304000</v>
      </c>
      <c r="BR261" s="9">
        <v>710</v>
      </c>
      <c r="BS261" s="9">
        <v>620</v>
      </c>
      <c r="BT261" s="9">
        <v>372</v>
      </c>
      <c r="BU261" s="9">
        <v>11650</v>
      </c>
      <c r="BV261" s="9">
        <v>7340</v>
      </c>
      <c r="BW261" s="9">
        <v>3010</v>
      </c>
      <c r="BX261" s="9">
        <v>311000</v>
      </c>
      <c r="BY261" s="9">
        <v>410</v>
      </c>
      <c r="BZ261" s="10" t="s">
        <v>572</v>
      </c>
      <c r="CA261" s="9">
        <v>540</v>
      </c>
      <c r="CB261" s="9">
        <v>345</v>
      </c>
      <c r="CC261" s="10">
        <f t="shared" si="101"/>
        <v>1.8207542976225546</v>
      </c>
      <c r="CD261" s="10">
        <f t="shared" si="102"/>
        <v>157.54713352485317</v>
      </c>
      <c r="CE261" s="10">
        <f t="shared" si="94"/>
        <v>608131.93540593318</v>
      </c>
      <c r="CF261" s="10">
        <f t="shared" si="95"/>
        <v>1</v>
      </c>
      <c r="CG261" s="10">
        <f t="shared" si="96"/>
        <v>0</v>
      </c>
      <c r="CH261" s="10">
        <f t="shared" si="97"/>
        <v>10</v>
      </c>
      <c r="CI261" s="9">
        <f t="shared" si="103"/>
        <v>1</v>
      </c>
      <c r="CJ261" s="10">
        <f t="shared" si="98"/>
        <v>13</v>
      </c>
      <c r="CK261" s="10" t="b">
        <f t="shared" si="104"/>
        <v>1</v>
      </c>
      <c r="CL261" s="10" t="b">
        <f t="shared" si="105"/>
        <v>0</v>
      </c>
      <c r="CM261" s="10" t="b">
        <f t="shared" si="106"/>
        <v>0</v>
      </c>
      <c r="CN261" s="9">
        <f t="shared" si="107"/>
        <v>1</v>
      </c>
      <c r="CO261" s="10">
        <f>(YEAR(AO261)-YEAR(AJ261))*12+MONTH(AO261)-MONTH(AJ261)</f>
        <v>10</v>
      </c>
      <c r="CP261" s="10" t="b">
        <f t="shared" si="108"/>
        <v>1</v>
      </c>
      <c r="CQ261" s="10" t="b">
        <f t="shared" si="109"/>
        <v>1</v>
      </c>
      <c r="CR261" s="10" cm="1">
        <f t="array" ref="CR261">_xlfn.IFS(AND($CI261=0, CK261=FALSE), NA(), AND($CI261=1, CK261=FALSE), 0, CK261=TRUE, 1)</f>
        <v>1</v>
      </c>
      <c r="CS261" s="10" cm="1">
        <f t="array" ref="CS261">_xlfn.IFS(AND($CI261=0, CL261=FALSE), NA(), AND($CI261=1, CL261=FALSE), 0, CL261=TRUE, 1)</f>
        <v>0</v>
      </c>
      <c r="CT261" s="10" cm="1">
        <f t="array" ref="CT261">_xlfn.IFS(AND($CI261=0, CM261=FALSE), NA(), AND($CI261=1, CM261=FALSE), 0, CM261=TRUE, 1)</f>
        <v>0</v>
      </c>
      <c r="CU261" s="10" cm="1">
        <f t="array" ref="CU261">_xlfn.IFS(AND($CN261=0, CP261=FALSE), NA(), AND($CN261=1, CP261=FALSE), 0, CP261=TRUE, 1)</f>
        <v>1</v>
      </c>
      <c r="CV261" s="10" cm="1">
        <f t="array" ref="CV261">_xlfn.IFS(AND($CN261=0, CQ261=FALSE), NA(), AND($CN261=1, CQ261=FALSE), 0, CQ261=TRUE, 1)</f>
        <v>1</v>
      </c>
    </row>
    <row r="262" spans="1:100" ht="15.75" x14ac:dyDescent="0.25">
      <c r="A262" s="8">
        <v>261</v>
      </c>
      <c r="B262" s="9">
        <v>279</v>
      </c>
      <c r="C262" s="10" t="s">
        <v>21</v>
      </c>
      <c r="D262" s="11" t="s">
        <v>75</v>
      </c>
      <c r="E262" s="12">
        <v>19215</v>
      </c>
      <c r="F262" s="13">
        <v>1</v>
      </c>
      <c r="G262" s="9">
        <v>61.259410858154297</v>
      </c>
      <c r="H262" s="12">
        <v>41590</v>
      </c>
      <c r="I262" s="9">
        <v>1</v>
      </c>
      <c r="J262" s="12">
        <v>41590</v>
      </c>
      <c r="K262" s="9">
        <v>1</v>
      </c>
      <c r="L262" s="9">
        <v>1</v>
      </c>
      <c r="M262" s="10" t="s">
        <v>401</v>
      </c>
      <c r="N262" s="9"/>
      <c r="O262" s="10" t="s">
        <v>401</v>
      </c>
      <c r="P262" s="9"/>
      <c r="Q262" s="10" t="s">
        <v>401</v>
      </c>
      <c r="R262" s="12">
        <v>41582</v>
      </c>
      <c r="S262" s="10" t="s">
        <v>145</v>
      </c>
      <c r="T262" s="9">
        <v>5</v>
      </c>
      <c r="U262" s="10" t="s">
        <v>150</v>
      </c>
      <c r="V262" s="10" t="s">
        <v>401</v>
      </c>
      <c r="W262" s="9"/>
      <c r="X262" s="9"/>
      <c r="Y262" s="9">
        <v>4</v>
      </c>
      <c r="Z262" s="14">
        <v>1</v>
      </c>
      <c r="AA262" s="15">
        <v>12.6</v>
      </c>
      <c r="AB262" s="16">
        <v>80</v>
      </c>
      <c r="AC262" s="16">
        <v>18</v>
      </c>
      <c r="AD262" s="9">
        <v>2</v>
      </c>
      <c r="AE262" s="9">
        <v>2</v>
      </c>
      <c r="AF262" s="9">
        <v>1</v>
      </c>
      <c r="AG262" s="9">
        <v>1</v>
      </c>
      <c r="AH262" s="9">
        <v>1</v>
      </c>
      <c r="AI262" s="9">
        <v>0</v>
      </c>
      <c r="AJ262" s="12">
        <v>42440</v>
      </c>
      <c r="AK262" s="9">
        <v>2</v>
      </c>
      <c r="AL262" s="12">
        <v>43900</v>
      </c>
      <c r="AM262" s="9">
        <v>2</v>
      </c>
      <c r="AN262" s="12">
        <v>42691</v>
      </c>
      <c r="AO262" s="12">
        <v>43959</v>
      </c>
      <c r="AP262" s="12">
        <v>43959</v>
      </c>
      <c r="AQ262" s="9">
        <v>1</v>
      </c>
      <c r="AR262" s="9">
        <f t="shared" si="99"/>
        <v>1</v>
      </c>
      <c r="AS262" s="9">
        <v>1</v>
      </c>
      <c r="AT262" s="9">
        <v>2</v>
      </c>
      <c r="AU262" s="9">
        <v>2</v>
      </c>
      <c r="AV262" s="9">
        <f t="shared" si="100"/>
        <v>1</v>
      </c>
      <c r="AW262" s="12">
        <v>43971</v>
      </c>
      <c r="AX262" s="9">
        <v>8190</v>
      </c>
      <c r="AY262" s="9">
        <v>5110</v>
      </c>
      <c r="AZ262" s="9">
        <v>2070</v>
      </c>
      <c r="BA262" s="9">
        <v>5110</v>
      </c>
      <c r="BB262" s="9">
        <v>2070.000244140625</v>
      </c>
      <c r="BC262" s="9">
        <v>278000</v>
      </c>
      <c r="BD262" s="9">
        <v>880</v>
      </c>
      <c r="BE262" s="9">
        <v>110</v>
      </c>
      <c r="BF262" s="9">
        <v>205</v>
      </c>
      <c r="BG262" s="9"/>
      <c r="BH262" s="9"/>
      <c r="BI262" s="9"/>
      <c r="BJ262" s="9"/>
      <c r="BK262" s="9"/>
      <c r="BL262" s="9"/>
      <c r="BM262" s="9"/>
      <c r="BN262" s="9">
        <v>8570</v>
      </c>
      <c r="BO262" s="9">
        <v>5440</v>
      </c>
      <c r="BP262" s="9">
        <v>2020</v>
      </c>
      <c r="BQ262" s="9">
        <v>427000</v>
      </c>
      <c r="BR262" s="9">
        <v>1020</v>
      </c>
      <c r="BS262" s="9">
        <v>70</v>
      </c>
      <c r="BT262" s="9">
        <v>179</v>
      </c>
      <c r="BU262" s="9">
        <v>9120</v>
      </c>
      <c r="BV262" s="9">
        <v>5540</v>
      </c>
      <c r="BW262" s="9">
        <v>2350</v>
      </c>
      <c r="BX262" s="9">
        <v>445000</v>
      </c>
      <c r="BY262" s="9">
        <v>1080</v>
      </c>
      <c r="BZ262" s="10" t="s">
        <v>549</v>
      </c>
      <c r="CA262" s="9">
        <v>110</v>
      </c>
      <c r="CB262" s="9">
        <v>175</v>
      </c>
      <c r="CC262" s="10">
        <f t="shared" si="101"/>
        <v>2.4685987426641351</v>
      </c>
      <c r="CD262" s="10">
        <f t="shared" si="102"/>
        <v>134.29950106861637</v>
      </c>
      <c r="CE262" s="10">
        <f t="shared" si="94"/>
        <v>686270.45046062954</v>
      </c>
      <c r="CF262" s="10">
        <f t="shared" si="95"/>
        <v>1</v>
      </c>
      <c r="CG262" s="10">
        <f t="shared" si="96"/>
        <v>1</v>
      </c>
      <c r="CH262" s="10">
        <f t="shared" si="97"/>
        <v>48</v>
      </c>
      <c r="CI262" s="9">
        <f t="shared" si="103"/>
        <v>1</v>
      </c>
      <c r="CJ262" s="10">
        <f t="shared" si="98"/>
        <v>50</v>
      </c>
      <c r="CK262" s="10" t="b">
        <f t="shared" si="104"/>
        <v>1</v>
      </c>
      <c r="CL262" s="10" t="b">
        <f t="shared" si="105"/>
        <v>1</v>
      </c>
      <c r="CM262" s="10" t="b">
        <f t="shared" si="106"/>
        <v>1</v>
      </c>
      <c r="CN262" s="9">
        <f t="shared" si="107"/>
        <v>1</v>
      </c>
      <c r="CO262" s="10">
        <f>(YEAR(AO262)-YEAR(AJ262))*12+MONTH(AO262)-MONTH(AJ262)</f>
        <v>50</v>
      </c>
      <c r="CP262" s="10" t="b">
        <f t="shared" si="108"/>
        <v>1</v>
      </c>
      <c r="CQ262" s="10" t="b">
        <f t="shared" si="109"/>
        <v>1</v>
      </c>
      <c r="CR262" s="10" cm="1">
        <f t="array" ref="CR262">_xlfn.IFS(AND($CI262=0, CK262=FALSE), NA(), AND($CI262=1, CK262=FALSE), 0, CK262=TRUE, 1)</f>
        <v>1</v>
      </c>
      <c r="CS262" s="10" cm="1">
        <f t="array" ref="CS262">_xlfn.IFS(AND($CI262=0, CL262=FALSE), NA(), AND($CI262=1, CL262=FALSE), 0, CL262=TRUE, 1)</f>
        <v>1</v>
      </c>
      <c r="CT262" s="10" cm="1">
        <f t="array" ref="CT262">_xlfn.IFS(AND($CI262=0, CM262=FALSE), NA(), AND($CI262=1, CM262=FALSE), 0, CM262=TRUE, 1)</f>
        <v>1</v>
      </c>
      <c r="CU262" s="10" cm="1">
        <f t="array" ref="CU262">_xlfn.IFS(AND($CN262=0, CP262=FALSE), NA(), AND($CN262=1, CP262=FALSE), 0, CP262=TRUE, 1)</f>
        <v>1</v>
      </c>
      <c r="CV262" s="10" cm="1">
        <f t="array" ref="CV262">_xlfn.IFS(AND($CN262=0, CQ262=FALSE), NA(), AND($CN262=1, CQ262=FALSE), 0, CQ262=TRUE, 1)</f>
        <v>1</v>
      </c>
    </row>
    <row r="263" spans="1:100" x14ac:dyDescent="0.25">
      <c r="A263" s="8">
        <v>262</v>
      </c>
      <c r="B263" s="9">
        <v>518</v>
      </c>
      <c r="C263" s="10" t="s">
        <v>33</v>
      </c>
      <c r="D263" s="11" t="s">
        <v>382</v>
      </c>
      <c r="E263" s="12">
        <v>24560</v>
      </c>
      <c r="F263" s="13">
        <v>2</v>
      </c>
      <c r="G263" s="9">
        <v>46.631072998046875</v>
      </c>
      <c r="H263" s="12">
        <v>41592</v>
      </c>
      <c r="I263" s="9">
        <v>1</v>
      </c>
      <c r="J263" s="12">
        <v>41618</v>
      </c>
      <c r="K263" s="9">
        <v>0</v>
      </c>
      <c r="L263" s="9">
        <v>1</v>
      </c>
      <c r="M263" s="10" t="s">
        <v>401</v>
      </c>
      <c r="N263" s="9">
        <v>1</v>
      </c>
      <c r="O263" s="10" t="s">
        <v>442</v>
      </c>
      <c r="P263" s="9">
        <v>1</v>
      </c>
      <c r="Q263" s="10" t="s">
        <v>442</v>
      </c>
      <c r="R263" s="12">
        <v>41974</v>
      </c>
      <c r="S263" s="10" t="s">
        <v>145</v>
      </c>
      <c r="T263" s="9">
        <v>5</v>
      </c>
      <c r="U263" s="10" t="s">
        <v>401</v>
      </c>
      <c r="V263" s="10" t="s">
        <v>401</v>
      </c>
      <c r="W263" s="9"/>
      <c r="X263" s="9"/>
      <c r="Y263" s="9">
        <v>3</v>
      </c>
      <c r="Z263" s="19">
        <v>1</v>
      </c>
      <c r="AB263" s="9"/>
      <c r="AC263" s="9"/>
      <c r="AD263" s="9">
        <v>1</v>
      </c>
      <c r="AE263" s="9">
        <v>1</v>
      </c>
      <c r="AF263" s="9">
        <v>1</v>
      </c>
      <c r="AG263" s="9">
        <v>1</v>
      </c>
      <c r="AH263" s="9">
        <v>1</v>
      </c>
      <c r="AI263" s="9">
        <v>1</v>
      </c>
      <c r="AJ263" s="12">
        <v>42482</v>
      </c>
      <c r="AK263" s="9">
        <v>2</v>
      </c>
      <c r="AL263" s="12">
        <v>42583</v>
      </c>
      <c r="AM263" s="9">
        <v>3</v>
      </c>
      <c r="AN263" s="12">
        <v>42578</v>
      </c>
      <c r="AO263" s="12"/>
      <c r="AP263" s="12"/>
      <c r="AQ263" s="9">
        <v>2</v>
      </c>
      <c r="AR263" s="9">
        <f t="shared" si="99"/>
        <v>0</v>
      </c>
      <c r="AS263" s="9">
        <v>2</v>
      </c>
      <c r="AT263" s="9"/>
      <c r="AU263" s="9">
        <v>1</v>
      </c>
      <c r="AV263" s="9">
        <f t="shared" si="100"/>
        <v>0</v>
      </c>
      <c r="AW263" s="12">
        <v>42718</v>
      </c>
      <c r="AX263" s="9"/>
      <c r="AY263" s="9"/>
      <c r="AZ263" s="9"/>
      <c r="BA263" s="9">
        <v>4736.23876953125</v>
      </c>
      <c r="BB263" s="9">
        <v>1220.0225830078125</v>
      </c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10" t="s">
        <v>401</v>
      </c>
      <c r="CA263" s="9"/>
      <c r="CB263" s="9"/>
      <c r="CC263" s="10">
        <f t="shared" si="101"/>
        <v>3.8820910657691665</v>
      </c>
      <c r="CF263" s="10">
        <f t="shared" si="95"/>
        <v>1</v>
      </c>
      <c r="CG263" s="10">
        <f t="shared" si="96"/>
        <v>0</v>
      </c>
      <c r="CH263" s="10">
        <f t="shared" si="97"/>
        <v>4</v>
      </c>
      <c r="CI263" s="9">
        <f t="shared" si="103"/>
        <v>0</v>
      </c>
      <c r="CJ263" s="10">
        <f t="shared" si="98"/>
        <v>8</v>
      </c>
      <c r="CK263" s="10" t="b">
        <f t="shared" si="104"/>
        <v>1</v>
      </c>
      <c r="CL263" s="10" t="b">
        <f t="shared" si="105"/>
        <v>0</v>
      </c>
      <c r="CM263" s="10" t="b">
        <f t="shared" si="106"/>
        <v>0</v>
      </c>
      <c r="CN263" s="9">
        <f t="shared" si="107"/>
        <v>0</v>
      </c>
      <c r="CO263" s="10">
        <f>CJ263</f>
        <v>8</v>
      </c>
      <c r="CP263" s="10" t="b">
        <f t="shared" si="108"/>
        <v>1</v>
      </c>
      <c r="CQ263" s="10" t="b">
        <f t="shared" si="109"/>
        <v>0</v>
      </c>
      <c r="CR263" s="10" cm="1">
        <f t="array" ref="CR263">_xlfn.IFS(AND($CI263=0, CK263=FALSE), NA(), AND($CI263=1, CK263=FALSE), 0, CK263=TRUE, 1)</f>
        <v>1</v>
      </c>
      <c r="CS263" s="10" t="e" cm="1">
        <f t="array" ref="CS263">_xlfn.IFS(AND($CI263=0, CL263=FALSE), NA(), AND($CI263=1, CL263=FALSE), 0, CL263=TRUE, 1)</f>
        <v>#N/A</v>
      </c>
      <c r="CT263" s="10" t="e" cm="1">
        <f t="array" ref="CT263">_xlfn.IFS(AND($CI263=0, CM263=FALSE), NA(), AND($CI263=1, CM263=FALSE), 0, CM263=TRUE, 1)</f>
        <v>#N/A</v>
      </c>
      <c r="CU263" s="10" cm="1">
        <f t="array" ref="CU263">_xlfn.IFS(AND($CN263=0, CP263=FALSE), NA(), AND($CN263=1, CP263=FALSE), 0, CP263=TRUE, 1)</f>
        <v>1</v>
      </c>
      <c r="CV263" s="10" t="e" cm="1">
        <f t="array" ref="CV263">_xlfn.IFS(AND($CN263=0, CQ263=FALSE), NA(), AND($CN263=1, CQ263=FALSE), 0, CQ263=TRUE, 1)</f>
        <v>#N/A</v>
      </c>
    </row>
    <row r="264" spans="1:100" ht="15.75" x14ac:dyDescent="0.25">
      <c r="A264" s="8">
        <v>263</v>
      </c>
      <c r="B264" s="9">
        <v>222</v>
      </c>
      <c r="C264" s="10" t="s">
        <v>19</v>
      </c>
      <c r="D264" s="11" t="s">
        <v>220</v>
      </c>
      <c r="E264" s="12">
        <v>18353</v>
      </c>
      <c r="F264" s="13">
        <v>1</v>
      </c>
      <c r="G264" s="9">
        <v>63.644081115722656</v>
      </c>
      <c r="H264" s="12">
        <v>41599</v>
      </c>
      <c r="I264" s="9">
        <v>1</v>
      </c>
      <c r="J264" s="12">
        <v>41599</v>
      </c>
      <c r="K264" s="9">
        <v>0</v>
      </c>
      <c r="L264" s="9">
        <v>1</v>
      </c>
      <c r="M264" s="10" t="s">
        <v>401</v>
      </c>
      <c r="N264" s="9">
        <v>1</v>
      </c>
      <c r="O264" s="10" t="s">
        <v>401</v>
      </c>
      <c r="P264" s="9">
        <v>1</v>
      </c>
      <c r="Q264" s="10" t="s">
        <v>401</v>
      </c>
      <c r="R264" s="12">
        <v>42802</v>
      </c>
      <c r="S264" s="10" t="s">
        <v>145</v>
      </c>
      <c r="T264" s="9">
        <v>5</v>
      </c>
      <c r="U264" s="10" t="s">
        <v>147</v>
      </c>
      <c r="V264" s="10" t="s">
        <v>401</v>
      </c>
      <c r="W264" s="9"/>
      <c r="X264" s="9"/>
      <c r="Y264" s="9">
        <v>4</v>
      </c>
      <c r="Z264" s="14">
        <v>1</v>
      </c>
      <c r="AA264" s="34">
        <v>9.6</v>
      </c>
      <c r="AB264" s="14">
        <v>87</v>
      </c>
      <c r="AC264" s="14">
        <v>15</v>
      </c>
      <c r="AD264" s="9">
        <v>2</v>
      </c>
      <c r="AE264" s="9">
        <v>2</v>
      </c>
      <c r="AF264" s="9">
        <v>1</v>
      </c>
      <c r="AG264" s="9">
        <v>0</v>
      </c>
      <c r="AH264" s="9">
        <v>1</v>
      </c>
      <c r="AI264" s="9">
        <v>1</v>
      </c>
      <c r="AJ264" s="12">
        <v>42909</v>
      </c>
      <c r="AK264" s="9">
        <v>2</v>
      </c>
      <c r="AL264" s="12">
        <v>42909</v>
      </c>
      <c r="AM264" s="9">
        <v>4</v>
      </c>
      <c r="AN264" s="12">
        <v>43089</v>
      </c>
      <c r="AO264" s="12">
        <v>43089</v>
      </c>
      <c r="AP264" s="12">
        <v>43089</v>
      </c>
      <c r="AQ264" s="9">
        <v>1</v>
      </c>
      <c r="AR264" s="9">
        <f t="shared" si="99"/>
        <v>1</v>
      </c>
      <c r="AS264" s="9">
        <v>1</v>
      </c>
      <c r="AT264" s="9">
        <v>2</v>
      </c>
      <c r="AU264" s="9">
        <v>2</v>
      </c>
      <c r="AV264" s="9">
        <f t="shared" si="100"/>
        <v>1</v>
      </c>
      <c r="AW264" s="12">
        <v>43112</v>
      </c>
      <c r="AX264" s="9">
        <v>7990</v>
      </c>
      <c r="AY264" s="9">
        <v>5500</v>
      </c>
      <c r="AZ264" s="9">
        <v>1400</v>
      </c>
      <c r="BA264" s="9">
        <v>5500</v>
      </c>
      <c r="BB264" s="9">
        <v>1399.9998779296875</v>
      </c>
      <c r="BC264" s="9">
        <v>471000</v>
      </c>
      <c r="BD264" s="9">
        <v>600</v>
      </c>
      <c r="BE264" s="9">
        <v>400</v>
      </c>
      <c r="BF264" s="9">
        <v>256</v>
      </c>
      <c r="BG264" s="9">
        <v>9450</v>
      </c>
      <c r="BH264" s="9">
        <v>6800</v>
      </c>
      <c r="BI264" s="9">
        <v>1300</v>
      </c>
      <c r="BJ264" s="9">
        <v>471000</v>
      </c>
      <c r="BK264" s="9">
        <v>800</v>
      </c>
      <c r="BL264" s="9">
        <v>500</v>
      </c>
      <c r="BM264" s="9">
        <v>397</v>
      </c>
      <c r="BN264" s="9">
        <v>11470</v>
      </c>
      <c r="BO264" s="9">
        <v>9000</v>
      </c>
      <c r="BP264" s="9">
        <v>1100</v>
      </c>
      <c r="BQ264" s="9">
        <v>462000</v>
      </c>
      <c r="BR264" s="9">
        <v>800</v>
      </c>
      <c r="BS264" s="9">
        <v>400</v>
      </c>
      <c r="BT264" s="9">
        <v>446</v>
      </c>
      <c r="BU264" s="9">
        <v>9240</v>
      </c>
      <c r="BV264" s="9">
        <v>6800</v>
      </c>
      <c r="BW264" s="9">
        <v>1200</v>
      </c>
      <c r="BX264" s="9">
        <v>473000</v>
      </c>
      <c r="BY264" s="9">
        <v>800</v>
      </c>
      <c r="BZ264" s="10" t="s">
        <v>524</v>
      </c>
      <c r="CA264" s="9">
        <v>200</v>
      </c>
      <c r="CB264" s="9">
        <v>385</v>
      </c>
      <c r="CC264" s="10">
        <f t="shared" si="101"/>
        <v>3.9285717711157027</v>
      </c>
      <c r="CD264" s="10">
        <f t="shared" si="102"/>
        <v>336.42860076281744</v>
      </c>
      <c r="CE264" s="10">
        <f t="shared" ref="CE264:CE266" si="110">BC264*CC264</f>
        <v>1850357.304195496</v>
      </c>
      <c r="CF264" s="10">
        <f t="shared" si="95"/>
        <v>0</v>
      </c>
      <c r="CG264" s="10">
        <f t="shared" si="96"/>
        <v>0</v>
      </c>
      <c r="CH264" s="10">
        <f t="shared" si="97"/>
        <v>0</v>
      </c>
      <c r="CI264" s="9">
        <f t="shared" si="103"/>
        <v>1</v>
      </c>
      <c r="CJ264" s="10">
        <f t="shared" si="98"/>
        <v>7</v>
      </c>
      <c r="CK264" s="10" t="b">
        <f t="shared" si="104"/>
        <v>1</v>
      </c>
      <c r="CL264" s="10" t="b">
        <f t="shared" si="105"/>
        <v>0</v>
      </c>
      <c r="CM264" s="10" t="b">
        <f t="shared" si="106"/>
        <v>0</v>
      </c>
      <c r="CN264" s="9">
        <f t="shared" si="107"/>
        <v>1</v>
      </c>
      <c r="CO264" s="10">
        <f>(YEAR(AO264)-YEAR(AJ264))*12+MONTH(AO264)-MONTH(AJ264)</f>
        <v>6</v>
      </c>
      <c r="CP264" s="10" t="b">
        <f t="shared" si="108"/>
        <v>1</v>
      </c>
      <c r="CQ264" s="10" t="b">
        <f t="shared" si="109"/>
        <v>0</v>
      </c>
      <c r="CR264" s="10" cm="1">
        <f t="array" ref="CR264">_xlfn.IFS(AND($CI264=0, CK264=FALSE), NA(), AND($CI264=1, CK264=FALSE), 0, CK264=TRUE, 1)</f>
        <v>1</v>
      </c>
      <c r="CS264" s="10" cm="1">
        <f t="array" ref="CS264">_xlfn.IFS(AND($CI264=0, CL264=FALSE), NA(), AND($CI264=1, CL264=FALSE), 0, CL264=TRUE, 1)</f>
        <v>0</v>
      </c>
      <c r="CT264" s="10" cm="1">
        <f t="array" ref="CT264">_xlfn.IFS(AND($CI264=0, CM264=FALSE), NA(), AND($CI264=1, CM264=FALSE), 0, CM264=TRUE, 1)</f>
        <v>0</v>
      </c>
      <c r="CU264" s="10" cm="1">
        <f t="array" ref="CU264">_xlfn.IFS(AND($CN264=0, CP264=FALSE), NA(), AND($CN264=1, CP264=FALSE), 0, CP264=TRUE, 1)</f>
        <v>1</v>
      </c>
      <c r="CV264" s="10" cm="1">
        <f t="array" ref="CV264">_xlfn.IFS(AND($CN264=0, CQ264=FALSE), NA(), AND($CN264=1, CQ264=FALSE), 0, CQ264=TRUE, 1)</f>
        <v>0</v>
      </c>
    </row>
    <row r="265" spans="1:100" ht="15.75" x14ac:dyDescent="0.25">
      <c r="A265" s="8">
        <v>264</v>
      </c>
      <c r="B265" s="9">
        <v>130</v>
      </c>
      <c r="C265" s="10" t="s">
        <v>16</v>
      </c>
      <c r="D265" s="11" t="s">
        <v>172</v>
      </c>
      <c r="E265" s="12">
        <v>20460</v>
      </c>
      <c r="F265" s="13">
        <v>2</v>
      </c>
      <c r="G265" s="9">
        <v>57.891853332519531</v>
      </c>
      <c r="H265" s="12">
        <v>41605</v>
      </c>
      <c r="I265" s="9">
        <v>0</v>
      </c>
      <c r="J265" s="12"/>
      <c r="K265" s="9">
        <v>0</v>
      </c>
      <c r="L265" s="9">
        <v>1</v>
      </c>
      <c r="M265" s="10" t="s">
        <v>401</v>
      </c>
      <c r="N265" s="9">
        <v>2</v>
      </c>
      <c r="O265" s="10" t="s">
        <v>421</v>
      </c>
      <c r="P265" s="9">
        <v>2</v>
      </c>
      <c r="Q265" s="10" t="s">
        <v>421</v>
      </c>
      <c r="R265" s="12">
        <v>42083</v>
      </c>
      <c r="S265" s="10" t="s">
        <v>146</v>
      </c>
      <c r="T265" s="9">
        <v>4</v>
      </c>
      <c r="U265" s="10" t="s">
        <v>401</v>
      </c>
      <c r="V265" s="10" t="s">
        <v>401</v>
      </c>
      <c r="W265" s="9"/>
      <c r="X265" s="9"/>
      <c r="Y265" s="9">
        <v>3</v>
      </c>
      <c r="Z265" s="14">
        <v>2</v>
      </c>
      <c r="AA265" s="23">
        <v>13.1</v>
      </c>
      <c r="AB265" s="24">
        <v>99</v>
      </c>
      <c r="AC265" s="24">
        <v>15</v>
      </c>
      <c r="AD265" s="9">
        <v>2</v>
      </c>
      <c r="AE265" s="9">
        <v>2</v>
      </c>
      <c r="AF265" s="9">
        <v>1</v>
      </c>
      <c r="AG265" s="9">
        <v>0</v>
      </c>
      <c r="AH265" s="9">
        <v>1</v>
      </c>
      <c r="AI265" s="9">
        <v>1</v>
      </c>
      <c r="AJ265" s="12">
        <v>42908</v>
      </c>
      <c r="AK265" s="9">
        <v>2</v>
      </c>
      <c r="AL265" s="12">
        <v>43020</v>
      </c>
      <c r="AM265" s="9">
        <v>4</v>
      </c>
      <c r="AN265" s="12">
        <v>42979</v>
      </c>
      <c r="AO265" s="12">
        <v>42979</v>
      </c>
      <c r="AP265" s="12">
        <v>43032</v>
      </c>
      <c r="AQ265" s="9">
        <v>1</v>
      </c>
      <c r="AR265" s="9">
        <f t="shared" si="99"/>
        <v>1</v>
      </c>
      <c r="AS265" s="9">
        <v>1</v>
      </c>
      <c r="AT265" s="9">
        <v>1</v>
      </c>
      <c r="AU265" s="9">
        <v>2</v>
      </c>
      <c r="AV265" s="9">
        <f t="shared" si="100"/>
        <v>1</v>
      </c>
      <c r="AW265" s="12">
        <v>43305</v>
      </c>
      <c r="AX265" s="9">
        <v>18400</v>
      </c>
      <c r="AY265" s="9">
        <v>11800</v>
      </c>
      <c r="AZ265" s="9">
        <v>5100</v>
      </c>
      <c r="BA265" s="9">
        <v>11800</v>
      </c>
      <c r="BB265" s="9">
        <v>5100.00048828125</v>
      </c>
      <c r="BC265" s="9">
        <v>202000</v>
      </c>
      <c r="BD265" s="9">
        <v>1300</v>
      </c>
      <c r="BE265" s="9">
        <v>100</v>
      </c>
      <c r="BF265" s="9">
        <v>324</v>
      </c>
      <c r="BG265" s="9">
        <v>20630</v>
      </c>
      <c r="BH265" s="9">
        <v>14400</v>
      </c>
      <c r="BI265" s="9"/>
      <c r="BJ265" s="9">
        <v>256000</v>
      </c>
      <c r="BK265" s="9"/>
      <c r="BL265" s="9"/>
      <c r="BM265" s="9">
        <v>229</v>
      </c>
      <c r="BN265" s="9"/>
      <c r="BO265" s="9"/>
      <c r="BP265" s="9"/>
      <c r="BQ265" s="9"/>
      <c r="BR265" s="9"/>
      <c r="BS265" s="9"/>
      <c r="BT265" s="9"/>
      <c r="BU265" s="9"/>
      <c r="BV265" s="9">
        <v>10700</v>
      </c>
      <c r="BW265" s="9"/>
      <c r="BX265" s="9">
        <v>230000</v>
      </c>
      <c r="BY265" s="9"/>
      <c r="BZ265" s="10" t="s">
        <v>401</v>
      </c>
      <c r="CA265" s="9"/>
      <c r="CB265" s="9"/>
      <c r="CC265" s="10">
        <f t="shared" si="101"/>
        <v>2.3137252686767322</v>
      </c>
      <c r="CD265" s="10">
        <f t="shared" si="102"/>
        <v>39.607839345144058</v>
      </c>
      <c r="CE265" s="10">
        <f t="shared" si="110"/>
        <v>467372.50427269994</v>
      </c>
      <c r="CF265" s="10">
        <f t="shared" si="95"/>
        <v>0</v>
      </c>
      <c r="CG265" s="10">
        <f t="shared" si="96"/>
        <v>0</v>
      </c>
      <c r="CH265" s="10">
        <f t="shared" si="97"/>
        <v>4</v>
      </c>
      <c r="CI265" s="9">
        <f t="shared" si="103"/>
        <v>1</v>
      </c>
      <c r="CJ265" s="10">
        <f t="shared" si="98"/>
        <v>13</v>
      </c>
      <c r="CK265" s="10" t="b">
        <f t="shared" si="104"/>
        <v>1</v>
      </c>
      <c r="CL265" s="10" t="b">
        <f t="shared" si="105"/>
        <v>0</v>
      </c>
      <c r="CM265" s="10" t="b">
        <f t="shared" si="106"/>
        <v>0</v>
      </c>
      <c r="CN265" s="9">
        <f t="shared" si="107"/>
        <v>1</v>
      </c>
      <c r="CO265" s="10">
        <f>(YEAR(AO265)-YEAR(AJ265))*12+MONTH(AO265)-MONTH(AJ265)</f>
        <v>3</v>
      </c>
      <c r="CP265" s="10" t="b">
        <f t="shared" si="108"/>
        <v>1</v>
      </c>
      <c r="CQ265" s="10" t="b">
        <f t="shared" si="109"/>
        <v>0</v>
      </c>
      <c r="CR265" s="10" cm="1">
        <f t="array" ref="CR265">_xlfn.IFS(AND($CI265=0, CK265=FALSE), NA(), AND($CI265=1, CK265=FALSE), 0, CK265=TRUE, 1)</f>
        <v>1</v>
      </c>
      <c r="CS265" s="10" cm="1">
        <f t="array" ref="CS265">_xlfn.IFS(AND($CI265=0, CL265=FALSE), NA(), AND($CI265=1, CL265=FALSE), 0, CL265=TRUE, 1)</f>
        <v>0</v>
      </c>
      <c r="CT265" s="10" cm="1">
        <f t="array" ref="CT265">_xlfn.IFS(AND($CI265=0, CM265=FALSE), NA(), AND($CI265=1, CM265=FALSE), 0, CM265=TRUE, 1)</f>
        <v>0</v>
      </c>
      <c r="CU265" s="10" cm="1">
        <f t="array" ref="CU265">_xlfn.IFS(AND($CN265=0, CP265=FALSE), NA(), AND($CN265=1, CP265=FALSE), 0, CP265=TRUE, 1)</f>
        <v>1</v>
      </c>
      <c r="CV265" s="10" cm="1">
        <f t="array" ref="CV265">_xlfn.IFS(AND($CN265=0, CQ265=FALSE), NA(), AND($CN265=1, CQ265=FALSE), 0, CQ265=TRUE, 1)</f>
        <v>0</v>
      </c>
    </row>
    <row r="266" spans="1:100" ht="15.75" x14ac:dyDescent="0.25">
      <c r="A266" s="8">
        <v>265</v>
      </c>
      <c r="B266" s="9">
        <v>295</v>
      </c>
      <c r="C266" s="10" t="s">
        <v>22</v>
      </c>
      <c r="D266" s="11" t="s">
        <v>256</v>
      </c>
      <c r="E266" s="12">
        <v>15218</v>
      </c>
      <c r="F266" s="13">
        <v>1</v>
      </c>
      <c r="G266" s="9">
        <v>72.268310546875</v>
      </c>
      <c r="H266" s="12">
        <v>41614</v>
      </c>
      <c r="I266" s="9">
        <v>1</v>
      </c>
      <c r="J266" s="12">
        <v>41614</v>
      </c>
      <c r="K266" s="9">
        <v>0</v>
      </c>
      <c r="L266" s="9">
        <v>1</v>
      </c>
      <c r="M266" s="10" t="s">
        <v>401</v>
      </c>
      <c r="N266" s="9">
        <v>2</v>
      </c>
      <c r="O266" s="10" t="s">
        <v>149</v>
      </c>
      <c r="P266" s="9">
        <v>1</v>
      </c>
      <c r="Q266" s="10" t="s">
        <v>401</v>
      </c>
      <c r="R266" s="12">
        <v>43083</v>
      </c>
      <c r="S266" s="10" t="s">
        <v>146</v>
      </c>
      <c r="T266" s="9"/>
      <c r="U266" s="10" t="s">
        <v>401</v>
      </c>
      <c r="V266" s="10" t="s">
        <v>401</v>
      </c>
      <c r="W266" s="9"/>
      <c r="X266" s="9"/>
      <c r="Y266" s="9">
        <v>2</v>
      </c>
      <c r="Z266" s="14">
        <v>2</v>
      </c>
      <c r="AB266" s="9"/>
      <c r="AC266" s="9"/>
      <c r="AD266" s="9">
        <v>2</v>
      </c>
      <c r="AE266" s="9">
        <v>2</v>
      </c>
      <c r="AF266" s="9">
        <v>1</v>
      </c>
      <c r="AG266" s="9">
        <v>0</v>
      </c>
      <c r="AH266" s="9">
        <v>1</v>
      </c>
      <c r="AI266" s="9">
        <v>0</v>
      </c>
      <c r="AJ266" s="12">
        <v>43238</v>
      </c>
      <c r="AK266" s="9">
        <v>2</v>
      </c>
      <c r="AL266" s="12">
        <v>43490</v>
      </c>
      <c r="AM266" s="9">
        <v>3</v>
      </c>
      <c r="AN266" s="12">
        <v>43344</v>
      </c>
      <c r="AO266" s="12">
        <v>43518</v>
      </c>
      <c r="AP266" s="12">
        <v>43518</v>
      </c>
      <c r="AQ266" s="9">
        <v>1</v>
      </c>
      <c r="AR266" s="9">
        <f t="shared" si="99"/>
        <v>1</v>
      </c>
      <c r="AS266" s="9">
        <v>1</v>
      </c>
      <c r="AT266" s="9">
        <v>2</v>
      </c>
      <c r="AU266" s="9">
        <v>2</v>
      </c>
      <c r="AV266" s="9">
        <f t="shared" si="100"/>
        <v>1</v>
      </c>
      <c r="AW266" s="12">
        <v>43518</v>
      </c>
      <c r="AX266" s="9">
        <v>16130</v>
      </c>
      <c r="AY266" s="9">
        <v>11430</v>
      </c>
      <c r="AZ266" s="9">
        <v>2730</v>
      </c>
      <c r="BA266" s="9">
        <v>11430</v>
      </c>
      <c r="BB266" s="9">
        <v>2730</v>
      </c>
      <c r="BC266" s="9">
        <v>284000</v>
      </c>
      <c r="BD266" s="9">
        <v>900</v>
      </c>
      <c r="BE266" s="9">
        <v>150</v>
      </c>
      <c r="BF266" s="9"/>
      <c r="BG266" s="9">
        <v>7150</v>
      </c>
      <c r="BH266" s="9">
        <v>4270</v>
      </c>
      <c r="BI266" s="9">
        <v>1870</v>
      </c>
      <c r="BJ266" s="9">
        <v>267000</v>
      </c>
      <c r="BK266" s="9">
        <v>420</v>
      </c>
      <c r="BL266" s="9">
        <v>100</v>
      </c>
      <c r="BM266" s="9"/>
      <c r="BN266" s="9">
        <v>8090</v>
      </c>
      <c r="BO266" s="9">
        <v>4130</v>
      </c>
      <c r="BP266" s="9">
        <v>2240</v>
      </c>
      <c r="BQ266" s="9">
        <v>195000</v>
      </c>
      <c r="BR266" s="9">
        <v>400</v>
      </c>
      <c r="BS266" s="9">
        <v>190</v>
      </c>
      <c r="BT266" s="9"/>
      <c r="BU266" s="9">
        <v>8100</v>
      </c>
      <c r="BV266" s="9">
        <v>4950</v>
      </c>
      <c r="BW266" s="9">
        <v>1980</v>
      </c>
      <c r="BX266" s="9">
        <v>203000</v>
      </c>
      <c r="BY266" s="9">
        <v>460</v>
      </c>
      <c r="BZ266" s="10" t="s">
        <v>536</v>
      </c>
      <c r="CA266" s="9">
        <v>160</v>
      </c>
      <c r="CB266" s="9"/>
      <c r="CC266" s="10">
        <f t="shared" si="101"/>
        <v>4.186813186813187</v>
      </c>
      <c r="CD266" s="10">
        <f t="shared" si="102"/>
        <v>104.02930402930403</v>
      </c>
      <c r="CE266" s="10">
        <f t="shared" si="110"/>
        <v>1189054.9450549451</v>
      </c>
      <c r="CF266" s="10">
        <f t="shared" si="95"/>
        <v>1</v>
      </c>
      <c r="CG266" s="10">
        <f t="shared" si="96"/>
        <v>0</v>
      </c>
      <c r="CH266" s="10">
        <f t="shared" si="97"/>
        <v>8</v>
      </c>
      <c r="CI266" s="9">
        <f t="shared" si="103"/>
        <v>1</v>
      </c>
      <c r="CJ266" s="10">
        <f t="shared" si="98"/>
        <v>9</v>
      </c>
      <c r="CK266" s="10" t="b">
        <f t="shared" si="104"/>
        <v>1</v>
      </c>
      <c r="CL266" s="10" t="b">
        <f t="shared" si="105"/>
        <v>0</v>
      </c>
      <c r="CM266" s="10" t="b">
        <f t="shared" si="106"/>
        <v>0</v>
      </c>
      <c r="CN266" s="9">
        <f t="shared" si="107"/>
        <v>1</v>
      </c>
      <c r="CO266" s="10">
        <f>(YEAR(AO266)-YEAR(AJ266))*12+MONTH(AO266)-MONTH(AJ266)</f>
        <v>9</v>
      </c>
      <c r="CP266" s="10" t="b">
        <f t="shared" si="108"/>
        <v>1</v>
      </c>
      <c r="CQ266" s="10" t="b">
        <f t="shared" si="109"/>
        <v>1</v>
      </c>
      <c r="CR266" s="10" cm="1">
        <f t="array" ref="CR266">_xlfn.IFS(AND($CI266=0, CK266=FALSE), NA(), AND($CI266=1, CK266=FALSE), 0, CK266=TRUE, 1)</f>
        <v>1</v>
      </c>
      <c r="CS266" s="10" cm="1">
        <f t="array" ref="CS266">_xlfn.IFS(AND($CI266=0, CL266=FALSE), NA(), AND($CI266=1, CL266=FALSE), 0, CL266=TRUE, 1)</f>
        <v>0</v>
      </c>
      <c r="CT266" s="10" cm="1">
        <f t="array" ref="CT266">_xlfn.IFS(AND($CI266=0, CM266=FALSE), NA(), AND($CI266=1, CM266=FALSE), 0, CM266=TRUE, 1)</f>
        <v>0</v>
      </c>
      <c r="CU266" s="10" cm="1">
        <f t="array" ref="CU266">_xlfn.IFS(AND($CN266=0, CP266=FALSE), NA(), AND($CN266=1, CP266=FALSE), 0, CP266=TRUE, 1)</f>
        <v>1</v>
      </c>
      <c r="CV266" s="10" cm="1">
        <f t="array" ref="CV266">_xlfn.IFS(AND($CN266=0, CQ266=FALSE), NA(), AND($CN266=1, CQ266=FALSE), 0, CQ266=TRUE, 1)</f>
        <v>1</v>
      </c>
    </row>
    <row r="267" spans="1:100" x14ac:dyDescent="0.25">
      <c r="A267" s="8">
        <v>266</v>
      </c>
      <c r="B267" s="9">
        <v>28</v>
      </c>
      <c r="C267" s="10" t="s">
        <v>5</v>
      </c>
      <c r="D267" s="11" t="s">
        <v>63</v>
      </c>
      <c r="E267" s="12">
        <v>20869</v>
      </c>
      <c r="F267" s="13">
        <v>1</v>
      </c>
      <c r="G267" s="9">
        <v>56.835044860839844</v>
      </c>
      <c r="H267" s="12">
        <v>41628</v>
      </c>
      <c r="I267" s="9">
        <v>1</v>
      </c>
      <c r="J267" s="12">
        <v>41660</v>
      </c>
      <c r="K267" s="9">
        <v>1</v>
      </c>
      <c r="L267" s="9">
        <v>1</v>
      </c>
      <c r="M267" s="10" t="s">
        <v>401</v>
      </c>
      <c r="N267" s="9"/>
      <c r="O267" s="10" t="s">
        <v>401</v>
      </c>
      <c r="P267" s="9"/>
      <c r="Q267" s="10" t="s">
        <v>401</v>
      </c>
      <c r="R267" s="12">
        <v>41628</v>
      </c>
      <c r="S267" s="10" t="s">
        <v>145</v>
      </c>
      <c r="T267" s="9">
        <v>2</v>
      </c>
      <c r="U267" s="10" t="s">
        <v>401</v>
      </c>
      <c r="V267" s="10" t="s">
        <v>401</v>
      </c>
      <c r="W267" s="9"/>
      <c r="X267" s="9"/>
      <c r="Y267" s="9">
        <v>4</v>
      </c>
      <c r="Z267" s="19"/>
      <c r="AB267" s="9"/>
      <c r="AC267" s="9"/>
      <c r="AD267" s="9"/>
      <c r="AE267" s="9"/>
      <c r="AF267" s="9">
        <v>1</v>
      </c>
      <c r="AG267" s="9">
        <v>0</v>
      </c>
      <c r="AH267" s="9">
        <v>1</v>
      </c>
      <c r="AI267" s="9">
        <v>1</v>
      </c>
      <c r="AJ267" s="12">
        <v>42557</v>
      </c>
      <c r="AK267" s="9">
        <v>1</v>
      </c>
      <c r="AL267" s="12">
        <v>43945</v>
      </c>
      <c r="AM267" s="9">
        <v>2</v>
      </c>
      <c r="AN267" s="12">
        <v>42626</v>
      </c>
      <c r="AO267" s="12"/>
      <c r="AP267" s="12"/>
      <c r="AQ267" s="9">
        <v>2</v>
      </c>
      <c r="AR267" s="9">
        <f t="shared" si="99"/>
        <v>0</v>
      </c>
      <c r="AS267" s="9">
        <v>2</v>
      </c>
      <c r="AT267" s="9"/>
      <c r="AU267" s="9">
        <v>1</v>
      </c>
      <c r="AV267" s="9">
        <f t="shared" si="100"/>
        <v>0</v>
      </c>
      <c r="AW267" s="12">
        <v>43945</v>
      </c>
      <c r="AX267" s="9"/>
      <c r="AY267" s="9"/>
      <c r="AZ267" s="9"/>
      <c r="BA267" s="9">
        <v>3754.442626953125</v>
      </c>
      <c r="BB267" s="9">
        <v>1019.4700317382813</v>
      </c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10" t="s">
        <v>401</v>
      </c>
      <c r="CA267" s="9"/>
      <c r="CB267" s="9"/>
      <c r="CC267" s="10">
        <f t="shared" si="101"/>
        <v>3.6827395706291512</v>
      </c>
      <c r="CF267" s="10">
        <f t="shared" si="95"/>
        <v>1</v>
      </c>
      <c r="CG267" s="10">
        <f t="shared" si="96"/>
        <v>1</v>
      </c>
      <c r="CH267" s="10">
        <f t="shared" si="97"/>
        <v>45</v>
      </c>
      <c r="CI267" s="9">
        <f t="shared" si="103"/>
        <v>0</v>
      </c>
      <c r="CJ267" s="10">
        <f t="shared" si="98"/>
        <v>45</v>
      </c>
      <c r="CK267" s="10" t="b">
        <f t="shared" si="104"/>
        <v>1</v>
      </c>
      <c r="CL267" s="10" t="b">
        <f t="shared" si="105"/>
        <v>1</v>
      </c>
      <c r="CM267" s="10" t="b">
        <f t="shared" si="106"/>
        <v>1</v>
      </c>
      <c r="CN267" s="9">
        <f t="shared" si="107"/>
        <v>0</v>
      </c>
      <c r="CO267" s="10">
        <f>CJ267</f>
        <v>45</v>
      </c>
      <c r="CP267" s="10" t="b">
        <f t="shared" si="108"/>
        <v>1</v>
      </c>
      <c r="CQ267" s="10" t="b">
        <f t="shared" si="109"/>
        <v>1</v>
      </c>
      <c r="CR267" s="10" cm="1">
        <f t="array" ref="CR267">_xlfn.IFS(AND($CI267=0, CK267=FALSE), NA(), AND($CI267=1, CK267=FALSE), 0, CK267=TRUE, 1)</f>
        <v>1</v>
      </c>
      <c r="CS267" s="10" cm="1">
        <f t="array" ref="CS267">_xlfn.IFS(AND($CI267=0, CL267=FALSE), NA(), AND($CI267=1, CL267=FALSE), 0, CL267=TRUE, 1)</f>
        <v>1</v>
      </c>
      <c r="CT267" s="10" cm="1">
        <f t="array" ref="CT267">_xlfn.IFS(AND($CI267=0, CM267=FALSE), NA(), AND($CI267=1, CM267=FALSE), 0, CM267=TRUE, 1)</f>
        <v>1</v>
      </c>
      <c r="CU267" s="10" cm="1">
        <f t="array" ref="CU267">_xlfn.IFS(AND($CN267=0, CP267=FALSE), NA(), AND($CN267=1, CP267=FALSE), 0, CP267=TRUE, 1)</f>
        <v>1</v>
      </c>
      <c r="CV267" s="10" cm="1">
        <f t="array" ref="CV267">_xlfn.IFS(AND($CN267=0, CQ267=FALSE), NA(), AND($CN267=1, CQ267=FALSE), 0, CQ267=TRUE, 1)</f>
        <v>1</v>
      </c>
    </row>
    <row r="268" spans="1:100" ht="15.75" x14ac:dyDescent="0.25">
      <c r="A268" s="8">
        <v>267</v>
      </c>
      <c r="B268" s="9">
        <v>447</v>
      </c>
      <c r="C268" s="10" t="s">
        <v>30</v>
      </c>
      <c r="D268" s="11" t="s">
        <v>349</v>
      </c>
      <c r="E268" s="12">
        <v>30005</v>
      </c>
      <c r="F268" s="13">
        <v>2</v>
      </c>
      <c r="G268" s="9">
        <v>31.849418640136719</v>
      </c>
      <c r="H268" s="12">
        <v>41638</v>
      </c>
      <c r="I268" s="9">
        <v>1</v>
      </c>
      <c r="J268" s="12">
        <v>41638</v>
      </c>
      <c r="K268" s="9">
        <v>1</v>
      </c>
      <c r="L268" s="9">
        <v>1</v>
      </c>
      <c r="M268" s="10" t="s">
        <v>401</v>
      </c>
      <c r="N268" s="9">
        <v>2</v>
      </c>
      <c r="O268" s="10" t="s">
        <v>145</v>
      </c>
      <c r="P268" s="9">
        <v>2</v>
      </c>
      <c r="Q268" s="10" t="s">
        <v>145</v>
      </c>
      <c r="R268" s="12">
        <v>41673</v>
      </c>
      <c r="S268" s="10" t="s">
        <v>146</v>
      </c>
      <c r="T268" s="9"/>
      <c r="U268" s="10" t="s">
        <v>401</v>
      </c>
      <c r="V268" s="10" t="s">
        <v>401</v>
      </c>
      <c r="W268" s="9"/>
      <c r="X268" s="9"/>
      <c r="Y268" s="9">
        <v>2</v>
      </c>
      <c r="Z268" s="14">
        <v>2</v>
      </c>
      <c r="AA268" s="15">
        <v>10.9</v>
      </c>
      <c r="AB268" s="16">
        <v>87</v>
      </c>
      <c r="AC268" s="16">
        <v>10</v>
      </c>
      <c r="AD268" s="9">
        <v>2</v>
      </c>
      <c r="AE268" s="9">
        <v>2</v>
      </c>
      <c r="AF268" s="9">
        <v>1</v>
      </c>
      <c r="AG268" s="9">
        <v>1</v>
      </c>
      <c r="AH268" s="9">
        <v>1</v>
      </c>
      <c r="AI268" s="9">
        <v>0</v>
      </c>
      <c r="AJ268" s="12">
        <v>42509</v>
      </c>
      <c r="AK268" s="9">
        <v>2</v>
      </c>
      <c r="AL268" s="12">
        <v>43353</v>
      </c>
      <c r="AM268" s="9">
        <v>3</v>
      </c>
      <c r="AN268" s="12">
        <v>43050</v>
      </c>
      <c r="AO268" s="12">
        <v>43349</v>
      </c>
      <c r="AP268" s="12">
        <v>43349</v>
      </c>
      <c r="AQ268" s="9">
        <v>1</v>
      </c>
      <c r="AR268" s="9">
        <f t="shared" si="99"/>
        <v>1</v>
      </c>
      <c r="AS268" s="9">
        <v>1</v>
      </c>
      <c r="AT268" s="9">
        <v>2</v>
      </c>
      <c r="AU268" s="9">
        <v>2</v>
      </c>
      <c r="AV268" s="9">
        <f t="shared" si="100"/>
        <v>1</v>
      </c>
      <c r="AW268" s="12">
        <v>43845</v>
      </c>
      <c r="AX268" s="9">
        <v>3790</v>
      </c>
      <c r="AY268" s="9">
        <v>1980</v>
      </c>
      <c r="AZ268" s="9">
        <v>930</v>
      </c>
      <c r="BA268" s="9">
        <v>1980</v>
      </c>
      <c r="BB268" s="9">
        <v>930</v>
      </c>
      <c r="BC268" s="9">
        <v>246000</v>
      </c>
      <c r="BD268" s="9">
        <v>300</v>
      </c>
      <c r="BE268" s="9">
        <v>90</v>
      </c>
      <c r="BF268" s="9">
        <v>185</v>
      </c>
      <c r="BG268" s="9">
        <v>4980</v>
      </c>
      <c r="BH268" s="9">
        <v>3350</v>
      </c>
      <c r="BI268" s="9">
        <v>1030</v>
      </c>
      <c r="BJ268" s="9">
        <v>300000</v>
      </c>
      <c r="BK268" s="9">
        <v>540</v>
      </c>
      <c r="BL268" s="9">
        <v>60</v>
      </c>
      <c r="BM268" s="9">
        <v>173</v>
      </c>
      <c r="BN268" s="9">
        <v>4820</v>
      </c>
      <c r="BO268" s="9">
        <v>2990</v>
      </c>
      <c r="BP268" s="9">
        <v>1090</v>
      </c>
      <c r="BQ268" s="9">
        <v>351000</v>
      </c>
      <c r="BR268" s="9">
        <v>600</v>
      </c>
      <c r="BS268" s="9">
        <v>110</v>
      </c>
      <c r="BT268" s="9">
        <v>184</v>
      </c>
      <c r="BU268" s="9">
        <v>5430</v>
      </c>
      <c r="BV268" s="9">
        <v>3360</v>
      </c>
      <c r="BW268" s="9">
        <v>1480</v>
      </c>
      <c r="BX268" s="9">
        <v>313000</v>
      </c>
      <c r="BY268" s="9">
        <v>440</v>
      </c>
      <c r="BZ268" s="10" t="s">
        <v>563</v>
      </c>
      <c r="CA268" s="9">
        <v>130</v>
      </c>
      <c r="CB268" s="9">
        <v>195</v>
      </c>
      <c r="CC268" s="10">
        <f t="shared" si="101"/>
        <v>2.129032258064516</v>
      </c>
      <c r="CD268" s="10">
        <f t="shared" si="102"/>
        <v>264.51612903225805</v>
      </c>
      <c r="CE268" s="10">
        <f t="shared" ref="CE268:CE285" si="111">BC268*CC268</f>
        <v>523741.93548387091</v>
      </c>
      <c r="CF268" s="10">
        <f t="shared" si="95"/>
        <v>1</v>
      </c>
      <c r="CG268" s="10">
        <f t="shared" si="96"/>
        <v>0</v>
      </c>
      <c r="CH268" s="10">
        <f t="shared" si="97"/>
        <v>28</v>
      </c>
      <c r="CI268" s="9">
        <f t="shared" si="103"/>
        <v>1</v>
      </c>
      <c r="CJ268" s="10">
        <f t="shared" si="98"/>
        <v>44</v>
      </c>
      <c r="CK268" s="10" t="b">
        <f t="shared" si="104"/>
        <v>1</v>
      </c>
      <c r="CL268" s="10" t="b">
        <f t="shared" si="105"/>
        <v>1</v>
      </c>
      <c r="CM268" s="10" t="b">
        <f t="shared" si="106"/>
        <v>1</v>
      </c>
      <c r="CN268" s="9">
        <f t="shared" si="107"/>
        <v>1</v>
      </c>
      <c r="CO268" s="10">
        <f t="shared" ref="CO268:CO274" si="112">(YEAR(AO268)-YEAR(AJ268))*12+MONTH(AO268)-MONTH(AJ268)</f>
        <v>28</v>
      </c>
      <c r="CP268" s="10" t="b">
        <f t="shared" si="108"/>
        <v>1</v>
      </c>
      <c r="CQ268" s="10" t="b">
        <f t="shared" si="109"/>
        <v>1</v>
      </c>
      <c r="CR268" s="10" cm="1">
        <f t="array" ref="CR268">_xlfn.IFS(AND($CI268=0, CK268=FALSE), NA(), AND($CI268=1, CK268=FALSE), 0, CK268=TRUE, 1)</f>
        <v>1</v>
      </c>
      <c r="CS268" s="10" cm="1">
        <f t="array" ref="CS268">_xlfn.IFS(AND($CI268=0, CL268=FALSE), NA(), AND($CI268=1, CL268=FALSE), 0, CL268=TRUE, 1)</f>
        <v>1</v>
      </c>
      <c r="CT268" s="10" cm="1">
        <f t="array" ref="CT268">_xlfn.IFS(AND($CI268=0, CM268=FALSE), NA(), AND($CI268=1, CM268=FALSE), 0, CM268=TRUE, 1)</f>
        <v>1</v>
      </c>
      <c r="CU268" s="10" cm="1">
        <f t="array" ref="CU268">_xlfn.IFS(AND($CN268=0, CP268=FALSE), NA(), AND($CN268=1, CP268=FALSE), 0, CP268=TRUE, 1)</f>
        <v>1</v>
      </c>
      <c r="CV268" s="10" cm="1">
        <f t="array" ref="CV268">_xlfn.IFS(AND($CN268=0, CQ268=FALSE), NA(), AND($CN268=1, CQ268=FALSE), 0, CQ268=TRUE, 1)</f>
        <v>1</v>
      </c>
    </row>
    <row r="269" spans="1:100" ht="15.75" x14ac:dyDescent="0.25">
      <c r="A269" s="8">
        <v>268</v>
      </c>
      <c r="B269" s="9">
        <v>5</v>
      </c>
      <c r="C269" s="10" t="s">
        <v>3</v>
      </c>
      <c r="D269" s="11" t="s">
        <v>41</v>
      </c>
      <c r="E269" s="12">
        <v>17617</v>
      </c>
      <c r="F269" s="13">
        <v>1</v>
      </c>
      <c r="G269" s="9">
        <v>65.809722900390625</v>
      </c>
      <c r="H269" s="12">
        <v>41654</v>
      </c>
      <c r="I269" s="9">
        <v>1</v>
      </c>
      <c r="J269" s="12">
        <v>41654</v>
      </c>
      <c r="K269" s="9">
        <v>0</v>
      </c>
      <c r="L269" s="9">
        <v>1</v>
      </c>
      <c r="M269" s="10" t="s">
        <v>401</v>
      </c>
      <c r="N269" s="9"/>
      <c r="O269" s="10" t="s">
        <v>401</v>
      </c>
      <c r="P269" s="9"/>
      <c r="Q269" s="10" t="s">
        <v>401</v>
      </c>
      <c r="R269" s="12">
        <v>41791</v>
      </c>
      <c r="S269" s="10" t="s">
        <v>145</v>
      </c>
      <c r="T269" s="9">
        <v>6</v>
      </c>
      <c r="U269" s="10" t="s">
        <v>401</v>
      </c>
      <c r="V269" s="10" t="s">
        <v>401</v>
      </c>
      <c r="W269" s="9"/>
      <c r="X269" s="9"/>
      <c r="Y269" s="9">
        <v>3</v>
      </c>
      <c r="Z269" s="14">
        <v>1</v>
      </c>
      <c r="AA269" s="15">
        <v>9.3000000000000007</v>
      </c>
      <c r="AB269" s="16">
        <v>90.6</v>
      </c>
      <c r="AC269" s="9"/>
      <c r="AD269" s="9">
        <v>2</v>
      </c>
      <c r="AE269" s="9">
        <v>3</v>
      </c>
      <c r="AF269" s="9">
        <v>1</v>
      </c>
      <c r="AG269" s="9">
        <v>1</v>
      </c>
      <c r="AH269" s="9">
        <v>1</v>
      </c>
      <c r="AI269" s="9">
        <v>0</v>
      </c>
      <c r="AJ269" s="12">
        <v>42796</v>
      </c>
      <c r="AK269" s="9">
        <v>2</v>
      </c>
      <c r="AL269" s="12">
        <v>42824</v>
      </c>
      <c r="AM269" s="9">
        <v>4</v>
      </c>
      <c r="AN269" s="12">
        <v>42859</v>
      </c>
      <c r="AO269" s="12">
        <v>42859</v>
      </c>
      <c r="AP269" s="12">
        <v>42859</v>
      </c>
      <c r="AQ269" s="9">
        <v>1</v>
      </c>
      <c r="AR269" s="9">
        <f t="shared" si="99"/>
        <v>1</v>
      </c>
      <c r="AS269" s="9">
        <v>1</v>
      </c>
      <c r="AT269" s="9">
        <v>2</v>
      </c>
      <c r="AU269" s="9">
        <v>2</v>
      </c>
      <c r="AV269" s="9">
        <f t="shared" si="100"/>
        <v>1</v>
      </c>
      <c r="AW269" s="12">
        <v>42991</v>
      </c>
      <c r="AX269" s="9">
        <v>5980</v>
      </c>
      <c r="AY269" s="9">
        <v>3970</v>
      </c>
      <c r="AZ269" s="9">
        <v>1170</v>
      </c>
      <c r="BA269" s="9">
        <v>3970</v>
      </c>
      <c r="BB269" s="9">
        <v>1170.000244140625</v>
      </c>
      <c r="BC269" s="9">
        <v>112000</v>
      </c>
      <c r="BD269" s="9">
        <v>700</v>
      </c>
      <c r="BE269" s="9">
        <v>120</v>
      </c>
      <c r="BF269" s="9">
        <v>409</v>
      </c>
      <c r="BG269" s="9">
        <v>5290</v>
      </c>
      <c r="BH269" s="9">
        <v>3290</v>
      </c>
      <c r="BI269" s="9">
        <v>1230</v>
      </c>
      <c r="BJ269" s="9">
        <v>163000</v>
      </c>
      <c r="BK269" s="9">
        <v>650</v>
      </c>
      <c r="BL269" s="9">
        <v>110</v>
      </c>
      <c r="BM269" s="9"/>
      <c r="BN269" s="9">
        <v>6170</v>
      </c>
      <c r="BO269" s="9">
        <v>3850</v>
      </c>
      <c r="BP269" s="9">
        <v>1490</v>
      </c>
      <c r="BQ269" s="9">
        <v>151000</v>
      </c>
      <c r="BR269" s="9">
        <v>700</v>
      </c>
      <c r="BS269" s="9">
        <v>120</v>
      </c>
      <c r="BT269" s="9"/>
      <c r="BU269" s="9"/>
      <c r="BV269" s="9"/>
      <c r="BW269" s="9"/>
      <c r="BX269" s="9"/>
      <c r="BY269" s="9"/>
      <c r="BZ269" s="10" t="s">
        <v>401</v>
      </c>
      <c r="CA269" s="9"/>
      <c r="CB269" s="9"/>
      <c r="CC269" s="10">
        <f t="shared" si="101"/>
        <v>3.3931616851208424</v>
      </c>
      <c r="CD269" s="10">
        <f t="shared" si="102"/>
        <v>95.726475751519985</v>
      </c>
      <c r="CE269" s="10">
        <f t="shared" si="111"/>
        <v>380034.10873353435</v>
      </c>
      <c r="CF269" s="10">
        <f t="shared" si="95"/>
        <v>0</v>
      </c>
      <c r="CG269" s="10">
        <f t="shared" si="96"/>
        <v>0</v>
      </c>
      <c r="CH269" s="10">
        <f t="shared" si="97"/>
        <v>0</v>
      </c>
      <c r="CI269" s="9">
        <f t="shared" si="103"/>
        <v>1</v>
      </c>
      <c r="CJ269" s="10">
        <f t="shared" si="98"/>
        <v>6</v>
      </c>
      <c r="CK269" s="10" t="b">
        <f t="shared" si="104"/>
        <v>1</v>
      </c>
      <c r="CL269" s="10" t="b">
        <f t="shared" si="105"/>
        <v>0</v>
      </c>
      <c r="CM269" s="10" t="b">
        <f t="shared" si="106"/>
        <v>0</v>
      </c>
      <c r="CN269" s="9">
        <f t="shared" si="107"/>
        <v>1</v>
      </c>
      <c r="CO269" s="10">
        <f t="shared" si="112"/>
        <v>2</v>
      </c>
      <c r="CP269" s="10" t="b">
        <f t="shared" si="108"/>
        <v>0</v>
      </c>
      <c r="CQ269" s="10" t="b">
        <f t="shared" si="109"/>
        <v>0</v>
      </c>
      <c r="CR269" s="10" cm="1">
        <f t="array" ref="CR269">_xlfn.IFS(AND($CI269=0, CK269=FALSE), NA(), AND($CI269=1, CK269=FALSE), 0, CK269=TRUE, 1)</f>
        <v>1</v>
      </c>
      <c r="CS269" s="10" cm="1">
        <f t="array" ref="CS269">_xlfn.IFS(AND($CI269=0, CL269=FALSE), NA(), AND($CI269=1, CL269=FALSE), 0, CL269=TRUE, 1)</f>
        <v>0</v>
      </c>
      <c r="CT269" s="10" cm="1">
        <f t="array" ref="CT269">_xlfn.IFS(AND($CI269=0, CM269=FALSE), NA(), AND($CI269=1, CM269=FALSE), 0, CM269=TRUE, 1)</f>
        <v>0</v>
      </c>
      <c r="CU269" s="10" cm="1">
        <f t="array" ref="CU269">_xlfn.IFS(AND($CN269=0, CP269=FALSE), NA(), AND($CN269=1, CP269=FALSE), 0, CP269=TRUE, 1)</f>
        <v>0</v>
      </c>
      <c r="CV269" s="10" cm="1">
        <f t="array" ref="CV269">_xlfn.IFS(AND($CN269=0, CQ269=FALSE), NA(), AND($CN269=1, CQ269=FALSE), 0, CQ269=TRUE, 1)</f>
        <v>0</v>
      </c>
    </row>
    <row r="270" spans="1:100" ht="15.75" x14ac:dyDescent="0.25">
      <c r="A270" s="8">
        <v>269</v>
      </c>
      <c r="B270" s="9">
        <v>181</v>
      </c>
      <c r="C270" s="10" t="s">
        <v>17</v>
      </c>
      <c r="D270" s="11" t="s">
        <v>189</v>
      </c>
      <c r="E270" s="12">
        <v>13735</v>
      </c>
      <c r="F270" s="13">
        <v>1</v>
      </c>
      <c r="G270" s="9">
        <v>76.443534851074219</v>
      </c>
      <c r="H270" s="12">
        <v>41656</v>
      </c>
      <c r="I270" s="9">
        <v>1</v>
      </c>
      <c r="J270" s="12">
        <v>41656</v>
      </c>
      <c r="K270" s="9">
        <v>0</v>
      </c>
      <c r="L270" s="9">
        <v>1</v>
      </c>
      <c r="M270" s="10" t="s">
        <v>401</v>
      </c>
      <c r="N270" s="9">
        <v>1</v>
      </c>
      <c r="O270" s="10" t="s">
        <v>401</v>
      </c>
      <c r="P270" s="9">
        <v>1</v>
      </c>
      <c r="Q270" s="10" t="s">
        <v>401</v>
      </c>
      <c r="R270" s="12">
        <v>42566</v>
      </c>
      <c r="S270" s="10" t="s">
        <v>146</v>
      </c>
      <c r="T270" s="9"/>
      <c r="U270" s="10" t="s">
        <v>401</v>
      </c>
      <c r="V270" s="10" t="s">
        <v>401</v>
      </c>
      <c r="W270" s="9"/>
      <c r="X270" s="9"/>
      <c r="Y270" s="9">
        <v>2</v>
      </c>
      <c r="Z270" s="14">
        <v>2</v>
      </c>
      <c r="AA270" s="17">
        <v>10.3</v>
      </c>
      <c r="AB270" s="18">
        <v>90</v>
      </c>
      <c r="AC270" s="18">
        <v>19</v>
      </c>
      <c r="AD270" s="9">
        <v>2</v>
      </c>
      <c r="AE270" s="9">
        <v>2</v>
      </c>
      <c r="AF270" s="9">
        <v>1</v>
      </c>
      <c r="AG270" s="9">
        <v>0</v>
      </c>
      <c r="AH270" s="9">
        <v>1</v>
      </c>
      <c r="AI270" s="9">
        <v>1</v>
      </c>
      <c r="AJ270" s="12">
        <v>43000</v>
      </c>
      <c r="AK270" s="9">
        <v>2</v>
      </c>
      <c r="AL270" s="12">
        <v>43088</v>
      </c>
      <c r="AM270" s="9">
        <v>4</v>
      </c>
      <c r="AN270" s="12">
        <v>43117</v>
      </c>
      <c r="AO270" s="12">
        <v>43117</v>
      </c>
      <c r="AP270" s="12">
        <v>43117</v>
      </c>
      <c r="AQ270" s="9">
        <v>1</v>
      </c>
      <c r="AR270" s="9">
        <f t="shared" si="99"/>
        <v>1</v>
      </c>
      <c r="AS270" s="9">
        <v>1</v>
      </c>
      <c r="AT270" s="9">
        <v>2</v>
      </c>
      <c r="AU270" s="9">
        <v>2</v>
      </c>
      <c r="AV270" s="9">
        <f t="shared" si="100"/>
        <v>1</v>
      </c>
      <c r="AW270" s="12">
        <v>43215</v>
      </c>
      <c r="AX270" s="9">
        <v>7100</v>
      </c>
      <c r="AY270" s="9">
        <v>4400</v>
      </c>
      <c r="AZ270" s="9">
        <v>1600</v>
      </c>
      <c r="BA270" s="9">
        <v>4400</v>
      </c>
      <c r="BB270" s="9">
        <v>1600.0001220703125</v>
      </c>
      <c r="BC270" s="9">
        <v>252000</v>
      </c>
      <c r="BD270" s="9">
        <v>900</v>
      </c>
      <c r="BE270" s="9">
        <v>100</v>
      </c>
      <c r="BF270" s="9"/>
      <c r="BG270" s="9">
        <v>7380</v>
      </c>
      <c r="BH270" s="9">
        <v>4700</v>
      </c>
      <c r="BI270" s="9">
        <v>1600</v>
      </c>
      <c r="BJ270" s="9">
        <v>240000</v>
      </c>
      <c r="BK270" s="9">
        <v>900</v>
      </c>
      <c r="BL270" s="9">
        <v>200</v>
      </c>
      <c r="BM270" s="9"/>
      <c r="BN270" s="9">
        <v>6560</v>
      </c>
      <c r="BO270" s="9">
        <v>3300</v>
      </c>
      <c r="BP270" s="9">
        <v>1800</v>
      </c>
      <c r="BQ270" s="9">
        <v>210000</v>
      </c>
      <c r="BR270" s="9">
        <v>1100</v>
      </c>
      <c r="BS270" s="9">
        <v>300</v>
      </c>
      <c r="BT270" s="9"/>
      <c r="BU270" s="9">
        <v>11210</v>
      </c>
      <c r="BV270" s="9">
        <v>7200</v>
      </c>
      <c r="BW270" s="9">
        <v>200</v>
      </c>
      <c r="BX270" s="9">
        <v>186000</v>
      </c>
      <c r="BY270" s="9">
        <v>1800</v>
      </c>
      <c r="BZ270" s="10" t="s">
        <v>524</v>
      </c>
      <c r="CA270" s="9">
        <v>200</v>
      </c>
      <c r="CB270" s="9"/>
      <c r="CC270" s="10">
        <f t="shared" si="101"/>
        <v>2.7499997901916662</v>
      </c>
      <c r="CD270" s="10">
        <f t="shared" si="102"/>
        <v>157.49998798370453</v>
      </c>
      <c r="CE270" s="10">
        <f t="shared" si="111"/>
        <v>692999.94712829986</v>
      </c>
      <c r="CF270" s="10">
        <f t="shared" si="95"/>
        <v>0</v>
      </c>
      <c r="CG270" s="10">
        <f t="shared" si="96"/>
        <v>0</v>
      </c>
      <c r="CH270" s="10">
        <f t="shared" si="97"/>
        <v>3</v>
      </c>
      <c r="CI270" s="9">
        <f t="shared" si="103"/>
        <v>1</v>
      </c>
      <c r="CJ270" s="10">
        <f t="shared" si="98"/>
        <v>7</v>
      </c>
      <c r="CK270" s="10" t="b">
        <f t="shared" si="104"/>
        <v>1</v>
      </c>
      <c r="CL270" s="10" t="b">
        <f t="shared" si="105"/>
        <v>0</v>
      </c>
      <c r="CM270" s="10" t="b">
        <f t="shared" si="106"/>
        <v>0</v>
      </c>
      <c r="CN270" s="9">
        <f t="shared" si="107"/>
        <v>1</v>
      </c>
      <c r="CO270" s="10">
        <f t="shared" si="112"/>
        <v>4</v>
      </c>
      <c r="CP270" s="10" t="b">
        <f t="shared" si="108"/>
        <v>1</v>
      </c>
      <c r="CQ270" s="10" t="b">
        <f t="shared" si="109"/>
        <v>0</v>
      </c>
      <c r="CR270" s="10" cm="1">
        <f t="array" ref="CR270">_xlfn.IFS(AND($CI270=0, CK270=FALSE), NA(), AND($CI270=1, CK270=FALSE), 0, CK270=TRUE, 1)</f>
        <v>1</v>
      </c>
      <c r="CS270" s="10" cm="1">
        <f t="array" ref="CS270">_xlfn.IFS(AND($CI270=0, CL270=FALSE), NA(), AND($CI270=1, CL270=FALSE), 0, CL270=TRUE, 1)</f>
        <v>0</v>
      </c>
      <c r="CT270" s="10" cm="1">
        <f t="array" ref="CT270">_xlfn.IFS(AND($CI270=0, CM270=FALSE), NA(), AND($CI270=1, CM270=FALSE), 0, CM270=TRUE, 1)</f>
        <v>0</v>
      </c>
      <c r="CU270" s="10" cm="1">
        <f t="array" ref="CU270">_xlfn.IFS(AND($CN270=0, CP270=FALSE), NA(), AND($CN270=1, CP270=FALSE), 0, CP270=TRUE, 1)</f>
        <v>1</v>
      </c>
      <c r="CV270" s="10" cm="1">
        <f t="array" ref="CV270">_xlfn.IFS(AND($CN270=0, CQ270=FALSE), NA(), AND($CN270=1, CQ270=FALSE), 0, CQ270=TRUE, 1)</f>
        <v>0</v>
      </c>
    </row>
    <row r="271" spans="1:100" ht="15.75" x14ac:dyDescent="0.25">
      <c r="A271" s="8">
        <v>270</v>
      </c>
      <c r="B271" s="9">
        <v>164</v>
      </c>
      <c r="C271" s="10" t="s">
        <v>15</v>
      </c>
      <c r="D271" s="11" t="s">
        <v>159</v>
      </c>
      <c r="E271" s="12">
        <v>19790</v>
      </c>
      <c r="F271" s="13">
        <v>1</v>
      </c>
      <c r="G271" s="9">
        <v>59.945243835449219</v>
      </c>
      <c r="H271" s="12">
        <v>41685</v>
      </c>
      <c r="I271" s="9">
        <v>1</v>
      </c>
      <c r="J271" s="12">
        <v>41701</v>
      </c>
      <c r="K271" s="9">
        <v>0</v>
      </c>
      <c r="L271" s="9">
        <v>1</v>
      </c>
      <c r="M271" s="10" t="s">
        <v>401</v>
      </c>
      <c r="N271" s="9"/>
      <c r="O271" s="10" t="s">
        <v>401</v>
      </c>
      <c r="P271" s="9"/>
      <c r="Q271" s="10" t="s">
        <v>401</v>
      </c>
      <c r="R271" s="12">
        <v>42656</v>
      </c>
      <c r="S271" s="10" t="s">
        <v>146</v>
      </c>
      <c r="T271" s="9"/>
      <c r="U271" s="10" t="s">
        <v>401</v>
      </c>
      <c r="V271" s="10" t="s">
        <v>401</v>
      </c>
      <c r="W271" s="9"/>
      <c r="X271" s="9"/>
      <c r="Y271" s="9">
        <v>2</v>
      </c>
      <c r="Z271" s="14">
        <v>2</v>
      </c>
      <c r="AA271" s="17">
        <v>14.3</v>
      </c>
      <c r="AB271" s="18">
        <v>90</v>
      </c>
      <c r="AC271" s="18">
        <v>12</v>
      </c>
      <c r="AD271" s="9">
        <v>1</v>
      </c>
      <c r="AE271" s="9">
        <v>1</v>
      </c>
      <c r="AF271" s="9">
        <v>1</v>
      </c>
      <c r="AG271" s="9">
        <v>0</v>
      </c>
      <c r="AH271" s="9">
        <v>1</v>
      </c>
      <c r="AI271" s="9">
        <v>0</v>
      </c>
      <c r="AJ271" s="12">
        <v>43167</v>
      </c>
      <c r="AK271" s="9">
        <v>2</v>
      </c>
      <c r="AL271" s="12">
        <v>44847</v>
      </c>
      <c r="AM271" s="9">
        <v>1</v>
      </c>
      <c r="AN271" s="12">
        <v>43433</v>
      </c>
      <c r="AO271" s="12">
        <v>44789</v>
      </c>
      <c r="AP271" s="12">
        <v>44859</v>
      </c>
      <c r="AQ271" s="9">
        <v>1</v>
      </c>
      <c r="AR271" s="9">
        <f t="shared" si="99"/>
        <v>1</v>
      </c>
      <c r="AS271" s="9">
        <v>1</v>
      </c>
      <c r="AT271" s="9">
        <v>1</v>
      </c>
      <c r="AU271" s="9">
        <v>1</v>
      </c>
      <c r="AV271" s="9">
        <f t="shared" si="100"/>
        <v>0</v>
      </c>
      <c r="AW271" s="12">
        <v>44998</v>
      </c>
      <c r="AX271" s="9">
        <v>7820</v>
      </c>
      <c r="AY271" s="9">
        <v>5040</v>
      </c>
      <c r="AZ271" s="9">
        <v>1980</v>
      </c>
      <c r="BA271" s="9">
        <v>5040</v>
      </c>
      <c r="BB271" s="9">
        <v>1980.000244140625</v>
      </c>
      <c r="BC271" s="9">
        <v>336000</v>
      </c>
      <c r="BD271" s="9">
        <v>530</v>
      </c>
      <c r="BE271" s="9">
        <v>70</v>
      </c>
      <c r="BF271" s="9">
        <v>159</v>
      </c>
      <c r="BG271" s="9">
        <v>8610</v>
      </c>
      <c r="BH271" s="9">
        <v>4800</v>
      </c>
      <c r="BI271" s="9"/>
      <c r="BJ271" s="9">
        <v>408000</v>
      </c>
      <c r="BK271" s="9"/>
      <c r="BL271" s="9"/>
      <c r="BM271" s="9">
        <v>163</v>
      </c>
      <c r="BN271" s="9">
        <v>6620</v>
      </c>
      <c r="BO271" s="9">
        <v>3200</v>
      </c>
      <c r="BP271" s="9"/>
      <c r="BQ271" s="9">
        <v>346000</v>
      </c>
      <c r="BR271" s="9"/>
      <c r="BS271" s="9"/>
      <c r="BT271" s="9">
        <v>163</v>
      </c>
      <c r="BU271" s="9">
        <v>7080</v>
      </c>
      <c r="BV271" s="9">
        <v>3600</v>
      </c>
      <c r="BW271" s="9"/>
      <c r="BX271" s="9">
        <v>322000</v>
      </c>
      <c r="BY271" s="9"/>
      <c r="BZ271" s="10" t="s">
        <v>401</v>
      </c>
      <c r="CA271" s="9"/>
      <c r="CB271" s="9"/>
      <c r="CC271" s="10">
        <f t="shared" si="101"/>
        <v>2.5454542315915218</v>
      </c>
      <c r="CD271" s="10">
        <f t="shared" si="102"/>
        <v>169.69694877276811</v>
      </c>
      <c r="CE271" s="10">
        <f t="shared" si="111"/>
        <v>855272.6218147513</v>
      </c>
      <c r="CF271" s="10">
        <f t="shared" si="95"/>
        <v>1</v>
      </c>
      <c r="CG271" s="10">
        <f t="shared" si="96"/>
        <v>1</v>
      </c>
      <c r="CH271" s="10">
        <f t="shared" si="97"/>
        <v>55</v>
      </c>
      <c r="CI271" s="9">
        <f t="shared" si="103"/>
        <v>0</v>
      </c>
      <c r="CJ271" s="10">
        <f t="shared" si="98"/>
        <v>60</v>
      </c>
      <c r="CK271" s="10" t="b">
        <f t="shared" si="104"/>
        <v>1</v>
      </c>
      <c r="CL271" s="10" t="b">
        <f t="shared" si="105"/>
        <v>1</v>
      </c>
      <c r="CM271" s="10" t="b">
        <f t="shared" si="106"/>
        <v>1</v>
      </c>
      <c r="CN271" s="9">
        <f t="shared" si="107"/>
        <v>1</v>
      </c>
      <c r="CO271" s="10">
        <f t="shared" si="112"/>
        <v>53</v>
      </c>
      <c r="CP271" s="10" t="b">
        <f t="shared" si="108"/>
        <v>1</v>
      </c>
      <c r="CQ271" s="10" t="b">
        <f t="shared" si="109"/>
        <v>1</v>
      </c>
      <c r="CR271" s="10" cm="1">
        <f t="array" ref="CR271">_xlfn.IFS(AND($CI271=0, CK271=FALSE), NA(), AND($CI271=1, CK271=FALSE), 0, CK271=TRUE, 1)</f>
        <v>1</v>
      </c>
      <c r="CS271" s="10" cm="1">
        <f t="array" ref="CS271">_xlfn.IFS(AND($CI271=0, CL271=FALSE), NA(), AND($CI271=1, CL271=FALSE), 0, CL271=TRUE, 1)</f>
        <v>1</v>
      </c>
      <c r="CT271" s="10" cm="1">
        <f t="array" ref="CT271">_xlfn.IFS(AND($CI271=0, CM271=FALSE), NA(), AND($CI271=1, CM271=FALSE), 0, CM271=TRUE, 1)</f>
        <v>1</v>
      </c>
      <c r="CU271" s="10" cm="1">
        <f t="array" ref="CU271">_xlfn.IFS(AND($CN271=0, CP271=FALSE), NA(), AND($CN271=1, CP271=FALSE), 0, CP271=TRUE, 1)</f>
        <v>1</v>
      </c>
      <c r="CV271" s="10" cm="1">
        <f t="array" ref="CV271">_xlfn.IFS(AND($CN271=0, CQ271=FALSE), NA(), AND($CN271=1, CQ271=FALSE), 0, CQ271=TRUE, 1)</f>
        <v>1</v>
      </c>
    </row>
    <row r="272" spans="1:100" ht="15.75" x14ac:dyDescent="0.25">
      <c r="A272" s="8">
        <v>271</v>
      </c>
      <c r="B272" s="9">
        <v>436</v>
      </c>
      <c r="C272" s="10" t="s">
        <v>29</v>
      </c>
      <c r="D272" s="11" t="s">
        <v>152</v>
      </c>
      <c r="E272" s="12">
        <v>16259</v>
      </c>
      <c r="F272" s="13">
        <v>1</v>
      </c>
      <c r="G272" s="9">
        <v>69.631759643554688</v>
      </c>
      <c r="H272" s="12">
        <v>41692</v>
      </c>
      <c r="I272" s="9">
        <v>1</v>
      </c>
      <c r="J272" s="12">
        <v>41671</v>
      </c>
      <c r="K272" s="9">
        <v>0</v>
      </c>
      <c r="L272" s="9">
        <v>4</v>
      </c>
      <c r="M272" s="10" t="s">
        <v>404</v>
      </c>
      <c r="N272" s="9">
        <v>1</v>
      </c>
      <c r="O272" s="10" t="s">
        <v>401</v>
      </c>
      <c r="P272" s="9">
        <v>1</v>
      </c>
      <c r="Q272" s="10" t="s">
        <v>401</v>
      </c>
      <c r="R272" s="12">
        <v>42635</v>
      </c>
      <c r="S272" s="10" t="s">
        <v>146</v>
      </c>
      <c r="T272" s="9"/>
      <c r="U272" s="10" t="s">
        <v>401</v>
      </c>
      <c r="V272" s="10" t="s">
        <v>401</v>
      </c>
      <c r="W272" s="9"/>
      <c r="X272" s="9"/>
      <c r="Y272" s="9">
        <v>2</v>
      </c>
      <c r="Z272" s="14">
        <v>2</v>
      </c>
      <c r="AA272" s="17">
        <v>10.5</v>
      </c>
      <c r="AB272" s="18">
        <v>105</v>
      </c>
      <c r="AC272" s="18">
        <v>15</v>
      </c>
      <c r="AD272" s="9">
        <v>2</v>
      </c>
      <c r="AE272" s="9">
        <v>2</v>
      </c>
      <c r="AF272" s="9">
        <v>1</v>
      </c>
      <c r="AG272" s="9">
        <v>0</v>
      </c>
      <c r="AH272" s="9">
        <v>1</v>
      </c>
      <c r="AI272" s="9">
        <v>0</v>
      </c>
      <c r="AJ272" s="12">
        <v>42878</v>
      </c>
      <c r="AK272" s="9">
        <v>2</v>
      </c>
      <c r="AL272" s="12">
        <v>42963</v>
      </c>
      <c r="AM272" s="9">
        <v>4</v>
      </c>
      <c r="AN272" s="12">
        <v>42976</v>
      </c>
      <c r="AO272" s="12">
        <v>42976</v>
      </c>
      <c r="AP272" s="12">
        <v>42976</v>
      </c>
      <c r="AQ272" s="9">
        <v>1</v>
      </c>
      <c r="AR272" s="9">
        <f t="shared" si="99"/>
        <v>1</v>
      </c>
      <c r="AS272" s="9">
        <v>1</v>
      </c>
      <c r="AT272" s="9">
        <v>2</v>
      </c>
      <c r="AU272" s="9">
        <v>2</v>
      </c>
      <c r="AV272" s="9">
        <f t="shared" si="100"/>
        <v>1</v>
      </c>
      <c r="AW272" s="12">
        <v>43003</v>
      </c>
      <c r="AX272" s="9">
        <v>5090</v>
      </c>
      <c r="AY272" s="9">
        <v>3220</v>
      </c>
      <c r="AZ272" s="9">
        <v>1100</v>
      </c>
      <c r="BA272" s="9">
        <v>3220</v>
      </c>
      <c r="BB272" s="9">
        <v>1100.0001220703125</v>
      </c>
      <c r="BC272" s="9">
        <v>205000</v>
      </c>
      <c r="BD272" s="9">
        <v>710</v>
      </c>
      <c r="BE272" s="9">
        <v>50</v>
      </c>
      <c r="BF272" s="9"/>
      <c r="BG272" s="9">
        <v>6840</v>
      </c>
      <c r="BH272" s="9">
        <v>4830</v>
      </c>
      <c r="BI272" s="9">
        <v>1160</v>
      </c>
      <c r="BJ272" s="9">
        <v>297000</v>
      </c>
      <c r="BK272" s="9">
        <v>77</v>
      </c>
      <c r="BL272" s="9">
        <v>80</v>
      </c>
      <c r="BM272" s="9"/>
      <c r="BN272" s="9">
        <v>6820</v>
      </c>
      <c r="BO272" s="9">
        <v>4020</v>
      </c>
      <c r="BP272" s="9">
        <v>1900</v>
      </c>
      <c r="BQ272" s="9">
        <v>353000</v>
      </c>
      <c r="BR272" s="9">
        <v>820</v>
      </c>
      <c r="BS272" s="9">
        <v>60</v>
      </c>
      <c r="BT272" s="9"/>
      <c r="BU272" s="9">
        <v>5820</v>
      </c>
      <c r="BV272" s="9">
        <v>3650</v>
      </c>
      <c r="BW272" s="9">
        <v>1540</v>
      </c>
      <c r="BX272" s="9">
        <v>354000</v>
      </c>
      <c r="BY272" s="9">
        <v>560</v>
      </c>
      <c r="BZ272" s="10" t="s">
        <v>544</v>
      </c>
      <c r="CA272" s="9">
        <v>60</v>
      </c>
      <c r="CB272" s="9"/>
      <c r="CC272" s="10">
        <f t="shared" si="101"/>
        <v>2.9272724024244936</v>
      </c>
      <c r="CD272" s="10">
        <f t="shared" si="102"/>
        <v>186.36361568230473</v>
      </c>
      <c r="CE272" s="10">
        <f t="shared" si="111"/>
        <v>600090.84249702119</v>
      </c>
      <c r="CF272" s="10">
        <f t="shared" si="95"/>
        <v>0</v>
      </c>
      <c r="CG272" s="10">
        <f t="shared" si="96"/>
        <v>0</v>
      </c>
      <c r="CH272" s="10">
        <f t="shared" si="97"/>
        <v>3</v>
      </c>
      <c r="CI272" s="9">
        <f t="shared" si="103"/>
        <v>1</v>
      </c>
      <c r="CJ272" s="10">
        <f t="shared" si="98"/>
        <v>4</v>
      </c>
      <c r="CK272" s="10" t="b">
        <f t="shared" si="104"/>
        <v>0</v>
      </c>
      <c r="CL272" s="10" t="b">
        <f t="shared" si="105"/>
        <v>0</v>
      </c>
      <c r="CM272" s="10" t="b">
        <f t="shared" si="106"/>
        <v>0</v>
      </c>
      <c r="CN272" s="9">
        <f t="shared" si="107"/>
        <v>1</v>
      </c>
      <c r="CO272" s="10">
        <f t="shared" si="112"/>
        <v>3</v>
      </c>
      <c r="CP272" s="10" t="b">
        <f t="shared" si="108"/>
        <v>1</v>
      </c>
      <c r="CQ272" s="10" t="b">
        <f t="shared" si="109"/>
        <v>0</v>
      </c>
      <c r="CR272" s="10" cm="1">
        <f t="array" ref="CR272">_xlfn.IFS(AND($CI272=0, CK272=FALSE), NA(), AND($CI272=1, CK272=FALSE), 0, CK272=TRUE, 1)</f>
        <v>0</v>
      </c>
      <c r="CS272" s="10" cm="1">
        <f t="array" ref="CS272">_xlfn.IFS(AND($CI272=0, CL272=FALSE), NA(), AND($CI272=1, CL272=FALSE), 0, CL272=TRUE, 1)</f>
        <v>0</v>
      </c>
      <c r="CT272" s="10" cm="1">
        <f t="array" ref="CT272">_xlfn.IFS(AND($CI272=0, CM272=FALSE), NA(), AND($CI272=1, CM272=FALSE), 0, CM272=TRUE, 1)</f>
        <v>0</v>
      </c>
      <c r="CU272" s="10" cm="1">
        <f t="array" ref="CU272">_xlfn.IFS(AND($CN272=0, CP272=FALSE), NA(), AND($CN272=1, CP272=FALSE), 0, CP272=TRUE, 1)</f>
        <v>1</v>
      </c>
      <c r="CV272" s="10" cm="1">
        <f t="array" ref="CV272">_xlfn.IFS(AND($CN272=0, CQ272=FALSE), NA(), AND($CN272=1, CQ272=FALSE), 0, CQ272=TRUE, 1)</f>
        <v>0</v>
      </c>
    </row>
    <row r="273" spans="1:100" ht="15.75" x14ac:dyDescent="0.25">
      <c r="A273" s="8">
        <v>272</v>
      </c>
      <c r="B273" s="9">
        <v>557</v>
      </c>
      <c r="C273" s="10" t="s">
        <v>35</v>
      </c>
      <c r="D273" s="11" t="s">
        <v>45</v>
      </c>
      <c r="E273" s="12">
        <v>18310</v>
      </c>
      <c r="F273" s="13">
        <v>1</v>
      </c>
      <c r="G273" s="9">
        <v>64.035591125488281</v>
      </c>
      <c r="H273" s="12">
        <v>41699</v>
      </c>
      <c r="I273" s="9">
        <v>1</v>
      </c>
      <c r="J273" s="12">
        <v>41699</v>
      </c>
      <c r="K273" s="9">
        <v>1</v>
      </c>
      <c r="L273" s="9">
        <v>1</v>
      </c>
      <c r="M273" s="10" t="s">
        <v>401</v>
      </c>
      <c r="N273" s="9"/>
      <c r="O273" s="10" t="s">
        <v>401</v>
      </c>
      <c r="P273" s="9"/>
      <c r="Q273" s="10" t="s">
        <v>401</v>
      </c>
      <c r="R273" s="12">
        <v>41760</v>
      </c>
      <c r="S273" s="10" t="s">
        <v>145</v>
      </c>
      <c r="T273" s="9">
        <v>5</v>
      </c>
      <c r="U273" s="10" t="s">
        <v>401</v>
      </c>
      <c r="V273" s="10" t="s">
        <v>401</v>
      </c>
      <c r="W273" s="9"/>
      <c r="X273" s="9"/>
      <c r="Y273" s="9">
        <v>3</v>
      </c>
      <c r="Z273" s="14">
        <v>1</v>
      </c>
      <c r="AA273" s="17">
        <v>11.3</v>
      </c>
      <c r="AB273" s="18">
        <v>96</v>
      </c>
      <c r="AC273" s="9"/>
      <c r="AD273" s="9">
        <v>2</v>
      </c>
      <c r="AE273" s="9">
        <v>2</v>
      </c>
      <c r="AF273" s="9">
        <v>1</v>
      </c>
      <c r="AG273" s="9">
        <v>0</v>
      </c>
      <c r="AH273" s="9">
        <v>1</v>
      </c>
      <c r="AI273" s="9">
        <v>0</v>
      </c>
      <c r="AJ273" s="12">
        <v>43066</v>
      </c>
      <c r="AK273" s="9">
        <v>2</v>
      </c>
      <c r="AL273" s="12">
        <v>43354</v>
      </c>
      <c r="AM273" s="9">
        <v>4</v>
      </c>
      <c r="AN273" s="12">
        <v>43172</v>
      </c>
      <c r="AO273" s="12">
        <v>43172</v>
      </c>
      <c r="AP273" s="12">
        <v>43361</v>
      </c>
      <c r="AQ273" s="9">
        <v>1</v>
      </c>
      <c r="AR273" s="9">
        <f t="shared" si="99"/>
        <v>1</v>
      </c>
      <c r="AS273" s="9">
        <v>1</v>
      </c>
      <c r="AT273" s="9">
        <v>1</v>
      </c>
      <c r="AU273" s="9">
        <v>1</v>
      </c>
      <c r="AV273" s="9">
        <f t="shared" si="100"/>
        <v>0</v>
      </c>
      <c r="AW273" s="12">
        <v>44950</v>
      </c>
      <c r="AX273" s="9">
        <v>6700</v>
      </c>
      <c r="AY273" s="9">
        <v>3840</v>
      </c>
      <c r="AZ273" s="9">
        <v>1790</v>
      </c>
      <c r="BA273" s="9">
        <v>3840</v>
      </c>
      <c r="BB273" s="9">
        <v>1789.9996337890625</v>
      </c>
      <c r="BC273" s="9">
        <v>300000</v>
      </c>
      <c r="BD273" s="9">
        <v>640</v>
      </c>
      <c r="BE273" s="9">
        <v>360</v>
      </c>
      <c r="BF273" s="9">
        <v>162</v>
      </c>
      <c r="BG273" s="9">
        <v>6300</v>
      </c>
      <c r="BH273" s="9">
        <v>3370</v>
      </c>
      <c r="BI273" s="9">
        <v>1800</v>
      </c>
      <c r="BJ273" s="9">
        <v>367000</v>
      </c>
      <c r="BK273" s="9">
        <v>720</v>
      </c>
      <c r="BL273" s="9">
        <v>340</v>
      </c>
      <c r="BM273" s="9"/>
      <c r="BN273" s="9">
        <v>8100</v>
      </c>
      <c r="BO273" s="9">
        <v>4930</v>
      </c>
      <c r="BP273" s="9">
        <v>1810</v>
      </c>
      <c r="BQ273" s="9">
        <v>287000</v>
      </c>
      <c r="BR273" s="9">
        <v>900</v>
      </c>
      <c r="BS273" s="9">
        <v>450</v>
      </c>
      <c r="BT273" s="9"/>
      <c r="BU273" s="9">
        <v>10200</v>
      </c>
      <c r="BV273" s="9">
        <v>6480</v>
      </c>
      <c r="BW273" s="9">
        <v>1810</v>
      </c>
      <c r="BX273" s="9">
        <v>365000</v>
      </c>
      <c r="BY273" s="9">
        <v>1490</v>
      </c>
      <c r="BZ273" s="10" t="s">
        <v>543</v>
      </c>
      <c r="CA273" s="9">
        <v>400</v>
      </c>
      <c r="CB273" s="9"/>
      <c r="CC273" s="10">
        <f t="shared" si="101"/>
        <v>2.1452518355389305</v>
      </c>
      <c r="CD273" s="10">
        <f t="shared" si="102"/>
        <v>167.59779965147897</v>
      </c>
      <c r="CE273" s="10">
        <f t="shared" si="111"/>
        <v>643575.55066167912</v>
      </c>
      <c r="CF273" s="10">
        <f t="shared" si="95"/>
        <v>0</v>
      </c>
      <c r="CG273" s="10">
        <f t="shared" si="96"/>
        <v>0</v>
      </c>
      <c r="CH273" s="10">
        <f t="shared" si="97"/>
        <v>10</v>
      </c>
      <c r="CI273" s="9">
        <f t="shared" si="103"/>
        <v>0</v>
      </c>
      <c r="CJ273" s="10">
        <f t="shared" si="98"/>
        <v>62</v>
      </c>
      <c r="CK273" s="10" t="b">
        <f t="shared" si="104"/>
        <v>1</v>
      </c>
      <c r="CL273" s="10" t="b">
        <f t="shared" si="105"/>
        <v>1</v>
      </c>
      <c r="CM273" s="10" t="b">
        <f t="shared" si="106"/>
        <v>1</v>
      </c>
      <c r="CN273" s="9">
        <f t="shared" si="107"/>
        <v>1</v>
      </c>
      <c r="CO273" s="10">
        <f t="shared" si="112"/>
        <v>4</v>
      </c>
      <c r="CP273" s="10" t="b">
        <f t="shared" si="108"/>
        <v>1</v>
      </c>
      <c r="CQ273" s="10" t="b">
        <f t="shared" si="109"/>
        <v>0</v>
      </c>
      <c r="CR273" s="10" cm="1">
        <f t="array" ref="CR273">_xlfn.IFS(AND($CI273=0, CK273=FALSE), NA(), AND($CI273=1, CK273=FALSE), 0, CK273=TRUE, 1)</f>
        <v>1</v>
      </c>
      <c r="CS273" s="10" cm="1">
        <f t="array" ref="CS273">_xlfn.IFS(AND($CI273=0, CL273=FALSE), NA(), AND($CI273=1, CL273=FALSE), 0, CL273=TRUE, 1)</f>
        <v>1</v>
      </c>
      <c r="CT273" s="10" cm="1">
        <f t="array" ref="CT273">_xlfn.IFS(AND($CI273=0, CM273=FALSE), NA(), AND($CI273=1, CM273=FALSE), 0, CM273=TRUE, 1)</f>
        <v>1</v>
      </c>
      <c r="CU273" s="10" cm="1">
        <f t="array" ref="CU273">_xlfn.IFS(AND($CN273=0, CP273=FALSE), NA(), AND($CN273=1, CP273=FALSE), 0, CP273=TRUE, 1)</f>
        <v>1</v>
      </c>
      <c r="CV273" s="10" cm="1">
        <f t="array" ref="CV273">_xlfn.IFS(AND($CN273=0, CQ273=FALSE), NA(), AND($CN273=1, CQ273=FALSE), 0, CQ273=TRUE, 1)</f>
        <v>0</v>
      </c>
    </row>
    <row r="274" spans="1:100" ht="15.75" x14ac:dyDescent="0.25">
      <c r="A274" s="8">
        <v>273</v>
      </c>
      <c r="B274" s="9">
        <v>299</v>
      </c>
      <c r="C274" s="10" t="s">
        <v>23</v>
      </c>
      <c r="D274" s="11" t="s">
        <v>257</v>
      </c>
      <c r="E274" s="12">
        <v>14682</v>
      </c>
      <c r="F274" s="13">
        <v>1</v>
      </c>
      <c r="G274" s="9">
        <v>73.968513488769531</v>
      </c>
      <c r="H274" s="12">
        <v>41699</v>
      </c>
      <c r="I274" s="9">
        <v>1</v>
      </c>
      <c r="J274" s="12">
        <v>41699</v>
      </c>
      <c r="K274" s="9">
        <v>0</v>
      </c>
      <c r="L274" s="9">
        <v>4</v>
      </c>
      <c r="M274" s="10" t="s">
        <v>404</v>
      </c>
      <c r="N274" s="9">
        <v>1</v>
      </c>
      <c r="O274" s="10" t="s">
        <v>401</v>
      </c>
      <c r="P274" s="9">
        <v>1</v>
      </c>
      <c r="Q274" s="10" t="s">
        <v>401</v>
      </c>
      <c r="R274" s="12">
        <v>43348</v>
      </c>
      <c r="S274" s="10" t="s">
        <v>145</v>
      </c>
      <c r="T274" s="9"/>
      <c r="U274" s="10" t="s">
        <v>401</v>
      </c>
      <c r="V274" s="10" t="s">
        <v>401</v>
      </c>
      <c r="W274" s="9"/>
      <c r="X274" s="9"/>
      <c r="Y274" s="9">
        <v>2</v>
      </c>
      <c r="Z274" s="14">
        <v>1</v>
      </c>
      <c r="AA274" s="38">
        <v>11.7</v>
      </c>
      <c r="AB274" s="39">
        <v>107</v>
      </c>
      <c r="AC274" s="39">
        <v>13</v>
      </c>
      <c r="AD274" s="9">
        <v>2</v>
      </c>
      <c r="AE274" s="9">
        <v>2</v>
      </c>
      <c r="AF274" s="9">
        <v>1</v>
      </c>
      <c r="AG274" s="9">
        <v>0</v>
      </c>
      <c r="AH274" s="9">
        <v>1</v>
      </c>
      <c r="AI274" s="9">
        <v>0</v>
      </c>
      <c r="AJ274" s="12">
        <v>43734</v>
      </c>
      <c r="AK274" s="9">
        <v>2</v>
      </c>
      <c r="AL274" s="12">
        <v>44868</v>
      </c>
      <c r="AM274" s="9">
        <v>2</v>
      </c>
      <c r="AN274" s="12">
        <v>43838</v>
      </c>
      <c r="AO274" s="12">
        <v>44700</v>
      </c>
      <c r="AP274" s="12"/>
      <c r="AQ274" s="9">
        <v>1</v>
      </c>
      <c r="AR274" s="9">
        <f t="shared" si="99"/>
        <v>1</v>
      </c>
      <c r="AS274" s="9">
        <v>2</v>
      </c>
      <c r="AT274" s="9">
        <v>1</v>
      </c>
      <c r="AU274" s="9">
        <v>1</v>
      </c>
      <c r="AV274" s="9">
        <f t="shared" si="100"/>
        <v>0</v>
      </c>
      <c r="AW274" s="12">
        <v>44959</v>
      </c>
      <c r="AX274" s="9">
        <v>9670</v>
      </c>
      <c r="AY274" s="9">
        <v>6200</v>
      </c>
      <c r="AZ274" s="9">
        <v>2000</v>
      </c>
      <c r="BA274" s="9">
        <v>6200</v>
      </c>
      <c r="BB274" s="9">
        <v>2000.000244140625</v>
      </c>
      <c r="BC274" s="9">
        <v>508000</v>
      </c>
      <c r="BD274" s="9">
        <v>600</v>
      </c>
      <c r="BE274" s="9">
        <v>600</v>
      </c>
      <c r="BF274" s="9">
        <v>231</v>
      </c>
      <c r="BG274" s="9">
        <v>8320</v>
      </c>
      <c r="BH274" s="9">
        <v>6200</v>
      </c>
      <c r="BI274" s="9">
        <v>1200</v>
      </c>
      <c r="BJ274" s="9">
        <v>418000</v>
      </c>
      <c r="BK274" s="9">
        <v>400</v>
      </c>
      <c r="BL274" s="9">
        <v>300</v>
      </c>
      <c r="BM274" s="9">
        <v>576</v>
      </c>
      <c r="BN274" s="9">
        <v>12850</v>
      </c>
      <c r="BO274" s="9">
        <v>10200</v>
      </c>
      <c r="BP274" s="9">
        <v>1200</v>
      </c>
      <c r="BQ274" s="9">
        <v>354000</v>
      </c>
      <c r="BR274" s="9">
        <v>800</v>
      </c>
      <c r="BS274" s="9">
        <v>400</v>
      </c>
      <c r="BT274" s="9">
        <v>842</v>
      </c>
      <c r="BU274" s="9">
        <v>11490</v>
      </c>
      <c r="BV274" s="9">
        <v>8230</v>
      </c>
      <c r="BW274" s="9">
        <v>1530</v>
      </c>
      <c r="BX274" s="9">
        <v>486000</v>
      </c>
      <c r="BY274" s="9">
        <v>890</v>
      </c>
      <c r="BZ274" s="10" t="s">
        <v>573</v>
      </c>
      <c r="CA274" s="9">
        <v>470</v>
      </c>
      <c r="CB274" s="9">
        <v>831</v>
      </c>
      <c r="CC274" s="10">
        <f t="shared" si="101"/>
        <v>3.0999996215820773</v>
      </c>
      <c r="CD274" s="10">
        <f t="shared" si="102"/>
        <v>253.99996899414441</v>
      </c>
      <c r="CE274" s="10">
        <f t="shared" si="111"/>
        <v>1574799.8077636953</v>
      </c>
      <c r="CF274" s="10">
        <f t="shared" si="95"/>
        <v>1</v>
      </c>
      <c r="CG274" s="10">
        <f t="shared" si="96"/>
        <v>1</v>
      </c>
      <c r="CH274" s="10">
        <f t="shared" si="97"/>
        <v>38</v>
      </c>
      <c r="CI274" s="9">
        <f t="shared" si="103"/>
        <v>0</v>
      </c>
      <c r="CJ274" s="10">
        <f t="shared" si="98"/>
        <v>41</v>
      </c>
      <c r="CK274" s="10" t="b">
        <f t="shared" si="104"/>
        <v>1</v>
      </c>
      <c r="CL274" s="10" t="b">
        <f t="shared" si="105"/>
        <v>1</v>
      </c>
      <c r="CM274" s="10" t="b">
        <f t="shared" si="106"/>
        <v>1</v>
      </c>
      <c r="CN274" s="9">
        <f t="shared" si="107"/>
        <v>1</v>
      </c>
      <c r="CO274" s="10">
        <f t="shared" si="112"/>
        <v>32</v>
      </c>
      <c r="CP274" s="10" t="b">
        <f t="shared" si="108"/>
        <v>1</v>
      </c>
      <c r="CQ274" s="10" t="b">
        <f t="shared" si="109"/>
        <v>1</v>
      </c>
      <c r="CR274" s="10" cm="1">
        <f t="array" ref="CR274">_xlfn.IFS(AND($CI274=0, CK274=FALSE), NA(), AND($CI274=1, CK274=FALSE), 0, CK274=TRUE, 1)</f>
        <v>1</v>
      </c>
      <c r="CS274" s="10" cm="1">
        <f t="array" ref="CS274">_xlfn.IFS(AND($CI274=0, CL274=FALSE), NA(), AND($CI274=1, CL274=FALSE), 0, CL274=TRUE, 1)</f>
        <v>1</v>
      </c>
      <c r="CT274" s="10" cm="1">
        <f t="array" ref="CT274">_xlfn.IFS(AND($CI274=0, CM274=FALSE), NA(), AND($CI274=1, CM274=FALSE), 0, CM274=TRUE, 1)</f>
        <v>1</v>
      </c>
      <c r="CU274" s="10" cm="1">
        <f t="array" ref="CU274">_xlfn.IFS(AND($CN274=0, CP274=FALSE), NA(), AND($CN274=1, CP274=FALSE), 0, CP274=TRUE, 1)</f>
        <v>1</v>
      </c>
      <c r="CV274" s="10" cm="1">
        <f t="array" ref="CV274">_xlfn.IFS(AND($CN274=0, CQ274=FALSE), NA(), AND($CN274=1, CQ274=FALSE), 0, CQ274=TRUE, 1)</f>
        <v>1</v>
      </c>
    </row>
    <row r="275" spans="1:100" ht="15.75" x14ac:dyDescent="0.25">
      <c r="A275" s="8">
        <v>274</v>
      </c>
      <c r="B275" s="9">
        <v>273</v>
      </c>
      <c r="C275" s="10" t="s">
        <v>21</v>
      </c>
      <c r="D275" s="11" t="s">
        <v>44</v>
      </c>
      <c r="E275" s="12">
        <v>20699</v>
      </c>
      <c r="F275" s="13">
        <v>2</v>
      </c>
      <c r="G275" s="9">
        <v>57.511295318603516</v>
      </c>
      <c r="H275" s="12">
        <v>41705</v>
      </c>
      <c r="I275" s="9">
        <v>1</v>
      </c>
      <c r="J275" s="12">
        <v>41705</v>
      </c>
      <c r="K275" s="9">
        <v>0</v>
      </c>
      <c r="L275" s="9">
        <v>4</v>
      </c>
      <c r="M275" s="10" t="s">
        <v>405</v>
      </c>
      <c r="N275" s="9">
        <v>2</v>
      </c>
      <c r="O275" s="10" t="s">
        <v>147</v>
      </c>
      <c r="P275" s="9">
        <v>2</v>
      </c>
      <c r="Q275" s="10" t="s">
        <v>147</v>
      </c>
      <c r="R275" s="12">
        <v>42460</v>
      </c>
      <c r="S275" s="10" t="s">
        <v>145</v>
      </c>
      <c r="T275" s="9"/>
      <c r="U275" s="10" t="s">
        <v>401</v>
      </c>
      <c r="V275" s="10" t="s">
        <v>401</v>
      </c>
      <c r="W275" s="9"/>
      <c r="X275" s="9"/>
      <c r="Y275" s="9">
        <v>2</v>
      </c>
      <c r="Z275" s="14">
        <v>1</v>
      </c>
      <c r="AA275" s="15">
        <v>14.3</v>
      </c>
      <c r="AB275" s="16">
        <v>94</v>
      </c>
      <c r="AC275" s="16">
        <v>14</v>
      </c>
      <c r="AD275" s="9">
        <v>2</v>
      </c>
      <c r="AE275" s="9">
        <v>2</v>
      </c>
      <c r="AF275" s="9">
        <v>1</v>
      </c>
      <c r="AG275" s="9">
        <v>0</v>
      </c>
      <c r="AH275" s="9">
        <v>0</v>
      </c>
      <c r="AI275" s="9">
        <v>1</v>
      </c>
      <c r="AJ275" s="12">
        <v>42843</v>
      </c>
      <c r="AK275" s="9">
        <v>1</v>
      </c>
      <c r="AL275" s="12">
        <v>44922</v>
      </c>
      <c r="AM275" s="9">
        <v>3</v>
      </c>
      <c r="AN275" s="12">
        <v>43138</v>
      </c>
      <c r="AO275" s="12"/>
      <c r="AP275" s="12"/>
      <c r="AQ275" s="9">
        <v>2</v>
      </c>
      <c r="AR275" s="9">
        <f t="shared" si="99"/>
        <v>0</v>
      </c>
      <c r="AS275" s="9">
        <v>2</v>
      </c>
      <c r="AT275" s="9"/>
      <c r="AU275" s="9">
        <v>1</v>
      </c>
      <c r="AV275" s="9">
        <f t="shared" si="100"/>
        <v>0</v>
      </c>
      <c r="AW275" s="12">
        <v>44939</v>
      </c>
      <c r="AX275" s="9">
        <v>7600</v>
      </c>
      <c r="AY275" s="9">
        <v>6210</v>
      </c>
      <c r="AZ275" s="9">
        <v>470</v>
      </c>
      <c r="BA275" s="9">
        <v>6210</v>
      </c>
      <c r="BB275" s="9">
        <v>470.00006103515625</v>
      </c>
      <c r="BC275" s="9">
        <v>314000</v>
      </c>
      <c r="BD275" s="9">
        <v>740</v>
      </c>
      <c r="BE275" s="9">
        <v>160</v>
      </c>
      <c r="BF275" s="9"/>
      <c r="BG275" s="9">
        <v>4120</v>
      </c>
      <c r="BH275" s="9">
        <v>2310</v>
      </c>
      <c r="BI275" s="9">
        <v>940</v>
      </c>
      <c r="BJ275" s="9">
        <v>373000</v>
      </c>
      <c r="BK275" s="9">
        <v>610</v>
      </c>
      <c r="BL275" s="9">
        <v>200</v>
      </c>
      <c r="BM275" s="9"/>
      <c r="BN275" s="9">
        <v>3680</v>
      </c>
      <c r="BO275" s="9">
        <v>1870</v>
      </c>
      <c r="BP275" s="9">
        <v>990</v>
      </c>
      <c r="BQ275" s="9">
        <v>289000</v>
      </c>
      <c r="BR275" s="9">
        <v>580</v>
      </c>
      <c r="BS275" s="9">
        <v>200</v>
      </c>
      <c r="BT275" s="9"/>
      <c r="BU275" s="9">
        <v>4640</v>
      </c>
      <c r="BV275" s="9">
        <v>2840</v>
      </c>
      <c r="BW275" s="9">
        <v>940</v>
      </c>
      <c r="BX275" s="9">
        <v>258000</v>
      </c>
      <c r="BY275" s="9">
        <v>480</v>
      </c>
      <c r="BZ275" s="10" t="s">
        <v>529</v>
      </c>
      <c r="CA275" s="9">
        <v>310</v>
      </c>
      <c r="CB275" s="9"/>
      <c r="CC275" s="10">
        <f t="shared" si="101"/>
        <v>13.212764241610362</v>
      </c>
      <c r="CD275" s="10">
        <f t="shared" si="102"/>
        <v>668.08501962409878</v>
      </c>
      <c r="CE275" s="10">
        <f t="shared" si="111"/>
        <v>4148807.9718656535</v>
      </c>
      <c r="CF275" s="10">
        <f t="shared" si="95"/>
        <v>1</v>
      </c>
      <c r="CG275" s="10">
        <f t="shared" si="96"/>
        <v>0</v>
      </c>
      <c r="CH275" s="10">
        <f t="shared" si="97"/>
        <v>68</v>
      </c>
      <c r="CI275" s="9">
        <f t="shared" si="103"/>
        <v>0</v>
      </c>
      <c r="CJ275" s="10">
        <f t="shared" si="98"/>
        <v>69</v>
      </c>
      <c r="CK275" s="10" t="b">
        <f t="shared" si="104"/>
        <v>1</v>
      </c>
      <c r="CL275" s="10" t="b">
        <f t="shared" si="105"/>
        <v>1</v>
      </c>
      <c r="CM275" s="10" t="b">
        <f t="shared" si="106"/>
        <v>1</v>
      </c>
      <c r="CN275" s="9">
        <f t="shared" si="107"/>
        <v>0</v>
      </c>
      <c r="CO275" s="10">
        <f>CJ275</f>
        <v>69</v>
      </c>
      <c r="CP275" s="10" t="b">
        <f t="shared" si="108"/>
        <v>1</v>
      </c>
      <c r="CQ275" s="10" t="b">
        <f t="shared" si="109"/>
        <v>1</v>
      </c>
      <c r="CR275" s="10" cm="1">
        <f t="array" ref="CR275">_xlfn.IFS(AND($CI275=0, CK275=FALSE), NA(), AND($CI275=1, CK275=FALSE), 0, CK275=TRUE, 1)</f>
        <v>1</v>
      </c>
      <c r="CS275" s="10" cm="1">
        <f t="array" ref="CS275">_xlfn.IFS(AND($CI275=0, CL275=FALSE), NA(), AND($CI275=1, CL275=FALSE), 0, CL275=TRUE, 1)</f>
        <v>1</v>
      </c>
      <c r="CT275" s="10" cm="1">
        <f t="array" ref="CT275">_xlfn.IFS(AND($CI275=0, CM275=FALSE), NA(), AND($CI275=1, CM275=FALSE), 0, CM275=TRUE, 1)</f>
        <v>1</v>
      </c>
      <c r="CU275" s="10" cm="1">
        <f t="array" ref="CU275">_xlfn.IFS(AND($CN275=0, CP275=FALSE), NA(), AND($CN275=1, CP275=FALSE), 0, CP275=TRUE, 1)</f>
        <v>1</v>
      </c>
      <c r="CV275" s="10" cm="1">
        <f t="array" ref="CV275">_xlfn.IFS(AND($CN275=0, CQ275=FALSE), NA(), AND($CN275=1, CQ275=FALSE), 0, CQ275=TRUE, 1)</f>
        <v>1</v>
      </c>
    </row>
    <row r="276" spans="1:100" ht="15.75" x14ac:dyDescent="0.25">
      <c r="A276" s="8">
        <v>275</v>
      </c>
      <c r="B276" s="9">
        <v>40</v>
      </c>
      <c r="C276" s="10" t="s">
        <v>6</v>
      </c>
      <c r="D276" s="11" t="s">
        <v>74</v>
      </c>
      <c r="E276" s="12">
        <v>17870</v>
      </c>
      <c r="F276" s="13">
        <v>2</v>
      </c>
      <c r="G276" s="9">
        <v>65.270362854003906</v>
      </c>
      <c r="H276" s="12">
        <v>41710</v>
      </c>
      <c r="I276" s="9">
        <v>1</v>
      </c>
      <c r="J276" s="12">
        <v>41710</v>
      </c>
      <c r="K276" s="9">
        <v>0</v>
      </c>
      <c r="L276" s="9">
        <v>1</v>
      </c>
      <c r="M276" s="10" t="s">
        <v>401</v>
      </c>
      <c r="N276" s="9">
        <v>1</v>
      </c>
      <c r="O276" s="10" t="s">
        <v>401</v>
      </c>
      <c r="P276" s="9">
        <v>1</v>
      </c>
      <c r="Q276" s="10" t="s">
        <v>401</v>
      </c>
      <c r="R276" s="12">
        <v>42432</v>
      </c>
      <c r="S276" s="10" t="s">
        <v>145</v>
      </c>
      <c r="T276" s="9">
        <v>5</v>
      </c>
      <c r="U276" s="10" t="s">
        <v>401</v>
      </c>
      <c r="V276" s="10" t="s">
        <v>401</v>
      </c>
      <c r="W276" s="9"/>
      <c r="X276" s="9"/>
      <c r="Y276" s="9">
        <v>3</v>
      </c>
      <c r="Z276" s="14">
        <v>1</v>
      </c>
      <c r="AA276" s="17">
        <v>12.1</v>
      </c>
      <c r="AB276" s="18" t="s">
        <v>465</v>
      </c>
      <c r="AC276" s="18">
        <v>14</v>
      </c>
      <c r="AD276" s="9">
        <v>1</v>
      </c>
      <c r="AE276" s="9">
        <v>1</v>
      </c>
      <c r="AF276" s="9">
        <v>1</v>
      </c>
      <c r="AG276" s="9">
        <v>1</v>
      </c>
      <c r="AH276" s="9">
        <v>1</v>
      </c>
      <c r="AI276" s="9">
        <v>0</v>
      </c>
      <c r="AJ276" s="12">
        <v>42993</v>
      </c>
      <c r="AK276" s="9">
        <v>2</v>
      </c>
      <c r="AL276" s="12">
        <v>43098</v>
      </c>
      <c r="AM276" s="9">
        <v>4</v>
      </c>
      <c r="AN276" s="12">
        <v>43076</v>
      </c>
      <c r="AO276" s="12">
        <v>43076</v>
      </c>
      <c r="AP276" s="12">
        <v>43076</v>
      </c>
      <c r="AQ276" s="9">
        <v>1</v>
      </c>
      <c r="AR276" s="9">
        <f t="shared" si="99"/>
        <v>1</v>
      </c>
      <c r="AS276" s="9">
        <v>1</v>
      </c>
      <c r="AT276" s="9">
        <v>2</v>
      </c>
      <c r="AU276" s="9">
        <v>2</v>
      </c>
      <c r="AV276" s="9">
        <f t="shared" si="100"/>
        <v>1</v>
      </c>
      <c r="AW276" s="12">
        <v>43313</v>
      </c>
      <c r="AX276" s="9">
        <v>5870</v>
      </c>
      <c r="AY276" s="9">
        <v>3380</v>
      </c>
      <c r="AZ276" s="9">
        <v>810</v>
      </c>
      <c r="BA276" s="9">
        <v>3380</v>
      </c>
      <c r="BB276" s="9">
        <v>810.00006103515625</v>
      </c>
      <c r="BC276" s="9">
        <v>205000</v>
      </c>
      <c r="BD276" s="9"/>
      <c r="BE276" s="9"/>
      <c r="BF276" s="9">
        <v>331</v>
      </c>
      <c r="BG276" s="9">
        <v>6390</v>
      </c>
      <c r="BH276" s="9">
        <v>4400</v>
      </c>
      <c r="BI276" s="9">
        <v>2200</v>
      </c>
      <c r="BJ276" s="9">
        <v>305000</v>
      </c>
      <c r="BK276" s="9"/>
      <c r="BL276" s="9"/>
      <c r="BM276" s="9">
        <v>413</v>
      </c>
      <c r="BN276" s="9">
        <v>5990</v>
      </c>
      <c r="BO276" s="9">
        <v>3640</v>
      </c>
      <c r="BP276" s="9">
        <v>930</v>
      </c>
      <c r="BQ276" s="9">
        <v>291000</v>
      </c>
      <c r="BR276" s="9"/>
      <c r="BS276" s="9"/>
      <c r="BT276" s="9">
        <v>479</v>
      </c>
      <c r="BU276" s="9">
        <v>5900</v>
      </c>
      <c r="BV276" s="9">
        <v>3700</v>
      </c>
      <c r="BW276" s="9">
        <v>2030</v>
      </c>
      <c r="BX276" s="9">
        <v>235000</v>
      </c>
      <c r="BY276" s="9"/>
      <c r="BZ276" s="10" t="s">
        <v>401</v>
      </c>
      <c r="CA276" s="9"/>
      <c r="CB276" s="9">
        <v>403</v>
      </c>
      <c r="CC276" s="10">
        <f t="shared" si="101"/>
        <v>4.1728391917408736</v>
      </c>
      <c r="CD276" s="10">
        <f t="shared" si="102"/>
        <v>253.08640068250864</v>
      </c>
      <c r="CE276" s="10">
        <f t="shared" si="111"/>
        <v>855432.03430687904</v>
      </c>
      <c r="CF276" s="10">
        <f t="shared" si="95"/>
        <v>0</v>
      </c>
      <c r="CG276" s="10">
        <f t="shared" si="96"/>
        <v>0</v>
      </c>
      <c r="CH276" s="10">
        <f t="shared" si="97"/>
        <v>3</v>
      </c>
      <c r="CI276" s="9">
        <f t="shared" si="103"/>
        <v>1</v>
      </c>
      <c r="CJ276" s="10">
        <f t="shared" si="98"/>
        <v>11</v>
      </c>
      <c r="CK276" s="10" t="b">
        <f t="shared" si="104"/>
        <v>1</v>
      </c>
      <c r="CL276" s="10" t="b">
        <f t="shared" si="105"/>
        <v>0</v>
      </c>
      <c r="CM276" s="10" t="b">
        <f t="shared" si="106"/>
        <v>0</v>
      </c>
      <c r="CN276" s="9">
        <f t="shared" si="107"/>
        <v>1</v>
      </c>
      <c r="CO276" s="10">
        <f>(YEAR(AO276)-YEAR(AJ276))*12+MONTH(AO276)-MONTH(AJ276)</f>
        <v>3</v>
      </c>
      <c r="CP276" s="10" t="b">
        <f t="shared" si="108"/>
        <v>1</v>
      </c>
      <c r="CQ276" s="10" t="b">
        <f t="shared" si="109"/>
        <v>0</v>
      </c>
      <c r="CR276" s="10" cm="1">
        <f t="array" ref="CR276">_xlfn.IFS(AND($CI276=0, CK276=FALSE), NA(), AND($CI276=1, CK276=FALSE), 0, CK276=TRUE, 1)</f>
        <v>1</v>
      </c>
      <c r="CS276" s="10" cm="1">
        <f t="array" ref="CS276">_xlfn.IFS(AND($CI276=0, CL276=FALSE), NA(), AND($CI276=1, CL276=FALSE), 0, CL276=TRUE, 1)</f>
        <v>0</v>
      </c>
      <c r="CT276" s="10" cm="1">
        <f t="array" ref="CT276">_xlfn.IFS(AND($CI276=0, CM276=FALSE), NA(), AND($CI276=1, CM276=FALSE), 0, CM276=TRUE, 1)</f>
        <v>0</v>
      </c>
      <c r="CU276" s="10" cm="1">
        <f t="array" ref="CU276">_xlfn.IFS(AND($CN276=0, CP276=FALSE), NA(), AND($CN276=1, CP276=FALSE), 0, CP276=TRUE, 1)</f>
        <v>1</v>
      </c>
      <c r="CV276" s="10" cm="1">
        <f t="array" ref="CV276">_xlfn.IFS(AND($CN276=0, CQ276=FALSE), NA(), AND($CN276=1, CQ276=FALSE), 0, CQ276=TRUE, 1)</f>
        <v>0</v>
      </c>
    </row>
    <row r="277" spans="1:100" ht="15.75" x14ac:dyDescent="0.25">
      <c r="A277" s="8">
        <v>276</v>
      </c>
      <c r="B277" s="9">
        <v>124</v>
      </c>
      <c r="C277" s="10" t="s">
        <v>13</v>
      </c>
      <c r="D277" s="11" t="s">
        <v>144</v>
      </c>
      <c r="E277" s="12">
        <v>14712</v>
      </c>
      <c r="F277" s="13">
        <v>1</v>
      </c>
      <c r="G277" s="9">
        <v>73.921974182128906</v>
      </c>
      <c r="H277" s="12">
        <v>41712</v>
      </c>
      <c r="I277" s="9">
        <v>1</v>
      </c>
      <c r="J277" s="12">
        <v>41712</v>
      </c>
      <c r="K277" s="9">
        <v>0</v>
      </c>
      <c r="L277" s="9">
        <v>2</v>
      </c>
      <c r="M277" s="10" t="s">
        <v>401</v>
      </c>
      <c r="N277" s="9">
        <v>1</v>
      </c>
      <c r="O277" s="10" t="s">
        <v>401</v>
      </c>
      <c r="P277" s="9">
        <v>1</v>
      </c>
      <c r="Q277" s="10" t="s">
        <v>401</v>
      </c>
      <c r="R277" s="12">
        <v>42319</v>
      </c>
      <c r="S277" s="10" t="s">
        <v>146</v>
      </c>
      <c r="T277" s="9">
        <v>5</v>
      </c>
      <c r="U277" s="10" t="s">
        <v>401</v>
      </c>
      <c r="V277" s="10" t="s">
        <v>401</v>
      </c>
      <c r="W277" s="9"/>
      <c r="X277" s="9"/>
      <c r="Y277" s="9">
        <v>3</v>
      </c>
      <c r="Z277" s="14">
        <v>2</v>
      </c>
      <c r="AA277" s="17">
        <v>11.9</v>
      </c>
      <c r="AB277" s="18">
        <v>93</v>
      </c>
      <c r="AC277" s="18">
        <v>11</v>
      </c>
      <c r="AD277" s="9">
        <v>1</v>
      </c>
      <c r="AE277" s="9">
        <v>1</v>
      </c>
      <c r="AF277" s="9">
        <v>1</v>
      </c>
      <c r="AG277" s="9">
        <v>1</v>
      </c>
      <c r="AH277" s="9">
        <v>1</v>
      </c>
      <c r="AI277" s="9">
        <v>0</v>
      </c>
      <c r="AJ277" s="12">
        <v>43304</v>
      </c>
      <c r="AK277" s="9">
        <v>2</v>
      </c>
      <c r="AL277" s="12">
        <v>43340</v>
      </c>
      <c r="AM277" s="9">
        <v>4</v>
      </c>
      <c r="AN277" s="12">
        <v>43402</v>
      </c>
      <c r="AO277" s="12">
        <v>43402</v>
      </c>
      <c r="AP277" s="12">
        <v>43402</v>
      </c>
      <c r="AQ277" s="9">
        <v>1</v>
      </c>
      <c r="AR277" s="9">
        <f t="shared" si="99"/>
        <v>1</v>
      </c>
      <c r="AS277" s="9">
        <v>1</v>
      </c>
      <c r="AT277" s="9">
        <v>2</v>
      </c>
      <c r="AU277" s="9">
        <v>2</v>
      </c>
      <c r="AV277" s="9">
        <f t="shared" si="100"/>
        <v>1</v>
      </c>
      <c r="AW277" s="12">
        <v>43448</v>
      </c>
      <c r="AX277" s="9">
        <v>8440</v>
      </c>
      <c r="AY277" s="9">
        <v>7000</v>
      </c>
      <c r="AZ277" s="9">
        <v>980</v>
      </c>
      <c r="BA277" s="9">
        <v>7000</v>
      </c>
      <c r="BB277" s="9">
        <v>980.00018310546875</v>
      </c>
      <c r="BC277" s="9">
        <v>369000</v>
      </c>
      <c r="BD277" s="9">
        <v>450</v>
      </c>
      <c r="BE277" s="9">
        <v>100</v>
      </c>
      <c r="BF277" s="9"/>
      <c r="BG277" s="9">
        <v>9000</v>
      </c>
      <c r="BH277" s="9">
        <v>7500</v>
      </c>
      <c r="BI277" s="9">
        <v>1000</v>
      </c>
      <c r="BJ277" s="9">
        <v>270000</v>
      </c>
      <c r="BK277" s="9">
        <v>400</v>
      </c>
      <c r="BL277" s="9">
        <v>100</v>
      </c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10" t="s">
        <v>401</v>
      </c>
      <c r="CA277" s="9"/>
      <c r="CB277" s="9"/>
      <c r="CC277" s="10">
        <f t="shared" si="101"/>
        <v>7.1428558082694273</v>
      </c>
      <c r="CD277" s="10">
        <f t="shared" si="102"/>
        <v>376.53054189305982</v>
      </c>
      <c r="CE277" s="10">
        <f t="shared" si="111"/>
        <v>2635713.7932514185</v>
      </c>
      <c r="CF277" s="10">
        <f t="shared" si="95"/>
        <v>0</v>
      </c>
      <c r="CG277" s="10">
        <f t="shared" si="96"/>
        <v>0</v>
      </c>
      <c r="CH277" s="10">
        <f t="shared" si="97"/>
        <v>1</v>
      </c>
      <c r="CI277" s="9">
        <f t="shared" si="103"/>
        <v>1</v>
      </c>
      <c r="CJ277" s="10">
        <f t="shared" si="98"/>
        <v>5</v>
      </c>
      <c r="CK277" s="10" t="b">
        <f t="shared" si="104"/>
        <v>0</v>
      </c>
      <c r="CL277" s="10" t="b">
        <f t="shared" si="105"/>
        <v>0</v>
      </c>
      <c r="CM277" s="10" t="b">
        <f t="shared" si="106"/>
        <v>0</v>
      </c>
      <c r="CN277" s="9">
        <f t="shared" si="107"/>
        <v>1</v>
      </c>
      <c r="CO277" s="10">
        <f>(YEAR(AO277)-YEAR(AJ277))*12+MONTH(AO277)-MONTH(AJ277)</f>
        <v>3</v>
      </c>
      <c r="CP277" s="10" t="b">
        <f t="shared" si="108"/>
        <v>1</v>
      </c>
      <c r="CQ277" s="10" t="b">
        <f t="shared" si="109"/>
        <v>0</v>
      </c>
      <c r="CR277" s="10" cm="1">
        <f t="array" ref="CR277">_xlfn.IFS(AND($CI277=0, CK277=FALSE), NA(), AND($CI277=1, CK277=FALSE), 0, CK277=TRUE, 1)</f>
        <v>0</v>
      </c>
      <c r="CS277" s="10" cm="1">
        <f t="array" ref="CS277">_xlfn.IFS(AND($CI277=0, CL277=FALSE), NA(), AND($CI277=1, CL277=FALSE), 0, CL277=TRUE, 1)</f>
        <v>0</v>
      </c>
      <c r="CT277" s="10" cm="1">
        <f t="array" ref="CT277">_xlfn.IFS(AND($CI277=0, CM277=FALSE), NA(), AND($CI277=1, CM277=FALSE), 0, CM277=TRUE, 1)</f>
        <v>0</v>
      </c>
      <c r="CU277" s="10" cm="1">
        <f t="array" ref="CU277">_xlfn.IFS(AND($CN277=0, CP277=FALSE), NA(), AND($CN277=1, CP277=FALSE), 0, CP277=TRUE, 1)</f>
        <v>1</v>
      </c>
      <c r="CV277" s="10" cm="1">
        <f t="array" ref="CV277">_xlfn.IFS(AND($CN277=0, CQ277=FALSE), NA(), AND($CN277=1, CQ277=FALSE), 0, CQ277=TRUE, 1)</f>
        <v>0</v>
      </c>
    </row>
    <row r="278" spans="1:100" ht="15.75" x14ac:dyDescent="0.25">
      <c r="A278" s="8">
        <v>277</v>
      </c>
      <c r="B278" s="9">
        <v>354</v>
      </c>
      <c r="C278" s="10" t="s">
        <v>28</v>
      </c>
      <c r="D278" s="11" t="s">
        <v>59</v>
      </c>
      <c r="E278" s="12">
        <v>13779</v>
      </c>
      <c r="F278" s="13">
        <v>1</v>
      </c>
      <c r="G278" s="9">
        <v>76.503761291503906</v>
      </c>
      <c r="H278" s="12">
        <v>41722</v>
      </c>
      <c r="I278" s="9">
        <v>0</v>
      </c>
      <c r="J278" s="12"/>
      <c r="K278" s="9">
        <v>0</v>
      </c>
      <c r="L278" s="9">
        <v>1</v>
      </c>
      <c r="M278" s="10" t="s">
        <v>401</v>
      </c>
      <c r="N278" s="9">
        <v>1</v>
      </c>
      <c r="O278" s="10" t="s">
        <v>401</v>
      </c>
      <c r="P278" s="9">
        <v>1</v>
      </c>
      <c r="Q278" s="10" t="s">
        <v>401</v>
      </c>
      <c r="R278" s="12">
        <v>42390</v>
      </c>
      <c r="S278" s="10" t="s">
        <v>146</v>
      </c>
      <c r="T278" s="9"/>
      <c r="U278" s="10" t="s">
        <v>401</v>
      </c>
      <c r="V278" s="10" t="s">
        <v>401</v>
      </c>
      <c r="W278" s="9"/>
      <c r="X278" s="9"/>
      <c r="Y278" s="9">
        <v>2</v>
      </c>
      <c r="Z278" s="14">
        <v>2</v>
      </c>
      <c r="AA278" s="15">
        <v>13.9</v>
      </c>
      <c r="AB278" s="16">
        <v>95</v>
      </c>
      <c r="AC278" s="16">
        <v>14</v>
      </c>
      <c r="AD278" s="9">
        <v>1</v>
      </c>
      <c r="AE278" s="9">
        <v>1</v>
      </c>
      <c r="AF278" s="9">
        <v>1</v>
      </c>
      <c r="AG278" s="9">
        <v>0</v>
      </c>
      <c r="AH278" s="9">
        <v>1</v>
      </c>
      <c r="AI278" s="9">
        <v>0</v>
      </c>
      <c r="AJ278" s="12">
        <v>43413</v>
      </c>
      <c r="AK278" s="9">
        <v>2</v>
      </c>
      <c r="AL278" s="12">
        <v>44679</v>
      </c>
      <c r="AM278" s="9">
        <v>3</v>
      </c>
      <c r="AN278" s="12">
        <v>43557</v>
      </c>
      <c r="AO278" s="12">
        <v>43676</v>
      </c>
      <c r="AP278" s="12">
        <v>44706</v>
      </c>
      <c r="AQ278" s="9">
        <v>1</v>
      </c>
      <c r="AR278" s="9">
        <f t="shared" si="99"/>
        <v>1</v>
      </c>
      <c r="AS278" s="9">
        <v>1</v>
      </c>
      <c r="AT278" s="9">
        <v>1</v>
      </c>
      <c r="AU278" s="9">
        <v>2</v>
      </c>
      <c r="AV278" s="9">
        <f t="shared" si="100"/>
        <v>1</v>
      </c>
      <c r="AW278" s="12">
        <v>44743</v>
      </c>
      <c r="AX278" s="9">
        <v>6820</v>
      </c>
      <c r="AY278" s="9">
        <v>3630</v>
      </c>
      <c r="AZ278" s="9">
        <v>2300</v>
      </c>
      <c r="BA278" s="9">
        <v>3630</v>
      </c>
      <c r="BB278" s="9">
        <v>2300.000244140625</v>
      </c>
      <c r="BC278" s="9">
        <v>179000</v>
      </c>
      <c r="BD278" s="9">
        <v>590</v>
      </c>
      <c r="BE278" s="9">
        <v>270</v>
      </c>
      <c r="BF278" s="9">
        <v>335</v>
      </c>
      <c r="BG278" s="9">
        <v>8320</v>
      </c>
      <c r="BH278" s="9">
        <v>4940</v>
      </c>
      <c r="BI278" s="9">
        <v>2230</v>
      </c>
      <c r="BJ278" s="9">
        <v>203000</v>
      </c>
      <c r="BK278" s="9">
        <v>660</v>
      </c>
      <c r="BL278" s="9">
        <v>270</v>
      </c>
      <c r="BM278" s="9">
        <v>372</v>
      </c>
      <c r="BN278" s="9">
        <v>8500</v>
      </c>
      <c r="BO278" s="9">
        <v>5350</v>
      </c>
      <c r="BP278" s="9">
        <v>1960</v>
      </c>
      <c r="BQ278" s="9">
        <v>202000</v>
      </c>
      <c r="BR278" s="9">
        <v>770</v>
      </c>
      <c r="BS278" s="9">
        <v>250</v>
      </c>
      <c r="BT278" s="9">
        <v>416</v>
      </c>
      <c r="BU278" s="9">
        <v>7970</v>
      </c>
      <c r="BV278" s="9">
        <v>5250</v>
      </c>
      <c r="BW278" s="9">
        <v>1810</v>
      </c>
      <c r="BX278" s="9">
        <v>229000</v>
      </c>
      <c r="BY278" s="9">
        <v>540</v>
      </c>
      <c r="BZ278" s="10" t="s">
        <v>534</v>
      </c>
      <c r="CA278" s="9">
        <v>220</v>
      </c>
      <c r="CB278" s="9">
        <v>395</v>
      </c>
      <c r="CC278" s="10">
        <f t="shared" si="101"/>
        <v>1.5782607020358459</v>
      </c>
      <c r="CD278" s="10">
        <f t="shared" si="102"/>
        <v>77.826078695431519</v>
      </c>
      <c r="CE278" s="10">
        <f t="shared" si="111"/>
        <v>282508.66566441639</v>
      </c>
      <c r="CF278" s="10">
        <f t="shared" si="95"/>
        <v>1</v>
      </c>
      <c r="CG278" s="10">
        <f t="shared" si="96"/>
        <v>0</v>
      </c>
      <c r="CH278" s="10">
        <f t="shared" si="97"/>
        <v>41</v>
      </c>
      <c r="CI278" s="9">
        <f t="shared" si="103"/>
        <v>1</v>
      </c>
      <c r="CJ278" s="10">
        <f t="shared" si="98"/>
        <v>44</v>
      </c>
      <c r="CK278" s="10" t="b">
        <f t="shared" si="104"/>
        <v>1</v>
      </c>
      <c r="CL278" s="10" t="b">
        <f t="shared" si="105"/>
        <v>1</v>
      </c>
      <c r="CM278" s="10" t="b">
        <f t="shared" si="106"/>
        <v>1</v>
      </c>
      <c r="CN278" s="9">
        <f t="shared" si="107"/>
        <v>1</v>
      </c>
      <c r="CO278" s="10">
        <f>(YEAR(AO278)-YEAR(AJ278))*12+MONTH(AO278)-MONTH(AJ278)</f>
        <v>8</v>
      </c>
      <c r="CP278" s="10" t="b">
        <f t="shared" si="108"/>
        <v>1</v>
      </c>
      <c r="CQ278" s="10" t="b">
        <f t="shared" si="109"/>
        <v>0</v>
      </c>
      <c r="CR278" s="10" cm="1">
        <f t="array" ref="CR278">_xlfn.IFS(AND($CI278=0, CK278=FALSE), NA(), AND($CI278=1, CK278=FALSE), 0, CK278=TRUE, 1)</f>
        <v>1</v>
      </c>
      <c r="CS278" s="10" cm="1">
        <f t="array" ref="CS278">_xlfn.IFS(AND($CI278=0, CL278=FALSE), NA(), AND($CI278=1, CL278=FALSE), 0, CL278=TRUE, 1)</f>
        <v>1</v>
      </c>
      <c r="CT278" s="10" cm="1">
        <f t="array" ref="CT278">_xlfn.IFS(AND($CI278=0, CM278=FALSE), NA(), AND($CI278=1, CM278=FALSE), 0, CM278=TRUE, 1)</f>
        <v>1</v>
      </c>
      <c r="CU278" s="10" cm="1">
        <f t="array" ref="CU278">_xlfn.IFS(AND($CN278=0, CP278=FALSE), NA(), AND($CN278=1, CP278=FALSE), 0, CP278=TRUE, 1)</f>
        <v>1</v>
      </c>
      <c r="CV278" s="10" cm="1">
        <f t="array" ref="CV278">_xlfn.IFS(AND($CN278=0, CQ278=FALSE), NA(), AND($CN278=1, CQ278=FALSE), 0, CQ278=TRUE, 1)</f>
        <v>0</v>
      </c>
    </row>
    <row r="279" spans="1:100" ht="15.75" x14ac:dyDescent="0.25">
      <c r="A279" s="8">
        <v>278</v>
      </c>
      <c r="B279" s="9">
        <v>128</v>
      </c>
      <c r="C279" s="10" t="s">
        <v>16</v>
      </c>
      <c r="D279" s="11" t="s">
        <v>170</v>
      </c>
      <c r="E279" s="12">
        <v>14957</v>
      </c>
      <c r="F279" s="13">
        <v>2</v>
      </c>
      <c r="G279" s="9">
        <v>73.30047607421875</v>
      </c>
      <c r="H279" s="12">
        <v>41730</v>
      </c>
      <c r="I279" s="9">
        <v>0</v>
      </c>
      <c r="J279" s="12"/>
      <c r="K279" s="9">
        <v>0</v>
      </c>
      <c r="L279" s="9">
        <v>2</v>
      </c>
      <c r="M279" s="10" t="s">
        <v>401</v>
      </c>
      <c r="N279" s="9"/>
      <c r="O279" s="10" t="s">
        <v>425</v>
      </c>
      <c r="P279" s="9"/>
      <c r="Q279" s="10" t="s">
        <v>425</v>
      </c>
      <c r="R279" s="12">
        <v>42860</v>
      </c>
      <c r="S279" s="10" t="s">
        <v>146</v>
      </c>
      <c r="T279" s="9"/>
      <c r="U279" s="10" t="s">
        <v>401</v>
      </c>
      <c r="V279" s="10" t="s">
        <v>401</v>
      </c>
      <c r="W279" s="9"/>
      <c r="X279" s="9"/>
      <c r="Y279" s="9">
        <v>2</v>
      </c>
      <c r="Z279" s="14">
        <v>2</v>
      </c>
      <c r="AA279" s="15">
        <v>11.7</v>
      </c>
      <c r="AB279" s="16">
        <v>85</v>
      </c>
      <c r="AC279" s="16">
        <v>14</v>
      </c>
      <c r="AD279" s="9">
        <v>2</v>
      </c>
      <c r="AE279" s="9">
        <v>2</v>
      </c>
      <c r="AF279" s="9">
        <v>1</v>
      </c>
      <c r="AG279" s="9">
        <v>1</v>
      </c>
      <c r="AH279" s="9">
        <v>0</v>
      </c>
      <c r="AI279" s="9">
        <v>0</v>
      </c>
      <c r="AJ279" s="12">
        <v>43251</v>
      </c>
      <c r="AK279" s="9">
        <v>2</v>
      </c>
      <c r="AL279" s="12">
        <v>43448</v>
      </c>
      <c r="AM279" s="9">
        <v>2</v>
      </c>
      <c r="AN279" s="12">
        <v>43335</v>
      </c>
      <c r="AO279" s="12">
        <v>43544</v>
      </c>
      <c r="AP279" s="12">
        <v>43544</v>
      </c>
      <c r="AQ279" s="9">
        <v>1</v>
      </c>
      <c r="AR279" s="9">
        <f t="shared" si="99"/>
        <v>1</v>
      </c>
      <c r="AS279" s="9">
        <v>1</v>
      </c>
      <c r="AT279" s="9">
        <v>2</v>
      </c>
      <c r="AU279" s="9">
        <v>2</v>
      </c>
      <c r="AV279" s="9">
        <f t="shared" si="100"/>
        <v>1</v>
      </c>
      <c r="AW279" s="12">
        <v>43544</v>
      </c>
      <c r="AX279" s="9">
        <v>7250</v>
      </c>
      <c r="AY279" s="9">
        <v>5200</v>
      </c>
      <c r="AZ279" s="9"/>
      <c r="BA279" s="9">
        <v>5200</v>
      </c>
      <c r="BB279" s="9">
        <v>1117.6610107421875</v>
      </c>
      <c r="BC279" s="9">
        <v>228000</v>
      </c>
      <c r="BD279" s="9"/>
      <c r="BE279" s="9"/>
      <c r="BF279" s="9">
        <v>183</v>
      </c>
      <c r="BG279" s="9">
        <v>7490</v>
      </c>
      <c r="BH279" s="9">
        <v>5400</v>
      </c>
      <c r="BI279" s="9"/>
      <c r="BJ279" s="9">
        <v>234000</v>
      </c>
      <c r="BK279" s="9"/>
      <c r="BL279" s="9"/>
      <c r="BM279" s="9"/>
      <c r="BN279" s="9"/>
      <c r="BO279" s="9">
        <v>3800</v>
      </c>
      <c r="BP279" s="9"/>
      <c r="BQ279" s="9">
        <v>213000</v>
      </c>
      <c r="BR279" s="9"/>
      <c r="BS279" s="9"/>
      <c r="BT279" s="9"/>
      <c r="BU279" s="9">
        <v>5930</v>
      </c>
      <c r="BV279" s="9">
        <v>3460</v>
      </c>
      <c r="BW279" s="9"/>
      <c r="BX279" s="9">
        <v>196000</v>
      </c>
      <c r="BY279" s="9"/>
      <c r="BZ279" s="10" t="s">
        <v>401</v>
      </c>
      <c r="CA279" s="9"/>
      <c r="CB279" s="9"/>
      <c r="CC279" s="10">
        <f t="shared" si="101"/>
        <v>4.6525734994968806</v>
      </c>
      <c r="CD279" s="10">
        <f t="shared" si="102"/>
        <v>203.99745343947862</v>
      </c>
      <c r="CE279" s="10">
        <f t="shared" si="111"/>
        <v>1060786.7578852887</v>
      </c>
      <c r="CF279" s="10">
        <f t="shared" si="95"/>
        <v>1</v>
      </c>
      <c r="CG279" s="10">
        <f t="shared" si="96"/>
        <v>1</v>
      </c>
      <c r="CH279" s="10">
        <f t="shared" si="97"/>
        <v>7</v>
      </c>
      <c r="CI279" s="9">
        <f t="shared" si="103"/>
        <v>1</v>
      </c>
      <c r="CJ279" s="10">
        <f t="shared" si="98"/>
        <v>10</v>
      </c>
      <c r="CK279" s="10" t="b">
        <f t="shared" si="104"/>
        <v>1</v>
      </c>
      <c r="CL279" s="10" t="b">
        <f t="shared" si="105"/>
        <v>0</v>
      </c>
      <c r="CM279" s="10" t="b">
        <f t="shared" si="106"/>
        <v>0</v>
      </c>
      <c r="CN279" s="9">
        <f t="shared" si="107"/>
        <v>1</v>
      </c>
      <c r="CO279" s="10">
        <f>(YEAR(AO279)-YEAR(AJ279))*12+MONTH(AO279)-MONTH(AJ279)</f>
        <v>10</v>
      </c>
      <c r="CP279" s="10" t="b">
        <f t="shared" si="108"/>
        <v>1</v>
      </c>
      <c r="CQ279" s="10" t="b">
        <f t="shared" si="109"/>
        <v>1</v>
      </c>
      <c r="CR279" s="10" cm="1">
        <f t="array" ref="CR279">_xlfn.IFS(AND($CI279=0, CK279=FALSE), NA(), AND($CI279=1, CK279=FALSE), 0, CK279=TRUE, 1)</f>
        <v>1</v>
      </c>
      <c r="CS279" s="10" cm="1">
        <f t="array" ref="CS279">_xlfn.IFS(AND($CI279=0, CL279=FALSE), NA(), AND($CI279=1, CL279=FALSE), 0, CL279=TRUE, 1)</f>
        <v>0</v>
      </c>
      <c r="CT279" s="10" cm="1">
        <f t="array" ref="CT279">_xlfn.IFS(AND($CI279=0, CM279=FALSE), NA(), AND($CI279=1, CM279=FALSE), 0, CM279=TRUE, 1)</f>
        <v>0</v>
      </c>
      <c r="CU279" s="10" cm="1">
        <f t="array" ref="CU279">_xlfn.IFS(AND($CN279=0, CP279=FALSE), NA(), AND($CN279=1, CP279=FALSE), 0, CP279=TRUE, 1)</f>
        <v>1</v>
      </c>
      <c r="CV279" s="10" cm="1">
        <f t="array" ref="CV279">_xlfn.IFS(AND($CN279=0, CQ279=FALSE), NA(), AND($CN279=1, CQ279=FALSE), 0, CQ279=TRUE, 1)</f>
        <v>1</v>
      </c>
    </row>
    <row r="280" spans="1:100" ht="15.75" x14ac:dyDescent="0.25">
      <c r="A280" s="8">
        <v>279</v>
      </c>
      <c r="B280" s="9">
        <v>364</v>
      </c>
      <c r="C280" s="10" t="s">
        <v>28</v>
      </c>
      <c r="D280" s="11" t="s">
        <v>85</v>
      </c>
      <c r="E280" s="12">
        <v>18894</v>
      </c>
      <c r="F280" s="13">
        <v>1</v>
      </c>
      <c r="G280" s="9">
        <v>62.527034759521484</v>
      </c>
      <c r="H280" s="12">
        <v>41732</v>
      </c>
      <c r="I280" s="9">
        <v>1</v>
      </c>
      <c r="J280" s="12">
        <v>41732</v>
      </c>
      <c r="K280" s="9">
        <v>0</v>
      </c>
      <c r="L280" s="9">
        <v>3</v>
      </c>
      <c r="M280" s="10" t="s">
        <v>401</v>
      </c>
      <c r="N280" s="9">
        <v>1</v>
      </c>
      <c r="O280" s="10" t="s">
        <v>401</v>
      </c>
      <c r="P280" s="9">
        <v>1</v>
      </c>
      <c r="Q280" s="10" t="s">
        <v>401</v>
      </c>
      <c r="R280" s="12">
        <v>42258</v>
      </c>
      <c r="S280" s="10" t="s">
        <v>146</v>
      </c>
      <c r="T280" s="9"/>
      <c r="U280" s="10" t="s">
        <v>401</v>
      </c>
      <c r="V280" s="10" t="s">
        <v>401</v>
      </c>
      <c r="W280" s="9"/>
      <c r="X280" s="9"/>
      <c r="Y280" s="9">
        <v>2</v>
      </c>
      <c r="Z280" s="14">
        <v>2</v>
      </c>
      <c r="AA280" s="21">
        <v>12.7</v>
      </c>
      <c r="AB280" s="22">
        <v>96</v>
      </c>
      <c r="AC280" s="22">
        <v>15</v>
      </c>
      <c r="AD280" s="9">
        <v>1</v>
      </c>
      <c r="AE280" s="9">
        <v>1</v>
      </c>
      <c r="AF280" s="9">
        <v>1</v>
      </c>
      <c r="AG280" s="9">
        <v>1</v>
      </c>
      <c r="AH280" s="9">
        <v>1</v>
      </c>
      <c r="AI280" s="9">
        <v>1</v>
      </c>
      <c r="AJ280" s="12">
        <v>42612</v>
      </c>
      <c r="AK280" s="9">
        <v>2</v>
      </c>
      <c r="AL280" s="12">
        <v>43521</v>
      </c>
      <c r="AM280" s="9">
        <v>2</v>
      </c>
      <c r="AN280" s="12">
        <v>42669</v>
      </c>
      <c r="AO280" s="12"/>
      <c r="AP280" s="12"/>
      <c r="AQ280" s="9">
        <v>2</v>
      </c>
      <c r="AR280" s="9">
        <f t="shared" si="99"/>
        <v>0</v>
      </c>
      <c r="AS280" s="9">
        <v>2</v>
      </c>
      <c r="AT280" s="9"/>
      <c r="AU280" s="9">
        <v>1</v>
      </c>
      <c r="AV280" s="9">
        <f t="shared" si="100"/>
        <v>0</v>
      </c>
      <c r="AW280" s="12">
        <v>44816</v>
      </c>
      <c r="AX280" s="9">
        <v>7550</v>
      </c>
      <c r="AY280" s="9">
        <v>5690</v>
      </c>
      <c r="AZ280" s="9">
        <v>1060</v>
      </c>
      <c r="BA280" s="9">
        <v>5690</v>
      </c>
      <c r="BB280" s="9">
        <v>1060.000244140625</v>
      </c>
      <c r="BC280" s="9">
        <v>223000</v>
      </c>
      <c r="BD280" s="9">
        <v>610</v>
      </c>
      <c r="BE280" s="9">
        <v>60</v>
      </c>
      <c r="BF280" s="9">
        <v>330</v>
      </c>
      <c r="BG280" s="9">
        <v>7300</v>
      </c>
      <c r="BH280" s="9">
        <v>5060</v>
      </c>
      <c r="BI280" s="9">
        <v>1570</v>
      </c>
      <c r="BJ280" s="9">
        <v>294000</v>
      </c>
      <c r="BK280" s="9">
        <v>540</v>
      </c>
      <c r="BL280" s="9">
        <v>110</v>
      </c>
      <c r="BM280" s="9">
        <v>443</v>
      </c>
      <c r="BN280" s="9">
        <v>10600</v>
      </c>
      <c r="BO280" s="9">
        <v>7320</v>
      </c>
      <c r="BP280" s="9">
        <v>2330</v>
      </c>
      <c r="BQ280" s="9">
        <v>402000</v>
      </c>
      <c r="BR280" s="9">
        <v>500</v>
      </c>
      <c r="BS280" s="9">
        <v>230</v>
      </c>
      <c r="BT280" s="9">
        <v>291</v>
      </c>
      <c r="BU280" s="9">
        <v>8020</v>
      </c>
      <c r="BV280" s="9">
        <v>4910</v>
      </c>
      <c r="BW280" s="9">
        <v>2190</v>
      </c>
      <c r="BX280" s="9">
        <v>316000</v>
      </c>
      <c r="BY280" s="9">
        <v>410</v>
      </c>
      <c r="BZ280" s="10" t="s">
        <v>562</v>
      </c>
      <c r="CA280" s="9">
        <v>340</v>
      </c>
      <c r="CB280" s="9">
        <v>291</v>
      </c>
      <c r="CC280" s="10">
        <f t="shared" si="101"/>
        <v>5.3679232919545781</v>
      </c>
      <c r="CD280" s="10">
        <f t="shared" si="102"/>
        <v>210.37731003618117</v>
      </c>
      <c r="CE280" s="10">
        <f t="shared" si="111"/>
        <v>1197046.894105871</v>
      </c>
      <c r="CF280" s="10">
        <f t="shared" si="95"/>
        <v>1</v>
      </c>
      <c r="CG280" s="10">
        <f t="shared" si="96"/>
        <v>1</v>
      </c>
      <c r="CH280" s="10">
        <f t="shared" si="97"/>
        <v>30</v>
      </c>
      <c r="CI280" s="9">
        <f t="shared" si="103"/>
        <v>0</v>
      </c>
      <c r="CJ280" s="10">
        <f t="shared" si="98"/>
        <v>73</v>
      </c>
      <c r="CK280" s="10" t="b">
        <f t="shared" si="104"/>
        <v>1</v>
      </c>
      <c r="CL280" s="10" t="b">
        <f t="shared" si="105"/>
        <v>1</v>
      </c>
      <c r="CM280" s="10" t="b">
        <f t="shared" si="106"/>
        <v>1</v>
      </c>
      <c r="CN280" s="9">
        <f t="shared" si="107"/>
        <v>0</v>
      </c>
      <c r="CO280" s="10">
        <f>CJ280</f>
        <v>73</v>
      </c>
      <c r="CP280" s="10" t="b">
        <f t="shared" si="108"/>
        <v>1</v>
      </c>
      <c r="CQ280" s="10" t="b">
        <f t="shared" si="109"/>
        <v>1</v>
      </c>
      <c r="CR280" s="10" cm="1">
        <f t="array" ref="CR280">_xlfn.IFS(AND($CI280=0, CK280=FALSE), NA(), AND($CI280=1, CK280=FALSE), 0, CK280=TRUE, 1)</f>
        <v>1</v>
      </c>
      <c r="CS280" s="10" cm="1">
        <f t="array" ref="CS280">_xlfn.IFS(AND($CI280=0, CL280=FALSE), NA(), AND($CI280=1, CL280=FALSE), 0, CL280=TRUE, 1)</f>
        <v>1</v>
      </c>
      <c r="CT280" s="10" cm="1">
        <f t="array" ref="CT280">_xlfn.IFS(AND($CI280=0, CM280=FALSE), NA(), AND($CI280=1, CM280=FALSE), 0, CM280=TRUE, 1)</f>
        <v>1</v>
      </c>
      <c r="CU280" s="10" cm="1">
        <f t="array" ref="CU280">_xlfn.IFS(AND($CN280=0, CP280=FALSE), NA(), AND($CN280=1, CP280=FALSE), 0, CP280=TRUE, 1)</f>
        <v>1</v>
      </c>
      <c r="CV280" s="10" cm="1">
        <f t="array" ref="CV280">_xlfn.IFS(AND($CN280=0, CQ280=FALSE), NA(), AND($CN280=1, CQ280=FALSE), 0, CQ280=TRUE, 1)</f>
        <v>1</v>
      </c>
    </row>
    <row r="281" spans="1:100" ht="15.75" x14ac:dyDescent="0.25">
      <c r="A281" s="8">
        <v>280</v>
      </c>
      <c r="B281" s="9">
        <v>392</v>
      </c>
      <c r="C281" s="10" t="s">
        <v>29</v>
      </c>
      <c r="D281" s="11" t="s">
        <v>146</v>
      </c>
      <c r="E281" s="12">
        <v>17441</v>
      </c>
      <c r="F281" s="13">
        <v>1</v>
      </c>
      <c r="G281" s="9">
        <v>66.535247802734375</v>
      </c>
      <c r="H281" s="12">
        <v>41743</v>
      </c>
      <c r="I281" s="9">
        <v>1</v>
      </c>
      <c r="J281" s="12">
        <v>41743</v>
      </c>
      <c r="K281" s="9">
        <v>1</v>
      </c>
      <c r="L281" s="9">
        <v>1</v>
      </c>
      <c r="M281" s="10" t="s">
        <v>401</v>
      </c>
      <c r="N281" s="9">
        <v>2</v>
      </c>
      <c r="O281" s="10" t="s">
        <v>409</v>
      </c>
      <c r="P281" s="9">
        <v>2</v>
      </c>
      <c r="Q281" s="10" t="s">
        <v>409</v>
      </c>
      <c r="R281" s="12">
        <v>42104</v>
      </c>
      <c r="S281" s="10" t="s">
        <v>145</v>
      </c>
      <c r="T281" s="9"/>
      <c r="U281" s="10" t="s">
        <v>401</v>
      </c>
      <c r="V281" s="10" t="s">
        <v>401</v>
      </c>
      <c r="W281" s="9"/>
      <c r="X281" s="9"/>
      <c r="Y281" s="9">
        <v>2</v>
      </c>
      <c r="Z281" s="14">
        <v>1</v>
      </c>
      <c r="AA281" s="17">
        <v>13.6</v>
      </c>
      <c r="AB281" s="18">
        <v>101</v>
      </c>
      <c r="AC281" s="18">
        <v>17</v>
      </c>
      <c r="AD281" s="9">
        <v>2</v>
      </c>
      <c r="AE281" s="9">
        <v>2</v>
      </c>
      <c r="AF281" s="9">
        <v>1</v>
      </c>
      <c r="AG281" s="9">
        <v>0</v>
      </c>
      <c r="AH281" s="9">
        <v>1</v>
      </c>
      <c r="AI281" s="9">
        <v>0</v>
      </c>
      <c r="AJ281" s="12">
        <v>43298</v>
      </c>
      <c r="AK281" s="9">
        <v>2</v>
      </c>
      <c r="AL281" s="12">
        <v>43753</v>
      </c>
      <c r="AM281" s="9">
        <v>2</v>
      </c>
      <c r="AN281" s="12">
        <v>43669</v>
      </c>
      <c r="AO281" s="12">
        <v>43795</v>
      </c>
      <c r="AP281" s="12">
        <v>43795</v>
      </c>
      <c r="AQ281" s="9">
        <v>1</v>
      </c>
      <c r="AR281" s="9">
        <f t="shared" si="99"/>
        <v>1</v>
      </c>
      <c r="AS281" s="9">
        <v>1</v>
      </c>
      <c r="AT281" s="9">
        <v>2</v>
      </c>
      <c r="AU281" s="9">
        <v>1</v>
      </c>
      <c r="AV281" s="9">
        <f t="shared" si="100"/>
        <v>0</v>
      </c>
      <c r="AW281" s="12">
        <v>44956</v>
      </c>
      <c r="AX281" s="9">
        <v>5700</v>
      </c>
      <c r="AY281" s="9">
        <v>4350</v>
      </c>
      <c r="AZ281" s="9">
        <v>830</v>
      </c>
      <c r="BA281" s="9">
        <v>4350</v>
      </c>
      <c r="BB281" s="9">
        <v>829.9998779296875</v>
      </c>
      <c r="BC281" s="9">
        <v>289000</v>
      </c>
      <c r="BD281" s="9">
        <v>410</v>
      </c>
      <c r="BE281" s="9">
        <v>190</v>
      </c>
      <c r="BF281" s="9"/>
      <c r="BG281" s="9">
        <v>7520</v>
      </c>
      <c r="BH281" s="9">
        <v>5670</v>
      </c>
      <c r="BI281" s="9">
        <v>1030</v>
      </c>
      <c r="BJ281" s="9">
        <v>211000</v>
      </c>
      <c r="BK281" s="9">
        <v>70</v>
      </c>
      <c r="BL281" s="9">
        <v>10</v>
      </c>
      <c r="BM281" s="9"/>
      <c r="BN281" s="9">
        <v>7750</v>
      </c>
      <c r="BO281" s="9">
        <v>5950</v>
      </c>
      <c r="BP281" s="9">
        <v>1020</v>
      </c>
      <c r="BQ281" s="9">
        <v>190000</v>
      </c>
      <c r="BR281" s="9">
        <v>580</v>
      </c>
      <c r="BS281" s="9">
        <v>180</v>
      </c>
      <c r="BT281" s="9"/>
      <c r="BU281" s="9">
        <v>9430</v>
      </c>
      <c r="BV281" s="9">
        <v>7050</v>
      </c>
      <c r="BW281" s="9">
        <v>1310</v>
      </c>
      <c r="BX281" s="9">
        <v>187000</v>
      </c>
      <c r="BY281" s="9">
        <v>830</v>
      </c>
      <c r="BZ281" s="10" t="s">
        <v>524</v>
      </c>
      <c r="CA281" s="9">
        <v>200</v>
      </c>
      <c r="CB281" s="9"/>
      <c r="CC281" s="10">
        <f t="shared" si="101"/>
        <v>5.2409646262243248</v>
      </c>
      <c r="CD281" s="10">
        <f t="shared" si="102"/>
        <v>348.19282229398391</v>
      </c>
      <c r="CE281" s="10">
        <f t="shared" si="111"/>
        <v>1514638.7769788299</v>
      </c>
      <c r="CF281" s="10">
        <f t="shared" si="95"/>
        <v>1</v>
      </c>
      <c r="CG281" s="10">
        <f t="shared" si="96"/>
        <v>1</v>
      </c>
      <c r="CH281" s="10">
        <f t="shared" si="97"/>
        <v>15</v>
      </c>
      <c r="CI281" s="9">
        <f t="shared" si="103"/>
        <v>0</v>
      </c>
      <c r="CJ281" s="10">
        <f t="shared" si="98"/>
        <v>54</v>
      </c>
      <c r="CK281" s="10" t="b">
        <f t="shared" si="104"/>
        <v>1</v>
      </c>
      <c r="CL281" s="10" t="b">
        <f t="shared" si="105"/>
        <v>1</v>
      </c>
      <c r="CM281" s="10" t="b">
        <f t="shared" si="106"/>
        <v>1</v>
      </c>
      <c r="CN281" s="9">
        <f t="shared" si="107"/>
        <v>1</v>
      </c>
      <c r="CO281" s="10">
        <f t="shared" ref="CO281:CO294" si="113">(YEAR(AO281)-YEAR(AJ281))*12+MONTH(AO281)-MONTH(AJ281)</f>
        <v>16</v>
      </c>
      <c r="CP281" s="10" t="b">
        <f t="shared" si="108"/>
        <v>1</v>
      </c>
      <c r="CQ281" s="10" t="b">
        <f t="shared" si="109"/>
        <v>1</v>
      </c>
      <c r="CR281" s="10" cm="1">
        <f t="array" ref="CR281">_xlfn.IFS(AND($CI281=0, CK281=FALSE), NA(), AND($CI281=1, CK281=FALSE), 0, CK281=TRUE, 1)</f>
        <v>1</v>
      </c>
      <c r="CS281" s="10" cm="1">
        <f t="array" ref="CS281">_xlfn.IFS(AND($CI281=0, CL281=FALSE), NA(), AND($CI281=1, CL281=FALSE), 0, CL281=TRUE, 1)</f>
        <v>1</v>
      </c>
      <c r="CT281" s="10" cm="1">
        <f t="array" ref="CT281">_xlfn.IFS(AND($CI281=0, CM281=FALSE), NA(), AND($CI281=1, CM281=FALSE), 0, CM281=TRUE, 1)</f>
        <v>1</v>
      </c>
      <c r="CU281" s="10" cm="1">
        <f t="array" ref="CU281">_xlfn.IFS(AND($CN281=0, CP281=FALSE), NA(), AND($CN281=1, CP281=FALSE), 0, CP281=TRUE, 1)</f>
        <v>1</v>
      </c>
      <c r="CV281" s="10" cm="1">
        <f t="array" ref="CV281">_xlfn.IFS(AND($CN281=0, CQ281=FALSE), NA(), AND($CN281=1, CQ281=FALSE), 0, CQ281=TRUE, 1)</f>
        <v>1</v>
      </c>
    </row>
    <row r="282" spans="1:100" ht="15.75" x14ac:dyDescent="0.25">
      <c r="A282" s="8">
        <v>281</v>
      </c>
      <c r="B282" s="9">
        <v>8</v>
      </c>
      <c r="C282" s="10" t="s">
        <v>3</v>
      </c>
      <c r="D282" s="11" t="s">
        <v>44</v>
      </c>
      <c r="E282" s="12">
        <v>24280</v>
      </c>
      <c r="F282" s="13">
        <v>1</v>
      </c>
      <c r="G282" s="9">
        <v>47.811088562011719</v>
      </c>
      <c r="H282" s="12">
        <v>41743</v>
      </c>
      <c r="I282" s="9">
        <v>1</v>
      </c>
      <c r="J282" s="12">
        <v>41747</v>
      </c>
      <c r="K282" s="9">
        <v>0</v>
      </c>
      <c r="L282" s="9">
        <v>1</v>
      </c>
      <c r="M282" s="10" t="s">
        <v>401</v>
      </c>
      <c r="N282" s="9">
        <v>1</v>
      </c>
      <c r="O282" s="10" t="s">
        <v>401</v>
      </c>
      <c r="P282" s="9">
        <v>1</v>
      </c>
      <c r="Q282" s="10" t="s">
        <v>401</v>
      </c>
      <c r="R282" s="12">
        <v>42241</v>
      </c>
      <c r="S282" s="10" t="s">
        <v>146</v>
      </c>
      <c r="T282" s="9">
        <v>4</v>
      </c>
      <c r="U282" s="10" t="s">
        <v>401</v>
      </c>
      <c r="V282" s="10" t="s">
        <v>401</v>
      </c>
      <c r="W282" s="9"/>
      <c r="X282" s="9"/>
      <c r="Y282" s="9">
        <v>3</v>
      </c>
      <c r="Z282" s="14">
        <v>2</v>
      </c>
      <c r="AA282" s="15">
        <v>13.2</v>
      </c>
      <c r="AB282" s="16">
        <v>100.3</v>
      </c>
      <c r="AC282" s="16">
        <v>16.8</v>
      </c>
      <c r="AD282" s="9">
        <v>2</v>
      </c>
      <c r="AE282" s="9">
        <v>2</v>
      </c>
      <c r="AF282" s="9">
        <v>1</v>
      </c>
      <c r="AG282" s="9">
        <v>1</v>
      </c>
      <c r="AH282" s="9">
        <v>1</v>
      </c>
      <c r="AI282" s="9">
        <v>1</v>
      </c>
      <c r="AJ282" s="12">
        <v>43798</v>
      </c>
      <c r="AK282" s="9">
        <v>2</v>
      </c>
      <c r="AL282" s="12">
        <v>43924</v>
      </c>
      <c r="AM282" s="9">
        <v>3</v>
      </c>
      <c r="AN282" s="12">
        <v>43910</v>
      </c>
      <c r="AO282" s="12">
        <v>43935</v>
      </c>
      <c r="AP282" s="12">
        <v>43935</v>
      </c>
      <c r="AQ282" s="9">
        <v>1</v>
      </c>
      <c r="AR282" s="9">
        <f t="shared" si="99"/>
        <v>1</v>
      </c>
      <c r="AS282" s="9">
        <v>1</v>
      </c>
      <c r="AT282" s="9">
        <v>2</v>
      </c>
      <c r="AU282" s="9">
        <v>2</v>
      </c>
      <c r="AV282" s="9">
        <f t="shared" si="100"/>
        <v>1</v>
      </c>
      <c r="AW282" s="12">
        <v>43936</v>
      </c>
      <c r="AX282" s="9">
        <v>8210</v>
      </c>
      <c r="AY282" s="9">
        <v>5920</v>
      </c>
      <c r="AZ282" s="9">
        <v>1580</v>
      </c>
      <c r="BA282" s="9">
        <v>5920</v>
      </c>
      <c r="BB282" s="9">
        <v>1579.9998779296875</v>
      </c>
      <c r="BC282" s="9">
        <v>257000</v>
      </c>
      <c r="BD282" s="9">
        <v>600</v>
      </c>
      <c r="BE282" s="9">
        <v>60</v>
      </c>
      <c r="BF282" s="9">
        <v>634</v>
      </c>
      <c r="BG282" s="9">
        <v>8400</v>
      </c>
      <c r="BH282" s="9">
        <v>5750</v>
      </c>
      <c r="BI282" s="9">
        <v>1610</v>
      </c>
      <c r="BJ282" s="9">
        <v>251000</v>
      </c>
      <c r="BK282" s="9">
        <v>770</v>
      </c>
      <c r="BL282" s="9">
        <v>210</v>
      </c>
      <c r="BM282" s="9">
        <v>521</v>
      </c>
      <c r="BN282" s="9">
        <v>13500</v>
      </c>
      <c r="BO282" s="9">
        <v>11700</v>
      </c>
      <c r="BP282" s="9">
        <v>970</v>
      </c>
      <c r="BQ282" s="9">
        <v>171000</v>
      </c>
      <c r="BR282" s="9">
        <v>600</v>
      </c>
      <c r="BS282" s="9">
        <v>10</v>
      </c>
      <c r="BT282" s="9"/>
      <c r="BU282" s="9">
        <v>8860</v>
      </c>
      <c r="BV282" s="9">
        <v>5260</v>
      </c>
      <c r="BW282" s="9">
        <v>860</v>
      </c>
      <c r="BX282" s="9">
        <v>114000</v>
      </c>
      <c r="BY282" s="9">
        <v>280</v>
      </c>
      <c r="BZ282" s="10" t="s">
        <v>317</v>
      </c>
      <c r="CA282" s="9">
        <v>30</v>
      </c>
      <c r="CB282" s="9"/>
      <c r="CC282" s="10">
        <f t="shared" si="101"/>
        <v>3.7468357325173471</v>
      </c>
      <c r="CD282" s="10">
        <f t="shared" si="102"/>
        <v>162.65824041502674</v>
      </c>
      <c r="CE282" s="10">
        <f t="shared" si="111"/>
        <v>962936.78325695824</v>
      </c>
      <c r="CF282" s="10">
        <f t="shared" si="95"/>
        <v>1</v>
      </c>
      <c r="CG282" s="10">
        <f t="shared" si="96"/>
        <v>0</v>
      </c>
      <c r="CH282" s="10">
        <f t="shared" si="97"/>
        <v>5</v>
      </c>
      <c r="CI282" s="9">
        <f t="shared" si="103"/>
        <v>1</v>
      </c>
      <c r="CJ282" s="10">
        <f t="shared" si="98"/>
        <v>5</v>
      </c>
      <c r="CK282" s="10" t="b">
        <f t="shared" si="104"/>
        <v>0</v>
      </c>
      <c r="CL282" s="10" t="b">
        <f t="shared" si="105"/>
        <v>0</v>
      </c>
      <c r="CM282" s="10" t="b">
        <f t="shared" si="106"/>
        <v>0</v>
      </c>
      <c r="CN282" s="9">
        <f t="shared" si="107"/>
        <v>1</v>
      </c>
      <c r="CO282" s="10">
        <f t="shared" si="113"/>
        <v>5</v>
      </c>
      <c r="CP282" s="10" t="b">
        <f t="shared" si="108"/>
        <v>1</v>
      </c>
      <c r="CQ282" s="10" t="b">
        <f t="shared" si="109"/>
        <v>0</v>
      </c>
      <c r="CR282" s="10" cm="1">
        <f t="array" ref="CR282">_xlfn.IFS(AND($CI282=0, CK282=FALSE), NA(), AND($CI282=1, CK282=FALSE), 0, CK282=TRUE, 1)</f>
        <v>0</v>
      </c>
      <c r="CS282" s="10" cm="1">
        <f t="array" ref="CS282">_xlfn.IFS(AND($CI282=0, CL282=FALSE), NA(), AND($CI282=1, CL282=FALSE), 0, CL282=TRUE, 1)</f>
        <v>0</v>
      </c>
      <c r="CT282" s="10" cm="1">
        <f t="array" ref="CT282">_xlfn.IFS(AND($CI282=0, CM282=FALSE), NA(), AND($CI282=1, CM282=FALSE), 0, CM282=TRUE, 1)</f>
        <v>0</v>
      </c>
      <c r="CU282" s="10" cm="1">
        <f t="array" ref="CU282">_xlfn.IFS(AND($CN282=0, CP282=FALSE), NA(), AND($CN282=1, CP282=FALSE), 0, CP282=TRUE, 1)</f>
        <v>1</v>
      </c>
      <c r="CV282" s="10" cm="1">
        <f t="array" ref="CV282">_xlfn.IFS(AND($CN282=0, CQ282=FALSE), NA(), AND($CN282=1, CQ282=FALSE), 0, CQ282=TRUE, 1)</f>
        <v>0</v>
      </c>
    </row>
    <row r="283" spans="1:100" x14ac:dyDescent="0.25">
      <c r="A283" s="8">
        <v>282</v>
      </c>
      <c r="B283" s="9">
        <v>98</v>
      </c>
      <c r="C283" s="10" t="s">
        <v>11</v>
      </c>
      <c r="D283" s="11" t="s">
        <v>125</v>
      </c>
      <c r="E283" s="12">
        <v>24011</v>
      </c>
      <c r="F283" s="13">
        <v>1</v>
      </c>
      <c r="G283" s="9">
        <v>48.550308227539063</v>
      </c>
      <c r="H283" s="12">
        <v>41744</v>
      </c>
      <c r="I283" s="9">
        <v>1</v>
      </c>
      <c r="J283" s="12">
        <v>41774</v>
      </c>
      <c r="K283" s="9">
        <v>1</v>
      </c>
      <c r="L283" s="9">
        <v>1</v>
      </c>
      <c r="M283" s="10" t="s">
        <v>401</v>
      </c>
      <c r="N283" s="9">
        <v>2</v>
      </c>
      <c r="O283" s="10" t="s">
        <v>145</v>
      </c>
      <c r="P283" s="9">
        <v>2</v>
      </c>
      <c r="Q283" s="10" t="s">
        <v>145</v>
      </c>
      <c r="R283" s="12">
        <v>41793</v>
      </c>
      <c r="S283" s="10" t="s">
        <v>146</v>
      </c>
      <c r="T283" s="9">
        <v>6</v>
      </c>
      <c r="U283" s="10" t="s">
        <v>145</v>
      </c>
      <c r="V283" s="10" t="s">
        <v>401</v>
      </c>
      <c r="W283" s="9"/>
      <c r="X283" s="9"/>
      <c r="Y283" s="9">
        <v>4</v>
      </c>
      <c r="Z283" s="19">
        <v>2</v>
      </c>
      <c r="AB283" s="9"/>
      <c r="AC283" s="9"/>
      <c r="AD283" s="9">
        <v>2</v>
      </c>
      <c r="AE283" s="9">
        <v>2</v>
      </c>
      <c r="AF283" s="9">
        <v>2</v>
      </c>
      <c r="AG283" s="9">
        <v>1</v>
      </c>
      <c r="AH283" s="9">
        <v>1</v>
      </c>
      <c r="AI283" s="9">
        <v>1</v>
      </c>
      <c r="AJ283" s="12">
        <v>42444</v>
      </c>
      <c r="AK283" s="9">
        <v>2</v>
      </c>
      <c r="AL283" s="12">
        <v>43553</v>
      </c>
      <c r="AM283" s="9">
        <v>4</v>
      </c>
      <c r="AN283" s="12">
        <v>42461</v>
      </c>
      <c r="AO283" s="12">
        <v>42461</v>
      </c>
      <c r="AP283" s="12">
        <v>42461</v>
      </c>
      <c r="AQ283" s="9">
        <v>1</v>
      </c>
      <c r="AR283" s="9">
        <f t="shared" si="99"/>
        <v>1</v>
      </c>
      <c r="AS283" s="9">
        <v>1</v>
      </c>
      <c r="AT283" s="9">
        <v>2</v>
      </c>
      <c r="AU283" s="9">
        <v>2</v>
      </c>
      <c r="AV283" s="9">
        <f t="shared" si="100"/>
        <v>1</v>
      </c>
      <c r="AW283" s="12">
        <v>42496</v>
      </c>
      <c r="AX283" s="9">
        <v>10100</v>
      </c>
      <c r="AY283" s="9">
        <v>8000</v>
      </c>
      <c r="AZ283" s="9">
        <v>600</v>
      </c>
      <c r="BA283" s="9">
        <v>8000</v>
      </c>
      <c r="BB283" s="9">
        <v>600.00006103515625</v>
      </c>
      <c r="BC283" s="9">
        <v>451000</v>
      </c>
      <c r="BD283" s="9">
        <v>1000</v>
      </c>
      <c r="BE283" s="9">
        <v>100</v>
      </c>
      <c r="BF283" s="9"/>
      <c r="BG283" s="9">
        <v>9200</v>
      </c>
      <c r="BH283" s="9">
        <v>7100</v>
      </c>
      <c r="BI283" s="9">
        <v>700</v>
      </c>
      <c r="BJ283" s="9">
        <v>545000</v>
      </c>
      <c r="BK283" s="9">
        <v>600</v>
      </c>
      <c r="BL283" s="9">
        <v>100</v>
      </c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10" t="s">
        <v>401</v>
      </c>
      <c r="CA283" s="9"/>
      <c r="CB283" s="9"/>
      <c r="CC283" s="10">
        <f t="shared" si="101"/>
        <v>13.333331976996666</v>
      </c>
      <c r="CD283" s="10">
        <f t="shared" si="102"/>
        <v>751.66659020318707</v>
      </c>
      <c r="CE283" s="10">
        <f t="shared" si="111"/>
        <v>6013332.7216254966</v>
      </c>
      <c r="CF283" s="10">
        <f t="shared" si="95"/>
        <v>0</v>
      </c>
      <c r="CG283" s="10">
        <f t="shared" si="96"/>
        <v>0</v>
      </c>
      <c r="CH283" s="10">
        <f t="shared" si="97"/>
        <v>36</v>
      </c>
      <c r="CI283" s="9">
        <f t="shared" si="103"/>
        <v>1</v>
      </c>
      <c r="CJ283" s="10">
        <f t="shared" si="98"/>
        <v>2</v>
      </c>
      <c r="CK283" s="10" t="b">
        <f t="shared" si="104"/>
        <v>0</v>
      </c>
      <c r="CL283" s="10" t="b">
        <f t="shared" si="105"/>
        <v>0</v>
      </c>
      <c r="CM283" s="10" t="b">
        <f t="shared" si="106"/>
        <v>0</v>
      </c>
      <c r="CN283" s="9">
        <f t="shared" si="107"/>
        <v>1</v>
      </c>
      <c r="CO283" s="10">
        <f t="shared" si="113"/>
        <v>1</v>
      </c>
      <c r="CP283" s="10" t="b">
        <f t="shared" si="108"/>
        <v>0</v>
      </c>
      <c r="CQ283" s="10" t="b">
        <f t="shared" si="109"/>
        <v>0</v>
      </c>
      <c r="CR283" s="10" cm="1">
        <f t="array" ref="CR283">_xlfn.IFS(AND($CI283=0, CK283=FALSE), NA(), AND($CI283=1, CK283=FALSE), 0, CK283=TRUE, 1)</f>
        <v>0</v>
      </c>
      <c r="CS283" s="10" cm="1">
        <f t="array" ref="CS283">_xlfn.IFS(AND($CI283=0, CL283=FALSE), NA(), AND($CI283=1, CL283=FALSE), 0, CL283=TRUE, 1)</f>
        <v>0</v>
      </c>
      <c r="CT283" s="10" cm="1">
        <f t="array" ref="CT283">_xlfn.IFS(AND($CI283=0, CM283=FALSE), NA(), AND($CI283=1, CM283=FALSE), 0, CM283=TRUE, 1)</f>
        <v>0</v>
      </c>
      <c r="CU283" s="10" cm="1">
        <f t="array" ref="CU283">_xlfn.IFS(AND($CN283=0, CP283=FALSE), NA(), AND($CN283=1, CP283=FALSE), 0, CP283=TRUE, 1)</f>
        <v>0</v>
      </c>
      <c r="CV283" s="10" cm="1">
        <f t="array" ref="CV283">_xlfn.IFS(AND($CN283=0, CQ283=FALSE), NA(), AND($CN283=1, CQ283=FALSE), 0, CQ283=TRUE, 1)</f>
        <v>0</v>
      </c>
    </row>
    <row r="284" spans="1:100" ht="15.75" x14ac:dyDescent="0.25">
      <c r="A284" s="8">
        <v>283</v>
      </c>
      <c r="B284" s="9">
        <v>121</v>
      </c>
      <c r="C284" s="10" t="s">
        <v>13</v>
      </c>
      <c r="D284" s="11" t="s">
        <v>142</v>
      </c>
      <c r="E284" s="12">
        <v>23990</v>
      </c>
      <c r="F284" s="13">
        <v>1</v>
      </c>
      <c r="G284" s="9">
        <v>48.610542297363281</v>
      </c>
      <c r="H284" s="12">
        <v>41745</v>
      </c>
      <c r="I284" s="9">
        <v>1</v>
      </c>
      <c r="J284" s="12">
        <v>41745</v>
      </c>
      <c r="K284" s="9">
        <v>0</v>
      </c>
      <c r="L284" s="9">
        <v>1</v>
      </c>
      <c r="M284" s="10" t="s">
        <v>401</v>
      </c>
      <c r="N284" s="9">
        <v>2</v>
      </c>
      <c r="O284" s="10" t="s">
        <v>145</v>
      </c>
      <c r="P284" s="9">
        <v>2</v>
      </c>
      <c r="Q284" s="10" t="s">
        <v>145</v>
      </c>
      <c r="R284" s="12">
        <v>41848</v>
      </c>
      <c r="S284" s="10" t="s">
        <v>145</v>
      </c>
      <c r="T284" s="9"/>
      <c r="U284" s="10" t="s">
        <v>401</v>
      </c>
      <c r="V284" s="10" t="s">
        <v>401</v>
      </c>
      <c r="W284" s="9"/>
      <c r="X284" s="9"/>
      <c r="Y284" s="9">
        <v>2</v>
      </c>
      <c r="Z284" s="14">
        <v>1</v>
      </c>
      <c r="AA284" s="17">
        <v>12.3</v>
      </c>
      <c r="AB284" s="18">
        <v>92</v>
      </c>
      <c r="AC284" s="18">
        <v>15</v>
      </c>
      <c r="AD284" s="9">
        <v>2</v>
      </c>
      <c r="AE284" s="9">
        <v>2</v>
      </c>
      <c r="AF284" s="9">
        <v>1</v>
      </c>
      <c r="AG284" s="9">
        <v>1</v>
      </c>
      <c r="AH284" s="9">
        <v>1</v>
      </c>
      <c r="AI284" s="9">
        <v>1</v>
      </c>
      <c r="AJ284" s="12">
        <v>42398</v>
      </c>
      <c r="AK284" s="9">
        <v>2</v>
      </c>
      <c r="AL284" s="12">
        <v>43285</v>
      </c>
      <c r="AM284" s="9">
        <v>3</v>
      </c>
      <c r="AN284" s="12">
        <v>42512</v>
      </c>
      <c r="AO284" s="12">
        <v>43306</v>
      </c>
      <c r="AP284" s="12">
        <v>43306</v>
      </c>
      <c r="AQ284" s="9">
        <v>1</v>
      </c>
      <c r="AR284" s="9">
        <f t="shared" si="99"/>
        <v>1</v>
      </c>
      <c r="AS284" s="9">
        <v>1</v>
      </c>
      <c r="AT284" s="9">
        <v>2</v>
      </c>
      <c r="AU284" s="9">
        <v>2</v>
      </c>
      <c r="AV284" s="9">
        <f t="shared" si="100"/>
        <v>1</v>
      </c>
      <c r="AW284" s="12">
        <v>43306</v>
      </c>
      <c r="AX284" s="9">
        <v>8130</v>
      </c>
      <c r="AY284" s="9">
        <v>7100</v>
      </c>
      <c r="AZ284" s="9">
        <v>640</v>
      </c>
      <c r="BA284" s="9">
        <v>7100</v>
      </c>
      <c r="BB284" s="9">
        <v>640</v>
      </c>
      <c r="BC284" s="9">
        <v>475000</v>
      </c>
      <c r="BD284" s="9">
        <v>370</v>
      </c>
      <c r="BE284" s="9">
        <v>100</v>
      </c>
      <c r="BF284" s="9">
        <v>190</v>
      </c>
      <c r="BG284" s="9">
        <v>7950</v>
      </c>
      <c r="BH284" s="9">
        <v>4890</v>
      </c>
      <c r="BI284" s="9">
        <v>1760</v>
      </c>
      <c r="BJ284" s="9">
        <v>533000</v>
      </c>
      <c r="BK284" s="9">
        <v>840</v>
      </c>
      <c r="BL284" s="9">
        <v>420</v>
      </c>
      <c r="BM284" s="9">
        <v>190</v>
      </c>
      <c r="BN284" s="9">
        <v>8090</v>
      </c>
      <c r="BO284" s="9">
        <v>5480</v>
      </c>
      <c r="BP284" s="9">
        <v>1480</v>
      </c>
      <c r="BQ284" s="9">
        <v>262000</v>
      </c>
      <c r="BR284" s="9">
        <v>620</v>
      </c>
      <c r="BS284" s="9">
        <v>480</v>
      </c>
      <c r="BT284" s="9">
        <v>191</v>
      </c>
      <c r="BU284" s="9">
        <v>8270</v>
      </c>
      <c r="BV284" s="9">
        <v>5240</v>
      </c>
      <c r="BW284" s="9">
        <v>1760</v>
      </c>
      <c r="BX284" s="9">
        <v>268000</v>
      </c>
      <c r="BY284" s="9">
        <v>860</v>
      </c>
      <c r="BZ284" s="10" t="s">
        <v>574</v>
      </c>
      <c r="CA284" s="9">
        <v>390</v>
      </c>
      <c r="CB284" s="9">
        <v>175</v>
      </c>
      <c r="CC284" s="10">
        <f t="shared" si="101"/>
        <v>11.09375</v>
      </c>
      <c r="CD284" s="10">
        <f t="shared" si="102"/>
        <v>742.1875</v>
      </c>
      <c r="CE284" s="10">
        <f t="shared" si="111"/>
        <v>5269531.25</v>
      </c>
      <c r="CF284" s="10">
        <f t="shared" si="95"/>
        <v>1</v>
      </c>
      <c r="CG284" s="10">
        <f t="shared" si="96"/>
        <v>0</v>
      </c>
      <c r="CH284" s="10">
        <f t="shared" si="97"/>
        <v>30</v>
      </c>
      <c r="CI284" s="9">
        <f t="shared" si="103"/>
        <v>1</v>
      </c>
      <c r="CJ284" s="10">
        <f t="shared" si="98"/>
        <v>30</v>
      </c>
      <c r="CK284" s="10" t="b">
        <f t="shared" si="104"/>
        <v>1</v>
      </c>
      <c r="CL284" s="10" t="b">
        <f t="shared" si="105"/>
        <v>1</v>
      </c>
      <c r="CM284" s="10" t="b">
        <f t="shared" si="106"/>
        <v>1</v>
      </c>
      <c r="CN284" s="9">
        <f t="shared" si="107"/>
        <v>1</v>
      </c>
      <c r="CO284" s="10">
        <f t="shared" si="113"/>
        <v>30</v>
      </c>
      <c r="CP284" s="10" t="b">
        <f t="shared" si="108"/>
        <v>1</v>
      </c>
      <c r="CQ284" s="10" t="b">
        <f t="shared" si="109"/>
        <v>1</v>
      </c>
      <c r="CR284" s="10" cm="1">
        <f t="array" ref="CR284">_xlfn.IFS(AND($CI284=0, CK284=FALSE), NA(), AND($CI284=1, CK284=FALSE), 0, CK284=TRUE, 1)</f>
        <v>1</v>
      </c>
      <c r="CS284" s="10" cm="1">
        <f t="array" ref="CS284">_xlfn.IFS(AND($CI284=0, CL284=FALSE), NA(), AND($CI284=1, CL284=FALSE), 0, CL284=TRUE, 1)</f>
        <v>1</v>
      </c>
      <c r="CT284" s="10" cm="1">
        <f t="array" ref="CT284">_xlfn.IFS(AND($CI284=0, CM284=FALSE), NA(), AND($CI284=1, CM284=FALSE), 0, CM284=TRUE, 1)</f>
        <v>1</v>
      </c>
      <c r="CU284" s="10" cm="1">
        <f t="array" ref="CU284">_xlfn.IFS(AND($CN284=0, CP284=FALSE), NA(), AND($CN284=1, CP284=FALSE), 0, CP284=TRUE, 1)</f>
        <v>1</v>
      </c>
      <c r="CV284" s="10" cm="1">
        <f t="array" ref="CV284">_xlfn.IFS(AND($CN284=0, CQ284=FALSE), NA(), AND($CN284=1, CQ284=FALSE), 0, CQ284=TRUE, 1)</f>
        <v>1</v>
      </c>
    </row>
    <row r="285" spans="1:100" ht="15.75" x14ac:dyDescent="0.25">
      <c r="A285" s="8">
        <v>284</v>
      </c>
      <c r="B285" s="9">
        <v>389</v>
      </c>
      <c r="C285" s="10" t="s">
        <v>29</v>
      </c>
      <c r="D285" s="11" t="s">
        <v>304</v>
      </c>
      <c r="E285" s="12">
        <v>15593</v>
      </c>
      <c r="F285" s="13">
        <v>1</v>
      </c>
      <c r="G285" s="9">
        <v>71.633125305175781</v>
      </c>
      <c r="H285" s="12">
        <v>41757</v>
      </c>
      <c r="I285" s="9">
        <v>1</v>
      </c>
      <c r="J285" s="12">
        <v>41757</v>
      </c>
      <c r="K285" s="9">
        <v>0</v>
      </c>
      <c r="L285" s="9">
        <v>1</v>
      </c>
      <c r="M285" s="10" t="s">
        <v>401</v>
      </c>
      <c r="N285" s="9">
        <v>2</v>
      </c>
      <c r="O285" s="10" t="s">
        <v>409</v>
      </c>
      <c r="P285" s="9">
        <v>2</v>
      </c>
      <c r="Q285" s="10" t="s">
        <v>409</v>
      </c>
      <c r="R285" s="12">
        <v>41769</v>
      </c>
      <c r="S285" s="10" t="s">
        <v>145</v>
      </c>
      <c r="T285" s="9"/>
      <c r="U285" s="10" t="s">
        <v>401</v>
      </c>
      <c r="V285" s="10" t="s">
        <v>401</v>
      </c>
      <c r="W285" s="9"/>
      <c r="X285" s="9"/>
      <c r="Y285" s="9">
        <v>2</v>
      </c>
      <c r="Z285" s="14">
        <v>1</v>
      </c>
      <c r="AA285" s="17">
        <v>10.9</v>
      </c>
      <c r="AB285" s="18">
        <v>102</v>
      </c>
      <c r="AC285" s="18"/>
      <c r="AD285" s="9">
        <v>2</v>
      </c>
      <c r="AE285" s="9">
        <v>2</v>
      </c>
      <c r="AF285" s="9">
        <v>1</v>
      </c>
      <c r="AG285" s="9">
        <v>0</v>
      </c>
      <c r="AH285" s="9">
        <v>1</v>
      </c>
      <c r="AI285" s="9">
        <v>1</v>
      </c>
      <c r="AJ285" s="12">
        <v>42438</v>
      </c>
      <c r="AK285" s="9">
        <v>2</v>
      </c>
      <c r="AL285" s="12">
        <v>42970</v>
      </c>
      <c r="AM285" s="9">
        <v>3</v>
      </c>
      <c r="AN285" s="12">
        <v>42536</v>
      </c>
      <c r="AO285" s="12">
        <v>42816</v>
      </c>
      <c r="AP285" s="12">
        <v>42984</v>
      </c>
      <c r="AQ285" s="9">
        <v>1</v>
      </c>
      <c r="AR285" s="9">
        <f t="shared" si="99"/>
        <v>1</v>
      </c>
      <c r="AS285" s="9">
        <v>1</v>
      </c>
      <c r="AT285" s="9">
        <v>1</v>
      </c>
      <c r="AU285" s="9">
        <v>2</v>
      </c>
      <c r="AV285" s="9">
        <f t="shared" si="100"/>
        <v>1</v>
      </c>
      <c r="AW285" s="12">
        <v>43200</v>
      </c>
      <c r="AX285" s="9">
        <v>5120</v>
      </c>
      <c r="AY285" s="9">
        <v>2850</v>
      </c>
      <c r="AZ285" s="9">
        <v>1500</v>
      </c>
      <c r="BA285" s="9">
        <v>2850</v>
      </c>
      <c r="BB285" s="9">
        <v>1500.0001220703125</v>
      </c>
      <c r="BC285" s="9">
        <v>194000</v>
      </c>
      <c r="BD285" s="9">
        <v>54</v>
      </c>
      <c r="BE285" s="9">
        <v>21</v>
      </c>
      <c r="BF285" s="9"/>
      <c r="BG285" s="9">
        <v>4610</v>
      </c>
      <c r="BH285" s="9">
        <v>2230</v>
      </c>
      <c r="BI285" s="9">
        <v>1320</v>
      </c>
      <c r="BJ285" s="9">
        <v>229000</v>
      </c>
      <c r="BK285" s="9">
        <v>80</v>
      </c>
      <c r="BL285" s="9">
        <v>24</v>
      </c>
      <c r="BM285" s="9"/>
      <c r="BN285" s="9">
        <v>8320</v>
      </c>
      <c r="BO285" s="9">
        <v>5682</v>
      </c>
      <c r="BP285" s="9">
        <v>1597</v>
      </c>
      <c r="BQ285" s="9">
        <v>269000</v>
      </c>
      <c r="BR285" s="9">
        <v>80</v>
      </c>
      <c r="BS285" s="9">
        <v>15</v>
      </c>
      <c r="BT285" s="9"/>
      <c r="BU285" s="9">
        <v>6990</v>
      </c>
      <c r="BV285" s="9">
        <v>3970</v>
      </c>
      <c r="BW285" s="9">
        <v>1840</v>
      </c>
      <c r="BX285" s="9">
        <v>265000</v>
      </c>
      <c r="BY285" s="9">
        <v>82</v>
      </c>
      <c r="BZ285" s="10" t="s">
        <v>318</v>
      </c>
      <c r="CA285" s="9">
        <v>31</v>
      </c>
      <c r="CB285" s="9"/>
      <c r="CC285" s="10">
        <f t="shared" si="101"/>
        <v>1.8999998453776168</v>
      </c>
      <c r="CD285" s="10">
        <f t="shared" si="102"/>
        <v>129.33332280816057</v>
      </c>
      <c r="CE285" s="10">
        <f t="shared" si="111"/>
        <v>368599.97000325768</v>
      </c>
      <c r="CF285" s="10">
        <f t="shared" si="95"/>
        <v>1</v>
      </c>
      <c r="CG285" s="10">
        <f t="shared" si="96"/>
        <v>0</v>
      </c>
      <c r="CH285" s="10">
        <f t="shared" si="97"/>
        <v>17</v>
      </c>
      <c r="CI285" s="9">
        <f t="shared" si="103"/>
        <v>1</v>
      </c>
      <c r="CJ285" s="10">
        <f t="shared" si="98"/>
        <v>25</v>
      </c>
      <c r="CK285" s="10" t="b">
        <f t="shared" si="104"/>
        <v>1</v>
      </c>
      <c r="CL285" s="10" t="b">
        <f t="shared" si="105"/>
        <v>1</v>
      </c>
      <c r="CM285" s="10" t="b">
        <f t="shared" si="106"/>
        <v>1</v>
      </c>
      <c r="CN285" s="9">
        <f t="shared" si="107"/>
        <v>1</v>
      </c>
      <c r="CO285" s="10">
        <f t="shared" si="113"/>
        <v>12</v>
      </c>
      <c r="CP285" s="10" t="b">
        <f t="shared" si="108"/>
        <v>1</v>
      </c>
      <c r="CQ285" s="10" t="b">
        <f t="shared" si="109"/>
        <v>1</v>
      </c>
      <c r="CR285" s="10" cm="1">
        <f t="array" ref="CR285">_xlfn.IFS(AND($CI285=0, CK285=FALSE), NA(), AND($CI285=1, CK285=FALSE), 0, CK285=TRUE, 1)</f>
        <v>1</v>
      </c>
      <c r="CS285" s="10" cm="1">
        <f t="array" ref="CS285">_xlfn.IFS(AND($CI285=0, CL285=FALSE), NA(), AND($CI285=1, CL285=FALSE), 0, CL285=TRUE, 1)</f>
        <v>1</v>
      </c>
      <c r="CT285" s="10" cm="1">
        <f t="array" ref="CT285">_xlfn.IFS(AND($CI285=0, CM285=FALSE), NA(), AND($CI285=1, CM285=FALSE), 0, CM285=TRUE, 1)</f>
        <v>1</v>
      </c>
      <c r="CU285" s="10" cm="1">
        <f t="array" ref="CU285">_xlfn.IFS(AND($CN285=0, CP285=FALSE), NA(), AND($CN285=1, CP285=FALSE), 0, CP285=TRUE, 1)</f>
        <v>1</v>
      </c>
      <c r="CV285" s="10" cm="1">
        <f t="array" ref="CV285">_xlfn.IFS(AND($CN285=0, CQ285=FALSE), NA(), AND($CN285=1, CQ285=FALSE), 0, CQ285=TRUE, 1)</f>
        <v>1</v>
      </c>
    </row>
    <row r="286" spans="1:100" ht="15.75" x14ac:dyDescent="0.25">
      <c r="A286" s="8">
        <v>285</v>
      </c>
      <c r="B286" s="9">
        <v>517</v>
      </c>
      <c r="C286" s="10" t="s">
        <v>33</v>
      </c>
      <c r="D286" s="11" t="s">
        <v>381</v>
      </c>
      <c r="E286" s="12">
        <v>26624</v>
      </c>
      <c r="F286" s="13">
        <v>1</v>
      </c>
      <c r="G286" s="9">
        <v>41.453800201416016</v>
      </c>
      <c r="H286" s="12">
        <v>41765</v>
      </c>
      <c r="I286" s="9">
        <v>1</v>
      </c>
      <c r="J286" s="12">
        <v>42170</v>
      </c>
      <c r="K286" s="9">
        <v>0</v>
      </c>
      <c r="L286" s="9">
        <v>2</v>
      </c>
      <c r="M286" s="10" t="s">
        <v>401</v>
      </c>
      <c r="N286" s="9">
        <v>3</v>
      </c>
      <c r="O286" s="10" t="s">
        <v>443</v>
      </c>
      <c r="P286" s="9">
        <v>3</v>
      </c>
      <c r="Q286" s="10" t="s">
        <v>443</v>
      </c>
      <c r="R286" s="12">
        <v>42374</v>
      </c>
      <c r="S286" s="10" t="s">
        <v>145</v>
      </c>
      <c r="T286" s="9">
        <v>6</v>
      </c>
      <c r="U286" s="10" t="s">
        <v>401</v>
      </c>
      <c r="V286" s="10" t="s">
        <v>401</v>
      </c>
      <c r="W286" s="9"/>
      <c r="X286" s="9"/>
      <c r="Y286" s="9">
        <v>3</v>
      </c>
      <c r="Z286" s="14">
        <v>1</v>
      </c>
      <c r="AA286" s="17">
        <v>9</v>
      </c>
      <c r="AB286" s="18">
        <v>67</v>
      </c>
      <c r="AC286" s="18">
        <v>17</v>
      </c>
      <c r="AD286" s="9">
        <v>3</v>
      </c>
      <c r="AE286" s="9">
        <v>3</v>
      </c>
      <c r="AF286" s="9">
        <v>2</v>
      </c>
      <c r="AG286" s="9">
        <v>1</v>
      </c>
      <c r="AH286" s="9">
        <v>1</v>
      </c>
      <c r="AI286" s="9">
        <v>0</v>
      </c>
      <c r="AJ286" s="12">
        <v>42872</v>
      </c>
      <c r="AK286" s="9">
        <v>2</v>
      </c>
      <c r="AL286" s="12">
        <v>43019</v>
      </c>
      <c r="AM286" s="9">
        <v>4</v>
      </c>
      <c r="AN286" s="12">
        <v>42933</v>
      </c>
      <c r="AO286" s="12">
        <v>42933</v>
      </c>
      <c r="AP286" s="12">
        <v>43039</v>
      </c>
      <c r="AQ286" s="9">
        <v>1</v>
      </c>
      <c r="AR286" s="9">
        <f t="shared" si="99"/>
        <v>1</v>
      </c>
      <c r="AS286" s="9">
        <v>1</v>
      </c>
      <c r="AT286" s="9">
        <v>1</v>
      </c>
      <c r="AU286" s="9">
        <v>2</v>
      </c>
      <c r="AV286" s="9">
        <f t="shared" si="100"/>
        <v>1</v>
      </c>
      <c r="AW286" s="12">
        <v>43302</v>
      </c>
      <c r="AX286" s="9"/>
      <c r="AY286" s="9"/>
      <c r="AZ286" s="9"/>
      <c r="BA286" s="9">
        <v>4390.6220703125</v>
      </c>
      <c r="BB286" s="9">
        <v>1749.7261962890625</v>
      </c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10" t="s">
        <v>401</v>
      </c>
      <c r="CA286" s="9"/>
      <c r="CB286" s="9"/>
      <c r="CC286" s="10">
        <f t="shared" si="101"/>
        <v>2.5093195036025797</v>
      </c>
      <c r="CF286" s="10">
        <f t="shared" si="95"/>
        <v>0</v>
      </c>
      <c r="CG286" s="10">
        <f t="shared" si="96"/>
        <v>0</v>
      </c>
      <c r="CH286" s="10">
        <f t="shared" si="97"/>
        <v>5</v>
      </c>
      <c r="CI286" s="9">
        <f t="shared" si="103"/>
        <v>1</v>
      </c>
      <c r="CJ286" s="10">
        <f t="shared" si="98"/>
        <v>14</v>
      </c>
      <c r="CK286" s="10" t="b">
        <f t="shared" si="104"/>
        <v>1</v>
      </c>
      <c r="CL286" s="10" t="b">
        <f t="shared" si="105"/>
        <v>0</v>
      </c>
      <c r="CM286" s="10" t="b">
        <f t="shared" si="106"/>
        <v>0</v>
      </c>
      <c r="CN286" s="9">
        <f t="shared" si="107"/>
        <v>1</v>
      </c>
      <c r="CO286" s="10">
        <f t="shared" si="113"/>
        <v>2</v>
      </c>
      <c r="CP286" s="10" t="b">
        <f t="shared" si="108"/>
        <v>0</v>
      </c>
      <c r="CQ286" s="10" t="b">
        <f t="shared" si="109"/>
        <v>0</v>
      </c>
      <c r="CR286" s="10" cm="1">
        <f t="array" ref="CR286">_xlfn.IFS(AND($CI286=0, CK286=FALSE), NA(), AND($CI286=1, CK286=FALSE), 0, CK286=TRUE, 1)</f>
        <v>1</v>
      </c>
      <c r="CS286" s="10" cm="1">
        <f t="array" ref="CS286">_xlfn.IFS(AND($CI286=0, CL286=FALSE), NA(), AND($CI286=1, CL286=FALSE), 0, CL286=TRUE, 1)</f>
        <v>0</v>
      </c>
      <c r="CT286" s="10" cm="1">
        <f t="array" ref="CT286">_xlfn.IFS(AND($CI286=0, CM286=FALSE), NA(), AND($CI286=1, CM286=FALSE), 0, CM286=TRUE, 1)</f>
        <v>0</v>
      </c>
      <c r="CU286" s="10" cm="1">
        <f t="array" ref="CU286">_xlfn.IFS(AND($CN286=0, CP286=FALSE), NA(), AND($CN286=1, CP286=FALSE), 0, CP286=TRUE, 1)</f>
        <v>0</v>
      </c>
      <c r="CV286" s="10" cm="1">
        <f t="array" ref="CV286">_xlfn.IFS(AND($CN286=0, CQ286=FALSE), NA(), AND($CN286=1, CQ286=FALSE), 0, CQ286=TRUE, 1)</f>
        <v>0</v>
      </c>
    </row>
    <row r="287" spans="1:100" ht="15.75" x14ac:dyDescent="0.25">
      <c r="A287" s="8">
        <v>286</v>
      </c>
      <c r="B287" s="9">
        <v>196</v>
      </c>
      <c r="C287" s="10" t="s">
        <v>17</v>
      </c>
      <c r="D287" s="11" t="s">
        <v>54</v>
      </c>
      <c r="E287" s="12">
        <v>13370</v>
      </c>
      <c r="F287" s="13">
        <v>1</v>
      </c>
      <c r="G287" s="9">
        <v>77.746749877929688</v>
      </c>
      <c r="H287" s="12">
        <v>41767</v>
      </c>
      <c r="I287" s="9">
        <v>1</v>
      </c>
      <c r="J287" s="12">
        <v>41767</v>
      </c>
      <c r="K287" s="9">
        <v>1</v>
      </c>
      <c r="L287" s="9">
        <v>1</v>
      </c>
      <c r="M287" s="10" t="s">
        <v>401</v>
      </c>
      <c r="N287" s="9">
        <v>2</v>
      </c>
      <c r="O287" s="10" t="s">
        <v>409</v>
      </c>
      <c r="P287" s="9">
        <v>2</v>
      </c>
      <c r="Q287" s="10" t="s">
        <v>409</v>
      </c>
      <c r="R287" s="12">
        <v>41887</v>
      </c>
      <c r="S287" s="10" t="s">
        <v>145</v>
      </c>
      <c r="T287" s="9">
        <v>5</v>
      </c>
      <c r="U287" s="10" t="s">
        <v>401</v>
      </c>
      <c r="V287" s="10" t="s">
        <v>401</v>
      </c>
      <c r="W287" s="9"/>
      <c r="X287" s="9"/>
      <c r="Y287" s="9">
        <v>3</v>
      </c>
      <c r="Z287" s="14">
        <v>1</v>
      </c>
      <c r="AA287" s="17">
        <v>13.4</v>
      </c>
      <c r="AB287" s="18">
        <v>88</v>
      </c>
      <c r="AC287" s="18">
        <v>16</v>
      </c>
      <c r="AD287" s="9">
        <v>2</v>
      </c>
      <c r="AE287" s="9">
        <v>2</v>
      </c>
      <c r="AF287" s="9">
        <v>1</v>
      </c>
      <c r="AG287" s="9">
        <v>1</v>
      </c>
      <c r="AH287" s="9">
        <v>1</v>
      </c>
      <c r="AI287" s="9">
        <v>0</v>
      </c>
      <c r="AJ287" s="12">
        <v>42836</v>
      </c>
      <c r="AK287" s="9">
        <v>2</v>
      </c>
      <c r="AL287" s="12">
        <v>42899</v>
      </c>
      <c r="AM287" s="9">
        <v>4</v>
      </c>
      <c r="AN287" s="12">
        <v>42900</v>
      </c>
      <c r="AO287" s="12">
        <v>42900</v>
      </c>
      <c r="AP287" s="12">
        <v>42900</v>
      </c>
      <c r="AQ287" s="9">
        <v>1</v>
      </c>
      <c r="AR287" s="9">
        <f t="shared" si="99"/>
        <v>1</v>
      </c>
      <c r="AS287" s="9">
        <v>1</v>
      </c>
      <c r="AT287" s="9">
        <v>2</v>
      </c>
      <c r="AU287" s="9">
        <v>2</v>
      </c>
      <c r="AV287" s="9">
        <f t="shared" si="100"/>
        <v>1</v>
      </c>
      <c r="AW287" s="12">
        <v>42974</v>
      </c>
      <c r="AX287" s="9">
        <v>8330</v>
      </c>
      <c r="AY287" s="9">
        <v>5600</v>
      </c>
      <c r="AZ287" s="9">
        <v>1600</v>
      </c>
      <c r="BA287" s="9">
        <v>5600</v>
      </c>
      <c r="BB287" s="9">
        <v>1600.0001220703125</v>
      </c>
      <c r="BC287" s="9">
        <v>223000</v>
      </c>
      <c r="BD287" s="9">
        <v>900</v>
      </c>
      <c r="BE287" s="9">
        <v>100</v>
      </c>
      <c r="BF287" s="9"/>
      <c r="BG287" s="9">
        <v>8300</v>
      </c>
      <c r="BH287" s="9">
        <v>5700</v>
      </c>
      <c r="BI287" s="9">
        <v>1600</v>
      </c>
      <c r="BJ287" s="9">
        <v>260000</v>
      </c>
      <c r="BK287" s="9">
        <v>700</v>
      </c>
      <c r="BL287" s="9">
        <v>300</v>
      </c>
      <c r="BM287" s="9"/>
      <c r="BN287" s="9">
        <v>6850</v>
      </c>
      <c r="BO287" s="9">
        <v>4800</v>
      </c>
      <c r="BP287" s="9">
        <v>1300</v>
      </c>
      <c r="BQ287" s="9">
        <v>197000</v>
      </c>
      <c r="BR287" s="9">
        <v>600</v>
      </c>
      <c r="BS287" s="9">
        <v>100</v>
      </c>
      <c r="BT287" s="9"/>
      <c r="BU287" s="9">
        <v>7810</v>
      </c>
      <c r="BV287" s="9">
        <v>5500</v>
      </c>
      <c r="BW287" s="9">
        <v>1300</v>
      </c>
      <c r="BX287" s="9">
        <v>208000</v>
      </c>
      <c r="BY287" s="9">
        <v>700</v>
      </c>
      <c r="BZ287" s="10" t="s">
        <v>524</v>
      </c>
      <c r="CA287" s="9">
        <v>200</v>
      </c>
      <c r="CB287" s="9"/>
      <c r="CC287" s="10">
        <f t="shared" si="101"/>
        <v>3.4999997329712116</v>
      </c>
      <c r="CD287" s="10">
        <f t="shared" si="102"/>
        <v>139.37498936653219</v>
      </c>
      <c r="CE287" s="10">
        <f t="shared" ref="CE287:CE313" si="114">BC287*CC287</f>
        <v>780499.94045258022</v>
      </c>
      <c r="CF287" s="10">
        <f t="shared" si="95"/>
        <v>0</v>
      </c>
      <c r="CG287" s="10">
        <f t="shared" si="96"/>
        <v>0</v>
      </c>
      <c r="CH287" s="10">
        <f t="shared" si="97"/>
        <v>2</v>
      </c>
      <c r="CI287" s="9">
        <f t="shared" si="103"/>
        <v>1</v>
      </c>
      <c r="CJ287" s="10">
        <f t="shared" si="98"/>
        <v>4</v>
      </c>
      <c r="CK287" s="10" t="b">
        <f t="shared" si="104"/>
        <v>0</v>
      </c>
      <c r="CL287" s="10" t="b">
        <f t="shared" si="105"/>
        <v>0</v>
      </c>
      <c r="CM287" s="10" t="b">
        <f t="shared" si="106"/>
        <v>0</v>
      </c>
      <c r="CN287" s="9">
        <f t="shared" si="107"/>
        <v>1</v>
      </c>
      <c r="CO287" s="10">
        <f t="shared" si="113"/>
        <v>2</v>
      </c>
      <c r="CP287" s="10" t="b">
        <f t="shared" si="108"/>
        <v>0</v>
      </c>
      <c r="CQ287" s="10" t="b">
        <f t="shared" si="109"/>
        <v>0</v>
      </c>
      <c r="CR287" s="10" cm="1">
        <f t="array" ref="CR287">_xlfn.IFS(AND($CI287=0, CK287=FALSE), NA(), AND($CI287=1, CK287=FALSE), 0, CK287=TRUE, 1)</f>
        <v>0</v>
      </c>
      <c r="CS287" s="10" cm="1">
        <f t="array" ref="CS287">_xlfn.IFS(AND($CI287=0, CL287=FALSE), NA(), AND($CI287=1, CL287=FALSE), 0, CL287=TRUE, 1)</f>
        <v>0</v>
      </c>
      <c r="CT287" s="10" cm="1">
        <f t="array" ref="CT287">_xlfn.IFS(AND($CI287=0, CM287=FALSE), NA(), AND($CI287=1, CM287=FALSE), 0, CM287=TRUE, 1)</f>
        <v>0</v>
      </c>
      <c r="CU287" s="10" cm="1">
        <f t="array" ref="CU287">_xlfn.IFS(AND($CN287=0, CP287=FALSE), NA(), AND($CN287=1, CP287=FALSE), 0, CP287=TRUE, 1)</f>
        <v>0</v>
      </c>
      <c r="CV287" s="10" cm="1">
        <f t="array" ref="CV287">_xlfn.IFS(AND($CN287=0, CQ287=FALSE), NA(), AND($CN287=1, CQ287=FALSE), 0, CQ287=TRUE, 1)</f>
        <v>0</v>
      </c>
    </row>
    <row r="288" spans="1:100" ht="15.75" x14ac:dyDescent="0.25">
      <c r="A288" s="8">
        <v>287</v>
      </c>
      <c r="B288" s="9">
        <v>275</v>
      </c>
      <c r="C288" s="10" t="s">
        <v>21</v>
      </c>
      <c r="D288" s="11" t="s">
        <v>181</v>
      </c>
      <c r="E288" s="12">
        <v>17390</v>
      </c>
      <c r="F288" s="13">
        <v>2</v>
      </c>
      <c r="G288" s="9">
        <v>66.759750366210938</v>
      </c>
      <c r="H288" s="12">
        <v>41774</v>
      </c>
      <c r="I288" s="9">
        <v>1</v>
      </c>
      <c r="J288" s="12">
        <v>41807</v>
      </c>
      <c r="K288" s="9">
        <v>1</v>
      </c>
      <c r="L288" s="9">
        <v>1</v>
      </c>
      <c r="M288" s="10" t="s">
        <v>401</v>
      </c>
      <c r="N288" s="9"/>
      <c r="O288" s="10" t="s">
        <v>401</v>
      </c>
      <c r="P288" s="9"/>
      <c r="Q288" s="10" t="s">
        <v>401</v>
      </c>
      <c r="R288" s="12">
        <v>41774</v>
      </c>
      <c r="S288" s="10" t="s">
        <v>146</v>
      </c>
      <c r="T288" s="9">
        <v>6</v>
      </c>
      <c r="U288" s="10" t="s">
        <v>147</v>
      </c>
      <c r="V288" s="10" t="s">
        <v>401</v>
      </c>
      <c r="W288" s="9"/>
      <c r="X288" s="9"/>
      <c r="Y288" s="9">
        <v>4</v>
      </c>
      <c r="Z288" s="14">
        <v>2</v>
      </c>
      <c r="AA288" s="15">
        <v>9.5</v>
      </c>
      <c r="AB288" s="16">
        <v>70</v>
      </c>
      <c r="AC288" s="16">
        <v>18</v>
      </c>
      <c r="AD288" s="9">
        <v>3</v>
      </c>
      <c r="AE288" s="9">
        <v>2</v>
      </c>
      <c r="AF288" s="9">
        <v>1</v>
      </c>
      <c r="AG288" s="9">
        <v>0</v>
      </c>
      <c r="AH288" s="9">
        <v>1</v>
      </c>
      <c r="AI288" s="9">
        <v>1</v>
      </c>
      <c r="AJ288" s="12">
        <v>42402</v>
      </c>
      <c r="AK288" s="9">
        <v>2</v>
      </c>
      <c r="AL288" s="12">
        <v>42458</v>
      </c>
      <c r="AM288" s="9">
        <v>4</v>
      </c>
      <c r="AN288" s="12">
        <v>42458</v>
      </c>
      <c r="AO288" s="12">
        <v>42458</v>
      </c>
      <c r="AP288" s="12">
        <v>42458</v>
      </c>
      <c r="AQ288" s="9">
        <v>1</v>
      </c>
      <c r="AR288" s="9">
        <f t="shared" si="99"/>
        <v>1</v>
      </c>
      <c r="AS288" s="9">
        <v>1</v>
      </c>
      <c r="AT288" s="9">
        <v>2</v>
      </c>
      <c r="AU288" s="9">
        <v>2</v>
      </c>
      <c r="AV288" s="9">
        <f t="shared" si="100"/>
        <v>1</v>
      </c>
      <c r="AW288" s="12">
        <v>42471</v>
      </c>
      <c r="AX288" s="9">
        <v>7090</v>
      </c>
      <c r="AY288" s="9">
        <v>4820</v>
      </c>
      <c r="AZ288" s="9">
        <v>1450</v>
      </c>
      <c r="BA288" s="9">
        <v>4820</v>
      </c>
      <c r="BB288" s="9">
        <v>1450</v>
      </c>
      <c r="BC288" s="9">
        <v>444000</v>
      </c>
      <c r="BD288" s="9">
        <v>660</v>
      </c>
      <c r="BE288" s="9">
        <v>150</v>
      </c>
      <c r="BF288" s="9">
        <v>118</v>
      </c>
      <c r="BG288" s="9">
        <v>8270</v>
      </c>
      <c r="BH288" s="9">
        <v>5840</v>
      </c>
      <c r="BI288" s="9">
        <v>1310</v>
      </c>
      <c r="BJ288" s="9">
        <v>444000</v>
      </c>
      <c r="BK288" s="9">
        <v>900</v>
      </c>
      <c r="BL288" s="9">
        <v>210</v>
      </c>
      <c r="BM288" s="9">
        <v>132</v>
      </c>
      <c r="BN288" s="9">
        <v>6150</v>
      </c>
      <c r="BO288" s="9">
        <v>3800</v>
      </c>
      <c r="BP288" s="9">
        <v>1130</v>
      </c>
      <c r="BQ288" s="9">
        <v>405000</v>
      </c>
      <c r="BR288" s="9">
        <v>960</v>
      </c>
      <c r="BS288" s="9">
        <v>250</v>
      </c>
      <c r="BT288" s="9">
        <v>164</v>
      </c>
      <c r="BU288" s="9">
        <v>6920</v>
      </c>
      <c r="BV288" s="9">
        <v>4730</v>
      </c>
      <c r="BW288" s="9">
        <v>1270</v>
      </c>
      <c r="BX288" s="9">
        <v>410000</v>
      </c>
      <c r="BY288" s="9">
        <v>690</v>
      </c>
      <c r="BZ288" s="10" t="s">
        <v>534</v>
      </c>
      <c r="CA288" s="9">
        <v>220</v>
      </c>
      <c r="CB288" s="9">
        <v>152</v>
      </c>
      <c r="CC288" s="10">
        <f t="shared" si="101"/>
        <v>3.3241379310344827</v>
      </c>
      <c r="CD288" s="10">
        <f t="shared" si="102"/>
        <v>306.20689655172413</v>
      </c>
      <c r="CE288" s="10">
        <f t="shared" si="114"/>
        <v>1475917.2413793104</v>
      </c>
      <c r="CF288" s="10">
        <f t="shared" si="95"/>
        <v>0</v>
      </c>
      <c r="CG288" s="10">
        <f t="shared" si="96"/>
        <v>0</v>
      </c>
      <c r="CH288" s="10">
        <f t="shared" si="97"/>
        <v>1</v>
      </c>
      <c r="CI288" s="9">
        <f t="shared" si="103"/>
        <v>1</v>
      </c>
      <c r="CJ288" s="10">
        <f t="shared" si="98"/>
        <v>2</v>
      </c>
      <c r="CK288" s="10" t="b">
        <f t="shared" si="104"/>
        <v>0</v>
      </c>
      <c r="CL288" s="10" t="b">
        <f t="shared" si="105"/>
        <v>0</v>
      </c>
      <c r="CM288" s="10" t="b">
        <f t="shared" si="106"/>
        <v>0</v>
      </c>
      <c r="CN288" s="9">
        <f t="shared" si="107"/>
        <v>1</v>
      </c>
      <c r="CO288" s="10">
        <f t="shared" si="113"/>
        <v>1</v>
      </c>
      <c r="CP288" s="10" t="b">
        <f t="shared" si="108"/>
        <v>0</v>
      </c>
      <c r="CQ288" s="10" t="b">
        <f t="shared" si="109"/>
        <v>0</v>
      </c>
      <c r="CR288" s="10" cm="1">
        <f t="array" ref="CR288">_xlfn.IFS(AND($CI288=0, CK288=FALSE), NA(), AND($CI288=1, CK288=FALSE), 0, CK288=TRUE, 1)</f>
        <v>0</v>
      </c>
      <c r="CS288" s="10" cm="1">
        <f t="array" ref="CS288">_xlfn.IFS(AND($CI288=0, CL288=FALSE), NA(), AND($CI288=1, CL288=FALSE), 0, CL288=TRUE, 1)</f>
        <v>0</v>
      </c>
      <c r="CT288" s="10" cm="1">
        <f t="array" ref="CT288">_xlfn.IFS(AND($CI288=0, CM288=FALSE), NA(), AND($CI288=1, CM288=FALSE), 0, CM288=TRUE, 1)</f>
        <v>0</v>
      </c>
      <c r="CU288" s="10" cm="1">
        <f t="array" ref="CU288">_xlfn.IFS(AND($CN288=0, CP288=FALSE), NA(), AND($CN288=1, CP288=FALSE), 0, CP288=TRUE, 1)</f>
        <v>0</v>
      </c>
      <c r="CV288" s="10" cm="1">
        <f t="array" ref="CV288">_xlfn.IFS(AND($CN288=0, CQ288=FALSE), NA(), AND($CN288=1, CQ288=FALSE), 0, CQ288=TRUE, 1)</f>
        <v>0</v>
      </c>
    </row>
    <row r="289" spans="1:100" ht="15.75" x14ac:dyDescent="0.25">
      <c r="A289" s="8">
        <v>288</v>
      </c>
      <c r="B289" s="9">
        <v>503</v>
      </c>
      <c r="C289" s="10" t="s">
        <v>33</v>
      </c>
      <c r="D289" s="11" t="s">
        <v>142</v>
      </c>
      <c r="E289" s="12">
        <v>14014</v>
      </c>
      <c r="F289" s="13">
        <v>1</v>
      </c>
      <c r="G289" s="9">
        <v>76.002738952636719</v>
      </c>
      <c r="H289" s="12">
        <v>41774</v>
      </c>
      <c r="I289" s="9">
        <v>1</v>
      </c>
      <c r="J289" s="12">
        <v>41817</v>
      </c>
      <c r="K289" s="9">
        <v>0</v>
      </c>
      <c r="L289" s="9"/>
      <c r="M289" s="10" t="s">
        <v>401</v>
      </c>
      <c r="N289" s="9">
        <v>1</v>
      </c>
      <c r="O289" s="10" t="s">
        <v>401</v>
      </c>
      <c r="P289" s="9">
        <v>1</v>
      </c>
      <c r="Q289" s="10" t="s">
        <v>401</v>
      </c>
      <c r="R289" s="12">
        <v>42374</v>
      </c>
      <c r="S289" s="10" t="s">
        <v>146</v>
      </c>
      <c r="T289" s="9"/>
      <c r="U289" s="10" t="s">
        <v>401</v>
      </c>
      <c r="V289" s="10" t="s">
        <v>401</v>
      </c>
      <c r="W289" s="9"/>
      <c r="X289" s="9"/>
      <c r="Y289" s="9">
        <v>2</v>
      </c>
      <c r="Z289" s="14">
        <v>2</v>
      </c>
      <c r="AA289" s="17">
        <v>11.6</v>
      </c>
      <c r="AB289" s="18">
        <v>87</v>
      </c>
      <c r="AC289" s="18">
        <v>24</v>
      </c>
      <c r="AD289" s="9">
        <v>1</v>
      </c>
      <c r="AE289" s="9">
        <v>1</v>
      </c>
      <c r="AF289" s="9">
        <v>1</v>
      </c>
      <c r="AG289" s="9">
        <v>1</v>
      </c>
      <c r="AH289" s="9">
        <v>1</v>
      </c>
      <c r="AI289" s="9">
        <v>0</v>
      </c>
      <c r="AJ289" s="12">
        <v>43196</v>
      </c>
      <c r="AK289" s="9">
        <v>2</v>
      </c>
      <c r="AL289" s="12">
        <v>43224</v>
      </c>
      <c r="AM289" s="9">
        <v>4</v>
      </c>
      <c r="AN289" s="12">
        <v>43238</v>
      </c>
      <c r="AO289" s="12">
        <v>43238</v>
      </c>
      <c r="AP289" s="12">
        <v>43238</v>
      </c>
      <c r="AQ289" s="9">
        <v>1</v>
      </c>
      <c r="AR289" s="9">
        <f t="shared" si="99"/>
        <v>1</v>
      </c>
      <c r="AS289" s="9">
        <v>1</v>
      </c>
      <c r="AT289" s="9">
        <v>2</v>
      </c>
      <c r="AU289" s="9">
        <v>2</v>
      </c>
      <c r="AV289" s="9">
        <f t="shared" si="100"/>
        <v>1</v>
      </c>
      <c r="AW289" s="12">
        <v>43240</v>
      </c>
      <c r="AX289" s="9">
        <v>5680</v>
      </c>
      <c r="AY289" s="9">
        <v>4050</v>
      </c>
      <c r="AZ289" s="9">
        <v>990</v>
      </c>
      <c r="BA289" s="9">
        <v>4050</v>
      </c>
      <c r="BB289" s="9">
        <v>990.0001220703125</v>
      </c>
      <c r="BC289" s="9">
        <v>200000</v>
      </c>
      <c r="BD289" s="9">
        <v>370</v>
      </c>
      <c r="BE289" s="9">
        <v>210</v>
      </c>
      <c r="BF289" s="9"/>
      <c r="BG289" s="9"/>
      <c r="BH289" s="9"/>
      <c r="BI289" s="9"/>
      <c r="BJ289" s="9"/>
      <c r="BK289" s="9"/>
      <c r="BL289" s="9"/>
      <c r="BM289" s="9"/>
      <c r="BN289" s="9">
        <v>5590</v>
      </c>
      <c r="BO289" s="9">
        <v>3400</v>
      </c>
      <c r="BP289" s="9">
        <v>1400</v>
      </c>
      <c r="BQ289" s="9">
        <v>189000</v>
      </c>
      <c r="BR289" s="9">
        <v>520</v>
      </c>
      <c r="BS289" s="9">
        <v>210</v>
      </c>
      <c r="BT289" s="9"/>
      <c r="BU289" s="9"/>
      <c r="BV289" s="9"/>
      <c r="BW289" s="9"/>
      <c r="BX289" s="9"/>
      <c r="BY289" s="9"/>
      <c r="BZ289" s="10" t="s">
        <v>401</v>
      </c>
      <c r="CA289" s="9"/>
      <c r="CB289" s="9"/>
      <c r="CC289" s="10">
        <f t="shared" si="101"/>
        <v>4.0909085864863739</v>
      </c>
      <c r="CD289" s="10">
        <f t="shared" si="102"/>
        <v>202.02017711043823</v>
      </c>
      <c r="CE289" s="10">
        <f t="shared" si="114"/>
        <v>818181.71729727474</v>
      </c>
      <c r="CF289" s="10">
        <f t="shared" si="95"/>
        <v>0</v>
      </c>
      <c r="CG289" s="10">
        <f t="shared" si="96"/>
        <v>0</v>
      </c>
      <c r="CH289" s="10">
        <f t="shared" si="97"/>
        <v>1</v>
      </c>
      <c r="CI289" s="9">
        <f t="shared" si="103"/>
        <v>1</v>
      </c>
      <c r="CJ289" s="10">
        <f t="shared" si="98"/>
        <v>1</v>
      </c>
      <c r="CK289" s="10" t="b">
        <f t="shared" si="104"/>
        <v>0</v>
      </c>
      <c r="CL289" s="10" t="b">
        <f t="shared" si="105"/>
        <v>0</v>
      </c>
      <c r="CM289" s="10" t="b">
        <f t="shared" si="106"/>
        <v>0</v>
      </c>
      <c r="CN289" s="9">
        <f t="shared" si="107"/>
        <v>1</v>
      </c>
      <c r="CO289" s="10">
        <f t="shared" si="113"/>
        <v>1</v>
      </c>
      <c r="CP289" s="10" t="b">
        <f t="shared" si="108"/>
        <v>0</v>
      </c>
      <c r="CQ289" s="10" t="b">
        <f t="shared" si="109"/>
        <v>0</v>
      </c>
      <c r="CR289" s="10" cm="1">
        <f t="array" ref="CR289">_xlfn.IFS(AND($CI289=0, CK289=FALSE), NA(), AND($CI289=1, CK289=FALSE), 0, CK289=TRUE, 1)</f>
        <v>0</v>
      </c>
      <c r="CS289" s="10" cm="1">
        <f t="array" ref="CS289">_xlfn.IFS(AND($CI289=0, CL289=FALSE), NA(), AND($CI289=1, CL289=FALSE), 0, CL289=TRUE, 1)</f>
        <v>0</v>
      </c>
      <c r="CT289" s="10" cm="1">
        <f t="array" ref="CT289">_xlfn.IFS(AND($CI289=0, CM289=FALSE), NA(), AND($CI289=1, CM289=FALSE), 0, CM289=TRUE, 1)</f>
        <v>0</v>
      </c>
      <c r="CU289" s="10" cm="1">
        <f t="array" ref="CU289">_xlfn.IFS(AND($CN289=0, CP289=FALSE), NA(), AND($CN289=1, CP289=FALSE), 0, CP289=TRUE, 1)</f>
        <v>0</v>
      </c>
      <c r="CV289" s="10" cm="1">
        <f t="array" ref="CV289">_xlfn.IFS(AND($CN289=0, CQ289=FALSE), NA(), AND($CN289=1, CQ289=FALSE), 0, CQ289=TRUE, 1)</f>
        <v>0</v>
      </c>
    </row>
    <row r="290" spans="1:100" ht="15.75" x14ac:dyDescent="0.25">
      <c r="A290" s="8">
        <v>289</v>
      </c>
      <c r="B290" s="9">
        <v>531</v>
      </c>
      <c r="C290" s="10" t="s">
        <v>34</v>
      </c>
      <c r="D290" s="11" t="s">
        <v>40</v>
      </c>
      <c r="E290" s="12">
        <v>19749</v>
      </c>
      <c r="F290" s="13">
        <v>2</v>
      </c>
      <c r="G290" s="9">
        <v>60.347705841064453</v>
      </c>
      <c r="H290" s="12">
        <v>41791</v>
      </c>
      <c r="I290" s="9">
        <v>0</v>
      </c>
      <c r="J290" s="12"/>
      <c r="K290" s="9">
        <v>1</v>
      </c>
      <c r="L290" s="9">
        <v>1</v>
      </c>
      <c r="M290" s="10" t="s">
        <v>401</v>
      </c>
      <c r="N290" s="9">
        <v>2</v>
      </c>
      <c r="O290" s="10" t="s">
        <v>145</v>
      </c>
      <c r="P290" s="9">
        <v>2</v>
      </c>
      <c r="Q290" s="10" t="s">
        <v>145</v>
      </c>
      <c r="R290" s="12">
        <v>41841</v>
      </c>
      <c r="S290" s="10" t="s">
        <v>145</v>
      </c>
      <c r="T290" s="9"/>
      <c r="U290" s="10" t="s">
        <v>401</v>
      </c>
      <c r="V290" s="10" t="s">
        <v>401</v>
      </c>
      <c r="W290" s="9"/>
      <c r="X290" s="9"/>
      <c r="Y290" s="9">
        <v>2</v>
      </c>
      <c r="Z290" s="14">
        <v>1</v>
      </c>
      <c r="AA290" s="17">
        <v>9.1999999999999993</v>
      </c>
      <c r="AB290" s="18">
        <v>74</v>
      </c>
      <c r="AC290" s="18">
        <v>20</v>
      </c>
      <c r="AD290" s="9">
        <v>2</v>
      </c>
      <c r="AE290" s="9">
        <v>2</v>
      </c>
      <c r="AF290" s="9">
        <v>1</v>
      </c>
      <c r="AG290" s="9">
        <v>0</v>
      </c>
      <c r="AH290" s="9">
        <v>1</v>
      </c>
      <c r="AI290" s="9">
        <v>1</v>
      </c>
      <c r="AJ290" s="12">
        <v>43271</v>
      </c>
      <c r="AK290" s="9">
        <v>2</v>
      </c>
      <c r="AL290" s="12">
        <v>43357</v>
      </c>
      <c r="AM290" s="9">
        <v>4</v>
      </c>
      <c r="AN290" s="12">
        <v>43371</v>
      </c>
      <c r="AO290" s="12">
        <v>43371</v>
      </c>
      <c r="AP290" s="12">
        <v>43371</v>
      </c>
      <c r="AQ290" s="9">
        <v>1</v>
      </c>
      <c r="AR290" s="9">
        <f t="shared" si="99"/>
        <v>1</v>
      </c>
      <c r="AS290" s="9">
        <v>1</v>
      </c>
      <c r="AT290" s="9">
        <v>2</v>
      </c>
      <c r="AU290" s="9">
        <v>2</v>
      </c>
      <c r="AV290" s="9">
        <f t="shared" si="100"/>
        <v>1</v>
      </c>
      <c r="AW290" s="12">
        <v>43906</v>
      </c>
      <c r="AX290" s="9">
        <v>6820</v>
      </c>
      <c r="AY290" s="9">
        <v>4760</v>
      </c>
      <c r="AZ290" s="9">
        <v>1220</v>
      </c>
      <c r="BA290" s="9">
        <v>4760</v>
      </c>
      <c r="BB290" s="9">
        <v>1219.9998779296875</v>
      </c>
      <c r="BC290" s="9">
        <v>351000</v>
      </c>
      <c r="BD290" s="9">
        <v>740</v>
      </c>
      <c r="BE290" s="9">
        <v>60</v>
      </c>
      <c r="BF290" s="9"/>
      <c r="BG290" s="9">
        <v>8870</v>
      </c>
      <c r="BH290" s="9">
        <v>6380</v>
      </c>
      <c r="BI290" s="9">
        <v>1330</v>
      </c>
      <c r="BJ290" s="9">
        <v>552000</v>
      </c>
      <c r="BK290" s="9">
        <v>1030</v>
      </c>
      <c r="BL290" s="9">
        <v>60</v>
      </c>
      <c r="BM290" s="9">
        <v>128</v>
      </c>
      <c r="BN290" s="9">
        <v>10050</v>
      </c>
      <c r="BO290" s="9">
        <v>7230</v>
      </c>
      <c r="BP290" s="9">
        <v>1600</v>
      </c>
      <c r="BQ290" s="9">
        <v>684000</v>
      </c>
      <c r="BR290" s="9">
        <v>1090</v>
      </c>
      <c r="BS290" s="9">
        <v>60</v>
      </c>
      <c r="BT290" s="9">
        <v>144</v>
      </c>
      <c r="BU290" s="9">
        <v>9320</v>
      </c>
      <c r="BV290" s="9">
        <v>6580</v>
      </c>
      <c r="BW290" s="9">
        <v>1410</v>
      </c>
      <c r="BX290" s="9">
        <v>713000</v>
      </c>
      <c r="BY290" s="9">
        <v>1090</v>
      </c>
      <c r="BZ290" s="10" t="s">
        <v>563</v>
      </c>
      <c r="CA290" s="9">
        <v>130</v>
      </c>
      <c r="CB290" s="9">
        <v>204</v>
      </c>
      <c r="CC290" s="10">
        <f t="shared" si="101"/>
        <v>3.9016397346511327</v>
      </c>
      <c r="CD290" s="10">
        <f t="shared" si="102"/>
        <v>287.70494681986293</v>
      </c>
      <c r="CE290" s="10">
        <f t="shared" si="114"/>
        <v>1369475.5468625475</v>
      </c>
      <c r="CF290" s="10">
        <f t="shared" si="95"/>
        <v>0</v>
      </c>
      <c r="CG290" s="10">
        <f t="shared" si="96"/>
        <v>0</v>
      </c>
      <c r="CH290" s="10">
        <f t="shared" si="97"/>
        <v>3</v>
      </c>
      <c r="CI290" s="9">
        <f t="shared" si="103"/>
        <v>1</v>
      </c>
      <c r="CJ290" s="10">
        <f t="shared" si="98"/>
        <v>21</v>
      </c>
      <c r="CK290" s="10" t="b">
        <f t="shared" si="104"/>
        <v>1</v>
      </c>
      <c r="CL290" s="10" t="b">
        <f t="shared" si="105"/>
        <v>1</v>
      </c>
      <c r="CM290" s="10" t="b">
        <f t="shared" si="106"/>
        <v>0</v>
      </c>
      <c r="CN290" s="9">
        <f t="shared" si="107"/>
        <v>1</v>
      </c>
      <c r="CO290" s="10">
        <f t="shared" si="113"/>
        <v>3</v>
      </c>
      <c r="CP290" s="10" t="b">
        <f t="shared" si="108"/>
        <v>1</v>
      </c>
      <c r="CQ290" s="10" t="b">
        <f t="shared" si="109"/>
        <v>0</v>
      </c>
      <c r="CR290" s="10" cm="1">
        <f t="array" ref="CR290">_xlfn.IFS(AND($CI290=0, CK290=FALSE), NA(), AND($CI290=1, CK290=FALSE), 0, CK290=TRUE, 1)</f>
        <v>1</v>
      </c>
      <c r="CS290" s="10" cm="1">
        <f t="array" ref="CS290">_xlfn.IFS(AND($CI290=0, CL290=FALSE), NA(), AND($CI290=1, CL290=FALSE), 0, CL290=TRUE, 1)</f>
        <v>1</v>
      </c>
      <c r="CT290" s="10" cm="1">
        <f t="array" ref="CT290">_xlfn.IFS(AND($CI290=0, CM290=FALSE), NA(), AND($CI290=1, CM290=FALSE), 0, CM290=TRUE, 1)</f>
        <v>0</v>
      </c>
      <c r="CU290" s="10" cm="1">
        <f t="array" ref="CU290">_xlfn.IFS(AND($CN290=0, CP290=FALSE), NA(), AND($CN290=1, CP290=FALSE), 0, CP290=TRUE, 1)</f>
        <v>1</v>
      </c>
      <c r="CV290" s="10" cm="1">
        <f t="array" ref="CV290">_xlfn.IFS(AND($CN290=0, CQ290=FALSE), NA(), AND($CN290=1, CQ290=FALSE), 0, CQ290=TRUE, 1)</f>
        <v>0</v>
      </c>
    </row>
    <row r="291" spans="1:100" ht="15.75" x14ac:dyDescent="0.25">
      <c r="A291" s="8">
        <v>290</v>
      </c>
      <c r="B291" s="9">
        <v>536</v>
      </c>
      <c r="C291" s="10" t="s">
        <v>34</v>
      </c>
      <c r="D291" s="11" t="s">
        <v>230</v>
      </c>
      <c r="E291" s="12">
        <v>19426</v>
      </c>
      <c r="F291" s="13">
        <v>1</v>
      </c>
      <c r="G291" s="9">
        <v>61.232032775878906</v>
      </c>
      <c r="H291" s="12">
        <v>41791</v>
      </c>
      <c r="I291" s="9">
        <v>1</v>
      </c>
      <c r="J291" s="12">
        <v>41913</v>
      </c>
      <c r="K291" s="9">
        <v>1</v>
      </c>
      <c r="L291" s="9">
        <v>1</v>
      </c>
      <c r="M291" s="10" t="s">
        <v>401</v>
      </c>
      <c r="N291" s="9">
        <v>2</v>
      </c>
      <c r="O291" s="10" t="s">
        <v>145</v>
      </c>
      <c r="P291" s="9">
        <v>2</v>
      </c>
      <c r="Q291" s="10" t="s">
        <v>145</v>
      </c>
      <c r="R291" s="12">
        <v>41791</v>
      </c>
      <c r="S291" s="10" t="s">
        <v>145</v>
      </c>
      <c r="T291" s="9">
        <v>6</v>
      </c>
      <c r="U291" s="10" t="s">
        <v>401</v>
      </c>
      <c r="V291" s="10" t="s">
        <v>401</v>
      </c>
      <c r="W291" s="9"/>
      <c r="X291" s="9"/>
      <c r="Y291" s="9">
        <v>3</v>
      </c>
      <c r="Z291" s="14">
        <v>1</v>
      </c>
      <c r="AA291" s="17">
        <v>13.5</v>
      </c>
      <c r="AB291" s="18">
        <v>80</v>
      </c>
      <c r="AC291" s="18">
        <v>13</v>
      </c>
      <c r="AD291" s="9">
        <v>2</v>
      </c>
      <c r="AE291" s="9">
        <v>2</v>
      </c>
      <c r="AF291" s="9">
        <v>1</v>
      </c>
      <c r="AG291" s="9">
        <v>0</v>
      </c>
      <c r="AH291" s="9">
        <v>1</v>
      </c>
      <c r="AI291" s="9">
        <v>0</v>
      </c>
      <c r="AJ291" s="12">
        <v>43364</v>
      </c>
      <c r="AK291" s="9">
        <v>2</v>
      </c>
      <c r="AL291" s="12">
        <v>43610</v>
      </c>
      <c r="AM291" s="9">
        <v>3</v>
      </c>
      <c r="AN291" s="12">
        <v>43427</v>
      </c>
      <c r="AO291" s="12">
        <v>43614</v>
      </c>
      <c r="AP291" s="12">
        <v>43614</v>
      </c>
      <c r="AQ291" s="9">
        <v>1</v>
      </c>
      <c r="AR291" s="9">
        <f t="shared" si="99"/>
        <v>1</v>
      </c>
      <c r="AS291" s="9">
        <v>1</v>
      </c>
      <c r="AT291" s="9">
        <v>2</v>
      </c>
      <c r="AU291" s="9">
        <v>2</v>
      </c>
      <c r="AV291" s="9">
        <f t="shared" si="100"/>
        <v>1</v>
      </c>
      <c r="AW291" s="12">
        <v>44338</v>
      </c>
      <c r="AX291" s="9">
        <v>4710</v>
      </c>
      <c r="AY291" s="9">
        <v>2690</v>
      </c>
      <c r="AZ291" s="9">
        <v>1190</v>
      </c>
      <c r="BA291" s="9">
        <v>2690</v>
      </c>
      <c r="BB291" s="9">
        <v>1189.999755859375</v>
      </c>
      <c r="BC291" s="9">
        <v>97000</v>
      </c>
      <c r="BD291" s="9">
        <v>720</v>
      </c>
      <c r="BE291" s="9">
        <v>80</v>
      </c>
      <c r="BF291" s="9">
        <v>324</v>
      </c>
      <c r="BG291" s="9">
        <v>7200</v>
      </c>
      <c r="BH291" s="9">
        <v>4820</v>
      </c>
      <c r="BI291" s="9">
        <v>1510</v>
      </c>
      <c r="BJ291" s="9">
        <v>140000</v>
      </c>
      <c r="BK291" s="9">
        <v>660</v>
      </c>
      <c r="BL291" s="9">
        <v>120</v>
      </c>
      <c r="BM291" s="9">
        <v>238</v>
      </c>
      <c r="BN291" s="9">
        <v>6390</v>
      </c>
      <c r="BO291" s="9">
        <v>3660</v>
      </c>
      <c r="BP291" s="9">
        <v>1850</v>
      </c>
      <c r="BQ291" s="9">
        <v>186000</v>
      </c>
      <c r="BR291" s="9">
        <v>720</v>
      </c>
      <c r="BS291" s="9">
        <v>10</v>
      </c>
      <c r="BT291" s="9"/>
      <c r="BU291" s="9">
        <v>5830</v>
      </c>
      <c r="BV291" s="9">
        <v>3500</v>
      </c>
      <c r="BW291" s="9">
        <v>1500</v>
      </c>
      <c r="BX291" s="9">
        <v>161000</v>
      </c>
      <c r="BY291" s="9">
        <v>640</v>
      </c>
      <c r="BZ291" s="10" t="s">
        <v>527</v>
      </c>
      <c r="CA291" s="9">
        <v>120</v>
      </c>
      <c r="CB291" s="9"/>
      <c r="CC291" s="10">
        <f t="shared" si="101"/>
        <v>2.2605046654462368</v>
      </c>
      <c r="CD291" s="10">
        <f t="shared" si="102"/>
        <v>81.512621765161697</v>
      </c>
      <c r="CE291" s="10">
        <f t="shared" si="114"/>
        <v>219268.95254828499</v>
      </c>
      <c r="CF291" s="10">
        <f t="shared" si="95"/>
        <v>1</v>
      </c>
      <c r="CG291" s="10">
        <f t="shared" si="96"/>
        <v>0</v>
      </c>
      <c r="CH291" s="10">
        <f t="shared" si="97"/>
        <v>8</v>
      </c>
      <c r="CI291" s="9">
        <f t="shared" si="103"/>
        <v>1</v>
      </c>
      <c r="CJ291" s="10">
        <f t="shared" si="98"/>
        <v>32</v>
      </c>
      <c r="CK291" s="10" t="b">
        <f t="shared" si="104"/>
        <v>1</v>
      </c>
      <c r="CL291" s="10" t="b">
        <f t="shared" si="105"/>
        <v>1</v>
      </c>
      <c r="CM291" s="10" t="b">
        <f t="shared" si="106"/>
        <v>1</v>
      </c>
      <c r="CN291" s="9">
        <f t="shared" si="107"/>
        <v>1</v>
      </c>
      <c r="CO291" s="10">
        <f t="shared" si="113"/>
        <v>8</v>
      </c>
      <c r="CP291" s="10" t="b">
        <f t="shared" si="108"/>
        <v>1</v>
      </c>
      <c r="CQ291" s="10" t="b">
        <f t="shared" si="109"/>
        <v>0</v>
      </c>
      <c r="CR291" s="10" cm="1">
        <f t="array" ref="CR291">_xlfn.IFS(AND($CI291=0, CK291=FALSE), NA(), AND($CI291=1, CK291=FALSE), 0, CK291=TRUE, 1)</f>
        <v>1</v>
      </c>
      <c r="CS291" s="10" cm="1">
        <f t="array" ref="CS291">_xlfn.IFS(AND($CI291=0, CL291=FALSE), NA(), AND($CI291=1, CL291=FALSE), 0, CL291=TRUE, 1)</f>
        <v>1</v>
      </c>
      <c r="CT291" s="10" cm="1">
        <f t="array" ref="CT291">_xlfn.IFS(AND($CI291=0, CM291=FALSE), NA(), AND($CI291=1, CM291=FALSE), 0, CM291=TRUE, 1)</f>
        <v>1</v>
      </c>
      <c r="CU291" s="10" cm="1">
        <f t="array" ref="CU291">_xlfn.IFS(AND($CN291=0, CP291=FALSE), NA(), AND($CN291=1, CP291=FALSE), 0, CP291=TRUE, 1)</f>
        <v>1</v>
      </c>
      <c r="CV291" s="10" cm="1">
        <f t="array" ref="CV291">_xlfn.IFS(AND($CN291=0, CQ291=FALSE), NA(), AND($CN291=1, CQ291=FALSE), 0, CQ291=TRUE, 1)</f>
        <v>0</v>
      </c>
    </row>
    <row r="292" spans="1:100" ht="15.75" x14ac:dyDescent="0.25">
      <c r="A292" s="8">
        <v>291</v>
      </c>
      <c r="B292" s="9">
        <v>201</v>
      </c>
      <c r="C292" s="10" t="s">
        <v>17</v>
      </c>
      <c r="D292" s="11" t="s">
        <v>206</v>
      </c>
      <c r="E292" s="12">
        <v>20892</v>
      </c>
      <c r="F292" s="13">
        <v>1</v>
      </c>
      <c r="G292" s="9">
        <v>57.240245819091797</v>
      </c>
      <c r="H292" s="12">
        <v>41799</v>
      </c>
      <c r="I292" s="9">
        <v>1</v>
      </c>
      <c r="J292" s="12">
        <v>41799</v>
      </c>
      <c r="K292" s="9">
        <v>1</v>
      </c>
      <c r="L292" s="9">
        <v>1</v>
      </c>
      <c r="M292" s="10" t="s">
        <v>401</v>
      </c>
      <c r="N292" s="9">
        <v>2</v>
      </c>
      <c r="O292" s="10" t="s">
        <v>145</v>
      </c>
      <c r="P292" s="9">
        <v>2</v>
      </c>
      <c r="Q292" s="10" t="s">
        <v>145</v>
      </c>
      <c r="R292" s="12">
        <v>41897</v>
      </c>
      <c r="S292" s="10" t="s">
        <v>145</v>
      </c>
      <c r="T292" s="9"/>
      <c r="U292" s="10" t="s">
        <v>401</v>
      </c>
      <c r="V292" s="10" t="s">
        <v>401</v>
      </c>
      <c r="W292" s="9"/>
      <c r="X292" s="9"/>
      <c r="Y292" s="9">
        <v>2</v>
      </c>
      <c r="Z292" s="14">
        <v>1</v>
      </c>
      <c r="AA292" s="17">
        <v>12.1</v>
      </c>
      <c r="AB292" s="18">
        <v>90</v>
      </c>
      <c r="AC292" s="18">
        <v>14</v>
      </c>
      <c r="AD292" s="9"/>
      <c r="AE292" s="9"/>
      <c r="AF292" s="9">
        <v>1</v>
      </c>
      <c r="AG292" s="9">
        <v>0</v>
      </c>
      <c r="AH292" s="9">
        <v>1</v>
      </c>
      <c r="AI292" s="9">
        <v>0</v>
      </c>
      <c r="AJ292" s="12">
        <v>42958</v>
      </c>
      <c r="AK292" s="9">
        <v>2</v>
      </c>
      <c r="AL292" s="12">
        <v>43602</v>
      </c>
      <c r="AM292" s="9">
        <v>3</v>
      </c>
      <c r="AN292" s="12">
        <v>43017</v>
      </c>
      <c r="AO292" s="12">
        <v>43607</v>
      </c>
      <c r="AP292" s="12">
        <v>43607</v>
      </c>
      <c r="AQ292" s="9">
        <v>1</v>
      </c>
      <c r="AR292" s="9">
        <f t="shared" si="99"/>
        <v>1</v>
      </c>
      <c r="AS292" s="9">
        <v>1</v>
      </c>
      <c r="AT292" s="9">
        <v>2</v>
      </c>
      <c r="AU292" s="9">
        <v>2</v>
      </c>
      <c r="AV292" s="9">
        <f t="shared" si="100"/>
        <v>1</v>
      </c>
      <c r="AW292" s="12">
        <v>44021</v>
      </c>
      <c r="AX292" s="9">
        <v>4770</v>
      </c>
      <c r="AY292" s="9">
        <v>2900</v>
      </c>
      <c r="AZ292" s="9">
        <v>1100</v>
      </c>
      <c r="BA292" s="9">
        <v>2900</v>
      </c>
      <c r="BB292" s="9">
        <v>1100.0001220703125</v>
      </c>
      <c r="BC292" s="9">
        <v>233000</v>
      </c>
      <c r="BD292" s="9">
        <v>700</v>
      </c>
      <c r="BE292" s="9">
        <v>0</v>
      </c>
      <c r="BF292" s="9"/>
      <c r="BG292" s="9">
        <v>6230</v>
      </c>
      <c r="BH292" s="9">
        <v>3900</v>
      </c>
      <c r="BI292" s="9">
        <v>1300</v>
      </c>
      <c r="BJ292" s="9">
        <v>229000</v>
      </c>
      <c r="BK292" s="9">
        <v>900</v>
      </c>
      <c r="BL292" s="9">
        <v>100</v>
      </c>
      <c r="BM292" s="9"/>
      <c r="BN292" s="9">
        <v>6020</v>
      </c>
      <c r="BO292" s="9">
        <v>3800</v>
      </c>
      <c r="BP292" s="9">
        <v>1400</v>
      </c>
      <c r="BQ292" s="9">
        <v>221000</v>
      </c>
      <c r="BR292" s="9">
        <v>700</v>
      </c>
      <c r="BS292" s="9">
        <v>100</v>
      </c>
      <c r="BT292" s="9"/>
      <c r="BU292" s="9">
        <v>5640</v>
      </c>
      <c r="BV292" s="9">
        <v>3700</v>
      </c>
      <c r="BW292" s="9">
        <v>1100</v>
      </c>
      <c r="BX292" s="9">
        <v>194000</v>
      </c>
      <c r="BY292" s="9">
        <v>700</v>
      </c>
      <c r="BZ292" s="10" t="s">
        <v>525</v>
      </c>
      <c r="CA292" s="9">
        <v>100</v>
      </c>
      <c r="CB292" s="9"/>
      <c r="CC292" s="10">
        <f t="shared" si="101"/>
        <v>2.636363343798457</v>
      </c>
      <c r="CD292" s="10">
        <f t="shared" si="102"/>
        <v>211.81815831208294</v>
      </c>
      <c r="CE292" s="10">
        <f t="shared" si="114"/>
        <v>614272.65910504048</v>
      </c>
      <c r="CF292" s="10">
        <f t="shared" si="95"/>
        <v>1</v>
      </c>
      <c r="CG292" s="10">
        <f t="shared" si="96"/>
        <v>0</v>
      </c>
      <c r="CH292" s="10">
        <f t="shared" si="97"/>
        <v>21</v>
      </c>
      <c r="CI292" s="9">
        <f t="shared" si="103"/>
        <v>1</v>
      </c>
      <c r="CJ292" s="10">
        <f t="shared" si="98"/>
        <v>35</v>
      </c>
      <c r="CK292" s="10" t="b">
        <f t="shared" si="104"/>
        <v>1</v>
      </c>
      <c r="CL292" s="10" t="b">
        <f t="shared" si="105"/>
        <v>1</v>
      </c>
      <c r="CM292" s="10" t="b">
        <f t="shared" si="106"/>
        <v>1</v>
      </c>
      <c r="CN292" s="9">
        <f t="shared" si="107"/>
        <v>1</v>
      </c>
      <c r="CO292" s="10">
        <f t="shared" si="113"/>
        <v>21</v>
      </c>
      <c r="CP292" s="10" t="b">
        <f t="shared" si="108"/>
        <v>1</v>
      </c>
      <c r="CQ292" s="10" t="b">
        <f t="shared" si="109"/>
        <v>1</v>
      </c>
      <c r="CR292" s="10" cm="1">
        <f t="array" ref="CR292">_xlfn.IFS(AND($CI292=0, CK292=FALSE), NA(), AND($CI292=1, CK292=FALSE), 0, CK292=TRUE, 1)</f>
        <v>1</v>
      </c>
      <c r="CS292" s="10" cm="1">
        <f t="array" ref="CS292">_xlfn.IFS(AND($CI292=0, CL292=FALSE), NA(), AND($CI292=1, CL292=FALSE), 0, CL292=TRUE, 1)</f>
        <v>1</v>
      </c>
      <c r="CT292" s="10" cm="1">
        <f t="array" ref="CT292">_xlfn.IFS(AND($CI292=0, CM292=FALSE), NA(), AND($CI292=1, CM292=FALSE), 0, CM292=TRUE, 1)</f>
        <v>1</v>
      </c>
      <c r="CU292" s="10" cm="1">
        <f t="array" ref="CU292">_xlfn.IFS(AND($CN292=0, CP292=FALSE), NA(), AND($CN292=1, CP292=FALSE), 0, CP292=TRUE, 1)</f>
        <v>1</v>
      </c>
      <c r="CV292" s="10" cm="1">
        <f t="array" ref="CV292">_xlfn.IFS(AND($CN292=0, CQ292=FALSE), NA(), AND($CN292=1, CQ292=FALSE), 0, CQ292=TRUE, 1)</f>
        <v>1</v>
      </c>
    </row>
    <row r="293" spans="1:100" ht="15.75" x14ac:dyDescent="0.25">
      <c r="A293" s="8">
        <v>292</v>
      </c>
      <c r="B293" s="9">
        <v>381</v>
      </c>
      <c r="C293" s="10" t="s">
        <v>29</v>
      </c>
      <c r="D293" s="11" t="s">
        <v>145</v>
      </c>
      <c r="E293" s="12">
        <v>14010</v>
      </c>
      <c r="F293" s="13">
        <v>1</v>
      </c>
      <c r="G293" s="9">
        <v>76.101303100585938</v>
      </c>
      <c r="H293" s="12">
        <v>41806</v>
      </c>
      <c r="I293" s="9">
        <v>1</v>
      </c>
      <c r="J293" s="12">
        <v>41796</v>
      </c>
      <c r="K293" s="9">
        <v>0</v>
      </c>
      <c r="L293" s="9">
        <v>1</v>
      </c>
      <c r="M293" s="10" t="s">
        <v>401</v>
      </c>
      <c r="N293" s="9">
        <v>2</v>
      </c>
      <c r="O293" s="10" t="s">
        <v>409</v>
      </c>
      <c r="P293" s="9">
        <v>2</v>
      </c>
      <c r="Q293" s="10" t="s">
        <v>409</v>
      </c>
      <c r="R293" s="12">
        <v>42217</v>
      </c>
      <c r="S293" s="10" t="s">
        <v>145</v>
      </c>
      <c r="T293" s="9"/>
      <c r="U293" s="10" t="s">
        <v>401</v>
      </c>
      <c r="V293" s="10" t="s">
        <v>401</v>
      </c>
      <c r="W293" s="9"/>
      <c r="X293" s="9"/>
      <c r="Y293" s="9">
        <v>2</v>
      </c>
      <c r="Z293" s="14">
        <v>1</v>
      </c>
      <c r="AA293" s="17">
        <v>12.6</v>
      </c>
      <c r="AB293" s="18">
        <v>98</v>
      </c>
      <c r="AC293" s="18">
        <v>13</v>
      </c>
      <c r="AD293" s="9">
        <v>2</v>
      </c>
      <c r="AE293" s="9">
        <v>2</v>
      </c>
      <c r="AF293" s="9">
        <v>2</v>
      </c>
      <c r="AG293" s="9">
        <v>1</v>
      </c>
      <c r="AH293" s="9">
        <v>1</v>
      </c>
      <c r="AI293" s="9">
        <v>0</v>
      </c>
      <c r="AJ293" s="12">
        <v>43391</v>
      </c>
      <c r="AK293" s="9">
        <v>2</v>
      </c>
      <c r="AL293" s="12">
        <v>43447</v>
      </c>
      <c r="AM293" s="9">
        <v>4</v>
      </c>
      <c r="AN293" s="12">
        <v>43469</v>
      </c>
      <c r="AO293" s="12">
        <v>43469</v>
      </c>
      <c r="AP293" s="12">
        <v>43469</v>
      </c>
      <c r="AQ293" s="9">
        <v>1</v>
      </c>
      <c r="AR293" s="9">
        <f t="shared" si="99"/>
        <v>1</v>
      </c>
      <c r="AS293" s="9">
        <v>1</v>
      </c>
      <c r="AT293" s="9">
        <v>2</v>
      </c>
      <c r="AU293" s="9">
        <v>2</v>
      </c>
      <c r="AV293" s="9">
        <f t="shared" si="100"/>
        <v>1</v>
      </c>
      <c r="AW293" s="12">
        <v>43535</v>
      </c>
      <c r="AX293" s="9">
        <v>6800</v>
      </c>
      <c r="AY293" s="9">
        <v>4600</v>
      </c>
      <c r="AZ293" s="9">
        <v>1700</v>
      </c>
      <c r="BA293" s="9">
        <v>4600</v>
      </c>
      <c r="BB293" s="9">
        <v>1700.0001220703125</v>
      </c>
      <c r="BC293" s="9">
        <v>309000</v>
      </c>
      <c r="BD293" s="9">
        <v>500</v>
      </c>
      <c r="BE293" s="9">
        <v>100</v>
      </c>
      <c r="BF293" s="9"/>
      <c r="BG293" s="9">
        <v>11300</v>
      </c>
      <c r="BH293" s="9">
        <v>8300</v>
      </c>
      <c r="BI293" s="9">
        <v>1500</v>
      </c>
      <c r="BJ293" s="9">
        <v>564000</v>
      </c>
      <c r="BK293" s="9">
        <v>1400</v>
      </c>
      <c r="BL293" s="9">
        <v>200</v>
      </c>
      <c r="BM293" s="9"/>
      <c r="BN293" s="9">
        <v>11130</v>
      </c>
      <c r="BO293" s="9">
        <v>9040</v>
      </c>
      <c r="BP293" s="9">
        <v>1310</v>
      </c>
      <c r="BQ293" s="9">
        <v>693000</v>
      </c>
      <c r="BR293" s="9">
        <v>590</v>
      </c>
      <c r="BS293" s="9">
        <v>170</v>
      </c>
      <c r="BT293" s="9"/>
      <c r="BU293" s="9"/>
      <c r="BV293" s="9"/>
      <c r="BW293" s="9"/>
      <c r="BX293" s="9"/>
      <c r="BY293" s="9"/>
      <c r="BZ293" s="10" t="s">
        <v>401</v>
      </c>
      <c r="CA293" s="9"/>
      <c r="CB293" s="9"/>
      <c r="CC293" s="10">
        <f t="shared" si="101"/>
        <v>2.7058821586424231</v>
      </c>
      <c r="CD293" s="10">
        <f t="shared" si="102"/>
        <v>181.76469283054539</v>
      </c>
      <c r="CE293" s="10">
        <f t="shared" si="114"/>
        <v>836117.58702050871</v>
      </c>
      <c r="CF293" s="10">
        <f t="shared" si="95"/>
        <v>0</v>
      </c>
      <c r="CG293" s="10">
        <f t="shared" si="96"/>
        <v>0</v>
      </c>
      <c r="CH293" s="10">
        <f t="shared" si="97"/>
        <v>2</v>
      </c>
      <c r="CI293" s="9">
        <f t="shared" si="103"/>
        <v>1</v>
      </c>
      <c r="CJ293" s="10">
        <f t="shared" si="98"/>
        <v>5</v>
      </c>
      <c r="CK293" s="10" t="b">
        <f t="shared" si="104"/>
        <v>0</v>
      </c>
      <c r="CL293" s="10" t="b">
        <f t="shared" si="105"/>
        <v>0</v>
      </c>
      <c r="CM293" s="10" t="b">
        <f t="shared" si="106"/>
        <v>0</v>
      </c>
      <c r="CN293" s="9">
        <f t="shared" si="107"/>
        <v>1</v>
      </c>
      <c r="CO293" s="10">
        <f t="shared" si="113"/>
        <v>3</v>
      </c>
      <c r="CP293" s="10" t="b">
        <f t="shared" si="108"/>
        <v>1</v>
      </c>
      <c r="CQ293" s="10" t="b">
        <f t="shared" si="109"/>
        <v>0</v>
      </c>
      <c r="CR293" s="10" cm="1">
        <f t="array" ref="CR293">_xlfn.IFS(AND($CI293=0, CK293=FALSE), NA(), AND($CI293=1, CK293=FALSE), 0, CK293=TRUE, 1)</f>
        <v>0</v>
      </c>
      <c r="CS293" s="10" cm="1">
        <f t="array" ref="CS293">_xlfn.IFS(AND($CI293=0, CL293=FALSE), NA(), AND($CI293=1, CL293=FALSE), 0, CL293=TRUE, 1)</f>
        <v>0</v>
      </c>
      <c r="CT293" s="10" cm="1">
        <f t="array" ref="CT293">_xlfn.IFS(AND($CI293=0, CM293=FALSE), NA(), AND($CI293=1, CM293=FALSE), 0, CM293=TRUE, 1)</f>
        <v>0</v>
      </c>
      <c r="CU293" s="10" cm="1">
        <f t="array" ref="CU293">_xlfn.IFS(AND($CN293=0, CP293=FALSE), NA(), AND($CN293=1, CP293=FALSE), 0, CP293=TRUE, 1)</f>
        <v>1</v>
      </c>
      <c r="CV293" s="10" cm="1">
        <f t="array" ref="CV293">_xlfn.IFS(AND($CN293=0, CQ293=FALSE), NA(), AND($CN293=1, CQ293=FALSE), 0, CQ293=TRUE, 1)</f>
        <v>0</v>
      </c>
    </row>
    <row r="294" spans="1:100" ht="15.75" x14ac:dyDescent="0.25">
      <c r="A294" s="8">
        <v>293</v>
      </c>
      <c r="B294" s="9">
        <v>409</v>
      </c>
      <c r="C294" s="10" t="s">
        <v>29</v>
      </c>
      <c r="D294" s="11" t="s">
        <v>322</v>
      </c>
      <c r="E294" s="12">
        <v>20494</v>
      </c>
      <c r="F294" s="13">
        <v>2</v>
      </c>
      <c r="G294" s="9">
        <v>58.395618438720703</v>
      </c>
      <c r="H294" s="12">
        <v>41823</v>
      </c>
      <c r="I294" s="9">
        <v>1</v>
      </c>
      <c r="J294" s="12">
        <v>41823</v>
      </c>
      <c r="K294" s="9">
        <v>1</v>
      </c>
      <c r="L294" s="9">
        <v>1</v>
      </c>
      <c r="M294" s="10" t="s">
        <v>401</v>
      </c>
      <c r="N294" s="9">
        <v>2</v>
      </c>
      <c r="O294" s="10" t="s">
        <v>145</v>
      </c>
      <c r="P294" s="9">
        <v>2</v>
      </c>
      <c r="Q294" s="10" t="s">
        <v>145</v>
      </c>
      <c r="R294" s="12">
        <v>41830</v>
      </c>
      <c r="S294" s="10" t="s">
        <v>146</v>
      </c>
      <c r="T294" s="9"/>
      <c r="U294" s="10" t="s">
        <v>401</v>
      </c>
      <c r="V294" s="10" t="s">
        <v>401</v>
      </c>
      <c r="W294" s="9"/>
      <c r="X294" s="9"/>
      <c r="Y294" s="9">
        <v>2</v>
      </c>
      <c r="Z294" s="14">
        <v>2</v>
      </c>
      <c r="AA294" s="17">
        <v>10.9</v>
      </c>
      <c r="AB294" s="18">
        <v>95</v>
      </c>
      <c r="AC294" s="18">
        <v>15</v>
      </c>
      <c r="AD294" s="9">
        <v>2</v>
      </c>
      <c r="AE294" s="9">
        <v>2</v>
      </c>
      <c r="AF294" s="9">
        <v>2</v>
      </c>
      <c r="AG294" s="9">
        <v>0</v>
      </c>
      <c r="AH294" s="9">
        <v>1</v>
      </c>
      <c r="AI294" s="9">
        <v>1</v>
      </c>
      <c r="AJ294" s="12">
        <v>43346</v>
      </c>
      <c r="AK294" s="9">
        <v>2</v>
      </c>
      <c r="AL294" s="12">
        <v>43346</v>
      </c>
      <c r="AM294" s="9">
        <v>4</v>
      </c>
      <c r="AN294" s="12">
        <v>43375</v>
      </c>
      <c r="AO294" s="12">
        <v>43375</v>
      </c>
      <c r="AP294" s="12">
        <v>43375</v>
      </c>
      <c r="AQ294" s="9">
        <v>1</v>
      </c>
      <c r="AR294" s="9">
        <f t="shared" si="99"/>
        <v>1</v>
      </c>
      <c r="AS294" s="9">
        <v>1</v>
      </c>
      <c r="AT294" s="9">
        <v>2</v>
      </c>
      <c r="AU294" s="9">
        <v>2</v>
      </c>
      <c r="AV294" s="9">
        <f t="shared" si="100"/>
        <v>1</v>
      </c>
      <c r="AW294" s="12">
        <v>43448</v>
      </c>
      <c r="AX294" s="9">
        <v>1650</v>
      </c>
      <c r="AY294" s="9">
        <v>950</v>
      </c>
      <c r="AZ294" s="9">
        <v>440</v>
      </c>
      <c r="BA294" s="9">
        <v>950</v>
      </c>
      <c r="BB294" s="9">
        <v>440.00003051757813</v>
      </c>
      <c r="BC294" s="9">
        <v>165000</v>
      </c>
      <c r="BD294" s="9">
        <v>250</v>
      </c>
      <c r="BE294" s="9">
        <v>100</v>
      </c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10" t="s">
        <v>401</v>
      </c>
      <c r="CA294" s="9"/>
      <c r="CB294" s="9"/>
      <c r="CC294" s="10">
        <f t="shared" si="101"/>
        <v>2.159090759340407</v>
      </c>
      <c r="CD294" s="10">
        <f t="shared" si="102"/>
        <v>374.99997399070224</v>
      </c>
      <c r="CE294" s="10">
        <f t="shared" si="114"/>
        <v>356249.97529116715</v>
      </c>
      <c r="CF294" s="10">
        <f t="shared" si="95"/>
        <v>0</v>
      </c>
      <c r="CG294" s="10">
        <f t="shared" si="96"/>
        <v>0</v>
      </c>
      <c r="CH294" s="10">
        <f t="shared" si="97"/>
        <v>0</v>
      </c>
      <c r="CI294" s="9">
        <f t="shared" si="103"/>
        <v>1</v>
      </c>
      <c r="CJ294" s="10">
        <f t="shared" si="98"/>
        <v>3</v>
      </c>
      <c r="CK294" s="10" t="b">
        <f t="shared" si="104"/>
        <v>0</v>
      </c>
      <c r="CL294" s="10" t="b">
        <f t="shared" si="105"/>
        <v>0</v>
      </c>
      <c r="CM294" s="10" t="b">
        <f t="shared" si="106"/>
        <v>0</v>
      </c>
      <c r="CN294" s="9">
        <f t="shared" si="107"/>
        <v>1</v>
      </c>
      <c r="CO294" s="10">
        <f t="shared" si="113"/>
        <v>1</v>
      </c>
      <c r="CP294" s="10" t="b">
        <f t="shared" si="108"/>
        <v>0</v>
      </c>
      <c r="CQ294" s="10" t="b">
        <f t="shared" si="109"/>
        <v>0</v>
      </c>
      <c r="CR294" s="10" cm="1">
        <f t="array" ref="CR294">_xlfn.IFS(AND($CI294=0, CK294=FALSE), NA(), AND($CI294=1, CK294=FALSE), 0, CK294=TRUE, 1)</f>
        <v>0</v>
      </c>
      <c r="CS294" s="10" cm="1">
        <f t="array" ref="CS294">_xlfn.IFS(AND($CI294=0, CL294=FALSE), NA(), AND($CI294=1, CL294=FALSE), 0, CL294=TRUE, 1)</f>
        <v>0</v>
      </c>
      <c r="CT294" s="10" cm="1">
        <f t="array" ref="CT294">_xlfn.IFS(AND($CI294=0, CM294=FALSE), NA(), AND($CI294=1, CM294=FALSE), 0, CM294=TRUE, 1)</f>
        <v>0</v>
      </c>
      <c r="CU294" s="10" cm="1">
        <f t="array" ref="CU294">_xlfn.IFS(AND($CN294=0, CP294=FALSE), NA(), AND($CN294=1, CP294=FALSE), 0, CP294=TRUE, 1)</f>
        <v>0</v>
      </c>
      <c r="CV294" s="10" cm="1">
        <f t="array" ref="CV294">_xlfn.IFS(AND($CN294=0, CQ294=FALSE), NA(), AND($CN294=1, CQ294=FALSE), 0, CQ294=TRUE, 1)</f>
        <v>0</v>
      </c>
    </row>
    <row r="295" spans="1:100" ht="15.75" x14ac:dyDescent="0.25">
      <c r="A295" s="8">
        <v>294</v>
      </c>
      <c r="B295" s="9">
        <v>249</v>
      </c>
      <c r="C295" s="10" t="s">
        <v>20</v>
      </c>
      <c r="D295" s="11" t="s">
        <v>236</v>
      </c>
      <c r="E295" s="12">
        <v>23942</v>
      </c>
      <c r="F295" s="13">
        <v>1</v>
      </c>
      <c r="G295" s="9">
        <v>48.971935272216797</v>
      </c>
      <c r="H295" s="12">
        <v>41829</v>
      </c>
      <c r="I295" s="9">
        <v>1</v>
      </c>
      <c r="J295" s="12">
        <v>41829</v>
      </c>
      <c r="K295" s="9">
        <v>0</v>
      </c>
      <c r="L295" s="9">
        <v>1</v>
      </c>
      <c r="M295" s="10" t="s">
        <v>401</v>
      </c>
      <c r="N295" s="9">
        <v>2</v>
      </c>
      <c r="O295" s="10" t="s">
        <v>428</v>
      </c>
      <c r="P295" s="9">
        <v>2</v>
      </c>
      <c r="Q295" s="10" t="s">
        <v>147</v>
      </c>
      <c r="R295" s="12">
        <v>43140</v>
      </c>
      <c r="S295" s="10" t="s">
        <v>145</v>
      </c>
      <c r="T295" s="9"/>
      <c r="U295" s="10" t="s">
        <v>401</v>
      </c>
      <c r="V295" s="10" t="s">
        <v>401</v>
      </c>
      <c r="W295" s="9"/>
      <c r="X295" s="9"/>
      <c r="Y295" s="9">
        <v>2</v>
      </c>
      <c r="Z295" s="14">
        <v>1</v>
      </c>
      <c r="AB295" s="9"/>
      <c r="AC295" s="9"/>
      <c r="AD295" s="9">
        <v>2</v>
      </c>
      <c r="AE295" s="9">
        <v>2</v>
      </c>
      <c r="AF295" s="9">
        <v>1</v>
      </c>
      <c r="AG295" s="9">
        <v>0</v>
      </c>
      <c r="AH295" s="9">
        <v>0</v>
      </c>
      <c r="AI295" s="9">
        <v>0</v>
      </c>
      <c r="AJ295" s="12">
        <v>43259</v>
      </c>
      <c r="AK295" s="9">
        <v>2</v>
      </c>
      <c r="AL295" s="12">
        <v>43328</v>
      </c>
      <c r="AM295" s="9"/>
      <c r="AN295" s="12"/>
      <c r="AO295" s="12"/>
      <c r="AP295" s="12"/>
      <c r="AQ295" s="9"/>
      <c r="AR295" s="9"/>
      <c r="AS295" s="9"/>
      <c r="AT295" s="9"/>
      <c r="AU295" s="9">
        <v>1</v>
      </c>
      <c r="AV295" s="9">
        <f t="shared" si="100"/>
        <v>0</v>
      </c>
      <c r="AW295" s="12">
        <v>43341</v>
      </c>
      <c r="AX295" s="9">
        <v>4900</v>
      </c>
      <c r="AY295" s="9">
        <v>2597</v>
      </c>
      <c r="AZ295" s="9"/>
      <c r="BA295" s="9">
        <v>2597</v>
      </c>
      <c r="BB295" s="9">
        <v>1296.3468017578125</v>
      </c>
      <c r="BC295" s="9">
        <v>161000</v>
      </c>
      <c r="BD295" s="9"/>
      <c r="BE295" s="9"/>
      <c r="BF295" s="9"/>
      <c r="BG295" s="9">
        <v>3600</v>
      </c>
      <c r="BH295" s="9">
        <v>2124</v>
      </c>
      <c r="BI295" s="9"/>
      <c r="BJ295" s="9">
        <v>167000</v>
      </c>
      <c r="BK295" s="9"/>
      <c r="BL295" s="9"/>
      <c r="BM295" s="9"/>
      <c r="BN295" s="9">
        <v>3600</v>
      </c>
      <c r="BO295" s="9">
        <v>2088</v>
      </c>
      <c r="BP295" s="9"/>
      <c r="BQ295" s="9">
        <v>126000</v>
      </c>
      <c r="BR295" s="9"/>
      <c r="BS295" s="9"/>
      <c r="BT295" s="9"/>
      <c r="BU295" s="9">
        <v>3900</v>
      </c>
      <c r="BV295" s="9">
        <v>0.89700000000000002</v>
      </c>
      <c r="BW295" s="9"/>
      <c r="BX295" s="9">
        <v>142000</v>
      </c>
      <c r="BY295" s="9"/>
      <c r="BZ295" s="10" t="s">
        <v>401</v>
      </c>
      <c r="CA295" s="9"/>
      <c r="CB295" s="9"/>
      <c r="CC295" s="10">
        <f t="shared" si="101"/>
        <v>2.003321947860353</v>
      </c>
      <c r="CD295" s="10">
        <f t="shared" si="102"/>
        <v>124.19516118810814</v>
      </c>
      <c r="CE295" s="10">
        <f t="shared" si="114"/>
        <v>322534.83360551682</v>
      </c>
      <c r="CG295" s="10">
        <f t="shared" si="96"/>
        <v>1</v>
      </c>
      <c r="CH295" s="10">
        <f t="shared" si="97"/>
        <v>2</v>
      </c>
      <c r="CI295" s="9">
        <f t="shared" si="103"/>
        <v>0</v>
      </c>
      <c r="CJ295" s="10">
        <f t="shared" si="98"/>
        <v>2</v>
      </c>
      <c r="CK295" s="10" t="b">
        <f t="shared" si="104"/>
        <v>0</v>
      </c>
      <c r="CL295" s="10" t="b">
        <f t="shared" si="105"/>
        <v>0</v>
      </c>
      <c r="CM295" s="10" t="b">
        <f t="shared" si="106"/>
        <v>0</v>
      </c>
      <c r="CN295" s="9">
        <f t="shared" si="107"/>
        <v>0</v>
      </c>
      <c r="CP295" s="10" t="b">
        <f t="shared" si="108"/>
        <v>0</v>
      </c>
      <c r="CQ295" s="10" t="b">
        <f t="shared" si="109"/>
        <v>0</v>
      </c>
      <c r="CR295" s="10" t="e" cm="1">
        <f t="array" ref="CR295">_xlfn.IFS(AND($CI295=0, CK295=FALSE), NA(), AND($CI295=1, CK295=FALSE), 0, CK295=TRUE, 1)</f>
        <v>#N/A</v>
      </c>
      <c r="CS295" s="10" t="e" cm="1">
        <f t="array" ref="CS295">_xlfn.IFS(AND($CI295=0, CL295=FALSE), NA(), AND($CI295=1, CL295=FALSE), 0, CL295=TRUE, 1)</f>
        <v>#N/A</v>
      </c>
      <c r="CT295" s="10" t="e" cm="1">
        <f t="array" ref="CT295">_xlfn.IFS(AND($CI295=0, CM295=FALSE), NA(), AND($CI295=1, CM295=FALSE), 0, CM295=TRUE, 1)</f>
        <v>#N/A</v>
      </c>
      <c r="CU295" s="10" t="e" cm="1">
        <f t="array" ref="CU295">_xlfn.IFS(AND($CN295=0, CP295=FALSE), NA(), AND($CN295=1, CP295=FALSE), 0, CP295=TRUE, 1)</f>
        <v>#N/A</v>
      </c>
      <c r="CV295" s="10" t="e" cm="1">
        <f t="array" ref="CV295">_xlfn.IFS(AND($CN295=0, CQ295=FALSE), NA(), AND($CN295=1, CQ295=FALSE), 0, CQ295=TRUE, 1)</f>
        <v>#N/A</v>
      </c>
    </row>
    <row r="296" spans="1:100" ht="15.75" x14ac:dyDescent="0.25">
      <c r="A296" s="8">
        <v>295</v>
      </c>
      <c r="B296" s="9">
        <v>397</v>
      </c>
      <c r="C296" s="10" t="s">
        <v>29</v>
      </c>
      <c r="D296" s="11" t="s">
        <v>311</v>
      </c>
      <c r="E296" s="12">
        <v>16847</v>
      </c>
      <c r="F296" s="13">
        <v>2</v>
      </c>
      <c r="G296" s="9">
        <v>68.4024658203125</v>
      </c>
      <c r="H296" s="12">
        <v>41831</v>
      </c>
      <c r="I296" s="9">
        <v>1</v>
      </c>
      <c r="J296" s="12">
        <v>41831</v>
      </c>
      <c r="K296" s="9">
        <v>0</v>
      </c>
      <c r="L296" s="9">
        <v>2</v>
      </c>
      <c r="M296" s="10" t="s">
        <v>401</v>
      </c>
      <c r="N296" s="9">
        <v>1</v>
      </c>
      <c r="O296" s="10" t="s">
        <v>401</v>
      </c>
      <c r="P296" s="9">
        <v>1</v>
      </c>
      <c r="Q296" s="10" t="s">
        <v>401</v>
      </c>
      <c r="R296" s="12">
        <v>42104</v>
      </c>
      <c r="S296" s="10" t="s">
        <v>145</v>
      </c>
      <c r="T296" s="9"/>
      <c r="U296" s="10" t="s">
        <v>401</v>
      </c>
      <c r="V296" s="10" t="s">
        <v>401</v>
      </c>
      <c r="W296" s="9"/>
      <c r="X296" s="9"/>
      <c r="Y296" s="9">
        <v>2</v>
      </c>
      <c r="Z296" s="14">
        <v>1</v>
      </c>
      <c r="AA296" s="17">
        <v>10.5</v>
      </c>
      <c r="AB296" s="18">
        <v>101</v>
      </c>
      <c r="AC296" s="18">
        <v>17</v>
      </c>
      <c r="AD296" s="9">
        <v>2</v>
      </c>
      <c r="AE296" s="9">
        <v>2</v>
      </c>
      <c r="AF296" s="9">
        <v>1</v>
      </c>
      <c r="AG296" s="9">
        <v>0</v>
      </c>
      <c r="AH296" s="9">
        <v>1</v>
      </c>
      <c r="AI296" s="9">
        <v>0</v>
      </c>
      <c r="AJ296" s="12">
        <v>42965</v>
      </c>
      <c r="AK296" s="9">
        <v>2</v>
      </c>
      <c r="AL296" s="12">
        <v>43024</v>
      </c>
      <c r="AM296" s="9">
        <v>4</v>
      </c>
      <c r="AN296" s="12">
        <v>43033</v>
      </c>
      <c r="AO296" s="12">
        <v>43033</v>
      </c>
      <c r="AP296" s="12">
        <v>43033</v>
      </c>
      <c r="AQ296" s="9">
        <v>1</v>
      </c>
      <c r="AR296" s="9">
        <f t="shared" si="99"/>
        <v>1</v>
      </c>
      <c r="AS296" s="9">
        <v>1</v>
      </c>
      <c r="AT296" s="9">
        <v>2</v>
      </c>
      <c r="AU296" s="9">
        <v>2</v>
      </c>
      <c r="AV296" s="9">
        <f t="shared" si="100"/>
        <v>1</v>
      </c>
      <c r="AW296" s="12">
        <v>43124</v>
      </c>
      <c r="AX296" s="9">
        <v>6060</v>
      </c>
      <c r="AY296" s="9">
        <v>3760</v>
      </c>
      <c r="AZ296" s="9">
        <v>1700</v>
      </c>
      <c r="BA296" s="9">
        <v>3760</v>
      </c>
      <c r="BB296" s="9">
        <v>1700.0001220703125</v>
      </c>
      <c r="BC296" s="9">
        <v>345000</v>
      </c>
      <c r="BD296" s="9">
        <v>42</v>
      </c>
      <c r="BE296" s="9">
        <v>12</v>
      </c>
      <c r="BF296" s="9"/>
      <c r="BG296" s="9">
        <v>5940</v>
      </c>
      <c r="BH296" s="9">
        <v>3680</v>
      </c>
      <c r="BI296" s="9">
        <v>1600</v>
      </c>
      <c r="BJ296" s="9">
        <v>368000</v>
      </c>
      <c r="BK296" s="9">
        <v>48</v>
      </c>
      <c r="BL296" s="9">
        <v>12</v>
      </c>
      <c r="BM296" s="9"/>
      <c r="BN296" s="9">
        <v>6520</v>
      </c>
      <c r="BO296" s="9">
        <v>3910</v>
      </c>
      <c r="BP296" s="9">
        <v>1760</v>
      </c>
      <c r="BQ296" s="9">
        <v>432000</v>
      </c>
      <c r="BR296" s="9">
        <v>59</v>
      </c>
      <c r="BS296" s="9">
        <v>20</v>
      </c>
      <c r="BT296" s="9"/>
      <c r="BU296" s="9">
        <v>7530</v>
      </c>
      <c r="BV296" s="9">
        <v>5200</v>
      </c>
      <c r="BW296" s="9">
        <v>1510</v>
      </c>
      <c r="BX296" s="9">
        <v>589000</v>
      </c>
      <c r="BY296" s="9">
        <v>60</v>
      </c>
      <c r="BZ296" s="10" t="s">
        <v>302</v>
      </c>
      <c r="CA296" s="9">
        <v>15</v>
      </c>
      <c r="CB296" s="9"/>
      <c r="CC296" s="10">
        <f t="shared" si="101"/>
        <v>2.2117645470642415</v>
      </c>
      <c r="CD296" s="10">
        <f t="shared" si="102"/>
        <v>202.94116189818175</v>
      </c>
      <c r="CE296" s="10">
        <f t="shared" si="114"/>
        <v>763058.76873716328</v>
      </c>
      <c r="CF296" s="10">
        <f t="shared" ref="CF296:CF327" si="115">IF(AM296=4, 0,1)</f>
        <v>0</v>
      </c>
      <c r="CG296" s="10">
        <f t="shared" si="96"/>
        <v>0</v>
      </c>
      <c r="CH296" s="10">
        <f t="shared" si="97"/>
        <v>2</v>
      </c>
      <c r="CI296" s="9">
        <f t="shared" si="103"/>
        <v>1</v>
      </c>
      <c r="CJ296" s="10">
        <f t="shared" si="98"/>
        <v>5</v>
      </c>
      <c r="CK296" s="10" t="b">
        <f t="shared" si="104"/>
        <v>0</v>
      </c>
      <c r="CL296" s="10" t="b">
        <f t="shared" si="105"/>
        <v>0</v>
      </c>
      <c r="CM296" s="10" t="b">
        <f t="shared" si="106"/>
        <v>0</v>
      </c>
      <c r="CN296" s="9">
        <f t="shared" si="107"/>
        <v>1</v>
      </c>
      <c r="CO296" s="10">
        <f t="shared" ref="CO296:CO304" si="116">(YEAR(AO296)-YEAR(AJ296))*12+MONTH(AO296)-MONTH(AJ296)</f>
        <v>2</v>
      </c>
      <c r="CP296" s="10" t="b">
        <f t="shared" si="108"/>
        <v>0</v>
      </c>
      <c r="CQ296" s="10" t="b">
        <f t="shared" si="109"/>
        <v>0</v>
      </c>
      <c r="CR296" s="10" cm="1">
        <f t="array" ref="CR296">_xlfn.IFS(AND($CI296=0, CK296=FALSE), NA(), AND($CI296=1, CK296=FALSE), 0, CK296=TRUE, 1)</f>
        <v>0</v>
      </c>
      <c r="CS296" s="10" cm="1">
        <f t="array" ref="CS296">_xlfn.IFS(AND($CI296=0, CL296=FALSE), NA(), AND($CI296=1, CL296=FALSE), 0, CL296=TRUE, 1)</f>
        <v>0</v>
      </c>
      <c r="CT296" s="10" cm="1">
        <f t="array" ref="CT296">_xlfn.IFS(AND($CI296=0, CM296=FALSE), NA(), AND($CI296=1, CM296=FALSE), 0, CM296=TRUE, 1)</f>
        <v>0</v>
      </c>
      <c r="CU296" s="10" cm="1">
        <f t="array" ref="CU296">_xlfn.IFS(AND($CN296=0, CP296=FALSE), NA(), AND($CN296=1, CP296=FALSE), 0, CP296=TRUE, 1)</f>
        <v>0</v>
      </c>
      <c r="CV296" s="10" cm="1">
        <f t="array" ref="CV296">_xlfn.IFS(AND($CN296=0, CQ296=FALSE), NA(), AND($CN296=1, CQ296=FALSE), 0, CQ296=TRUE, 1)</f>
        <v>0</v>
      </c>
    </row>
    <row r="297" spans="1:100" ht="15.75" x14ac:dyDescent="0.25">
      <c r="A297" s="8">
        <v>296</v>
      </c>
      <c r="B297" s="9">
        <v>294</v>
      </c>
      <c r="C297" s="10" t="s">
        <v>22</v>
      </c>
      <c r="D297" s="11" t="s">
        <v>56</v>
      </c>
      <c r="E297" s="12">
        <v>19273</v>
      </c>
      <c r="F297" s="13">
        <v>1</v>
      </c>
      <c r="G297" s="9">
        <v>61.765914916992188</v>
      </c>
      <c r="H297" s="12">
        <v>41833</v>
      </c>
      <c r="I297" s="9">
        <v>1</v>
      </c>
      <c r="J297" s="12">
        <v>41833</v>
      </c>
      <c r="K297" s="9">
        <v>0</v>
      </c>
      <c r="L297" s="9">
        <v>2</v>
      </c>
      <c r="M297" s="10" t="s">
        <v>401</v>
      </c>
      <c r="N297" s="9">
        <v>1</v>
      </c>
      <c r="O297" s="10" t="s">
        <v>401</v>
      </c>
      <c r="P297" s="9">
        <v>1</v>
      </c>
      <c r="Q297" s="10" t="s">
        <v>401</v>
      </c>
      <c r="R297" s="12">
        <v>42933</v>
      </c>
      <c r="S297" s="10" t="s">
        <v>145</v>
      </c>
      <c r="T297" s="9"/>
      <c r="U297" s="10" t="s">
        <v>401</v>
      </c>
      <c r="V297" s="10" t="s">
        <v>401</v>
      </c>
      <c r="W297" s="9"/>
      <c r="X297" s="9"/>
      <c r="Y297" s="9">
        <v>2</v>
      </c>
      <c r="Z297" s="14">
        <v>1</v>
      </c>
      <c r="AB297" s="9"/>
      <c r="AC297" s="9"/>
      <c r="AD297" s="9">
        <v>1</v>
      </c>
      <c r="AE297" s="9">
        <v>1</v>
      </c>
      <c r="AF297" s="9">
        <v>1</v>
      </c>
      <c r="AG297" s="9">
        <v>1</v>
      </c>
      <c r="AH297" s="9">
        <v>0</v>
      </c>
      <c r="AI297" s="9">
        <v>0</v>
      </c>
      <c r="AJ297" s="12">
        <v>43308</v>
      </c>
      <c r="AK297" s="9">
        <v>2</v>
      </c>
      <c r="AL297" s="12">
        <v>43378</v>
      </c>
      <c r="AM297" s="9">
        <v>4</v>
      </c>
      <c r="AN297" s="12">
        <v>43404</v>
      </c>
      <c r="AO297" s="12">
        <v>43404</v>
      </c>
      <c r="AP297" s="12">
        <v>43404</v>
      </c>
      <c r="AQ297" s="9">
        <v>1</v>
      </c>
      <c r="AR297" s="9">
        <f t="shared" si="99"/>
        <v>1</v>
      </c>
      <c r="AS297" s="9">
        <v>1</v>
      </c>
      <c r="AT297" s="9">
        <v>2</v>
      </c>
      <c r="AU297" s="9">
        <v>2</v>
      </c>
      <c r="AV297" s="9">
        <f t="shared" si="100"/>
        <v>1</v>
      </c>
      <c r="AW297" s="12">
        <v>43819</v>
      </c>
      <c r="AX297" s="9">
        <v>6740</v>
      </c>
      <c r="AY297" s="9">
        <v>3700</v>
      </c>
      <c r="AZ297" s="9">
        <v>1360</v>
      </c>
      <c r="BA297" s="9">
        <v>3700</v>
      </c>
      <c r="BB297" s="9">
        <v>1360</v>
      </c>
      <c r="BC297" s="9">
        <v>220000</v>
      </c>
      <c r="BD297" s="9">
        <v>380</v>
      </c>
      <c r="BE297" s="9">
        <v>430</v>
      </c>
      <c r="BF297" s="9"/>
      <c r="BG297" s="9">
        <v>5980</v>
      </c>
      <c r="BH297" s="9">
        <v>3650</v>
      </c>
      <c r="BI297" s="9">
        <v>990</v>
      </c>
      <c r="BJ297" s="9">
        <v>237000</v>
      </c>
      <c r="BK297" s="9">
        <v>330</v>
      </c>
      <c r="BL297" s="9">
        <v>490</v>
      </c>
      <c r="BM297" s="9"/>
      <c r="BN297" s="9">
        <v>5340</v>
      </c>
      <c r="BO297" s="9">
        <v>2990</v>
      </c>
      <c r="BP297" s="9">
        <v>1060</v>
      </c>
      <c r="BQ297" s="9">
        <v>210000</v>
      </c>
      <c r="BR297" s="9">
        <v>370</v>
      </c>
      <c r="BS297" s="9">
        <v>330</v>
      </c>
      <c r="BT297" s="9"/>
      <c r="BU297" s="9">
        <v>5780</v>
      </c>
      <c r="BV297" s="9">
        <v>3150</v>
      </c>
      <c r="BW297" s="9">
        <v>1130</v>
      </c>
      <c r="BX297" s="9">
        <v>199000</v>
      </c>
      <c r="BY297" s="9">
        <v>390</v>
      </c>
      <c r="BZ297" s="10" t="s">
        <v>551</v>
      </c>
      <c r="CA297" s="9">
        <v>360</v>
      </c>
      <c r="CB297" s="9"/>
      <c r="CC297" s="10">
        <f t="shared" si="101"/>
        <v>2.7205882352941178</v>
      </c>
      <c r="CD297" s="10">
        <f t="shared" si="102"/>
        <v>161.76470588235293</v>
      </c>
      <c r="CE297" s="10">
        <f t="shared" si="114"/>
        <v>598529.4117647059</v>
      </c>
      <c r="CF297" s="10">
        <f t="shared" si="115"/>
        <v>0</v>
      </c>
      <c r="CG297" s="10">
        <f t="shared" si="96"/>
        <v>0</v>
      </c>
      <c r="CH297" s="10">
        <f t="shared" si="97"/>
        <v>3</v>
      </c>
      <c r="CI297" s="9">
        <f t="shared" si="103"/>
        <v>1</v>
      </c>
      <c r="CJ297" s="10">
        <f t="shared" si="98"/>
        <v>17</v>
      </c>
      <c r="CK297" s="10" t="b">
        <f t="shared" si="104"/>
        <v>1</v>
      </c>
      <c r="CL297" s="10" t="b">
        <f t="shared" si="105"/>
        <v>0</v>
      </c>
      <c r="CM297" s="10" t="b">
        <f t="shared" si="106"/>
        <v>0</v>
      </c>
      <c r="CN297" s="9">
        <f t="shared" si="107"/>
        <v>1</v>
      </c>
      <c r="CO297" s="10">
        <f t="shared" si="116"/>
        <v>3</v>
      </c>
      <c r="CP297" s="10" t="b">
        <f t="shared" si="108"/>
        <v>1</v>
      </c>
      <c r="CQ297" s="10" t="b">
        <f t="shared" si="109"/>
        <v>0</v>
      </c>
      <c r="CR297" s="10" cm="1">
        <f t="array" ref="CR297">_xlfn.IFS(AND($CI297=0, CK297=FALSE), NA(), AND($CI297=1, CK297=FALSE), 0, CK297=TRUE, 1)</f>
        <v>1</v>
      </c>
      <c r="CS297" s="10" cm="1">
        <f t="array" ref="CS297">_xlfn.IFS(AND($CI297=0, CL297=FALSE), NA(), AND($CI297=1, CL297=FALSE), 0, CL297=TRUE, 1)</f>
        <v>0</v>
      </c>
      <c r="CT297" s="10" cm="1">
        <f t="array" ref="CT297">_xlfn.IFS(AND($CI297=0, CM297=FALSE), NA(), AND($CI297=1, CM297=FALSE), 0, CM297=TRUE, 1)</f>
        <v>0</v>
      </c>
      <c r="CU297" s="10" cm="1">
        <f t="array" ref="CU297">_xlfn.IFS(AND($CN297=0, CP297=FALSE), NA(), AND($CN297=1, CP297=FALSE), 0, CP297=TRUE, 1)</f>
        <v>1</v>
      </c>
      <c r="CV297" s="10" cm="1">
        <f t="array" ref="CV297">_xlfn.IFS(AND($CN297=0, CQ297=FALSE), NA(), AND($CN297=1, CQ297=FALSE), 0, CQ297=TRUE, 1)</f>
        <v>0</v>
      </c>
    </row>
    <row r="298" spans="1:100" ht="15.75" x14ac:dyDescent="0.25">
      <c r="A298" s="8">
        <v>297</v>
      </c>
      <c r="B298" s="9">
        <v>178</v>
      </c>
      <c r="C298" s="10" t="s">
        <v>17</v>
      </c>
      <c r="D298" s="11" t="s">
        <v>78</v>
      </c>
      <c r="E298" s="12">
        <v>13965</v>
      </c>
      <c r="F298" s="13">
        <v>1</v>
      </c>
      <c r="G298" s="9">
        <v>76.328544616699219</v>
      </c>
      <c r="H298" s="12">
        <v>41844</v>
      </c>
      <c r="I298" s="9">
        <v>1</v>
      </c>
      <c r="J298" s="12">
        <v>41886</v>
      </c>
      <c r="K298" s="9">
        <v>1</v>
      </c>
      <c r="L298" s="9">
        <v>1</v>
      </c>
      <c r="M298" s="10" t="s">
        <v>401</v>
      </c>
      <c r="N298" s="9">
        <v>2</v>
      </c>
      <c r="O298" s="10" t="s">
        <v>145</v>
      </c>
      <c r="P298" s="9">
        <v>2</v>
      </c>
      <c r="Q298" s="10" t="s">
        <v>145</v>
      </c>
      <c r="R298" s="12">
        <v>41844</v>
      </c>
      <c r="S298" s="10" t="s">
        <v>146</v>
      </c>
      <c r="T298" s="9"/>
      <c r="U298" s="10" t="s">
        <v>401</v>
      </c>
      <c r="V298" s="10" t="s">
        <v>401</v>
      </c>
      <c r="W298" s="9"/>
      <c r="X298" s="9"/>
      <c r="Y298" s="9">
        <v>2</v>
      </c>
      <c r="Z298" s="14">
        <v>2</v>
      </c>
      <c r="AA298" s="17">
        <v>12</v>
      </c>
      <c r="AB298" s="18">
        <v>98</v>
      </c>
      <c r="AC298" s="18">
        <v>16</v>
      </c>
      <c r="AD298" s="9">
        <v>2</v>
      </c>
      <c r="AE298" s="9">
        <v>2</v>
      </c>
      <c r="AF298" s="9">
        <v>1</v>
      </c>
      <c r="AG298" s="9">
        <v>1</v>
      </c>
      <c r="AH298" s="9">
        <v>1</v>
      </c>
      <c r="AI298" s="9">
        <v>1</v>
      </c>
      <c r="AJ298" s="12">
        <v>43028</v>
      </c>
      <c r="AK298" s="9">
        <v>2</v>
      </c>
      <c r="AL298" s="12">
        <v>43060</v>
      </c>
      <c r="AM298" s="9">
        <v>4</v>
      </c>
      <c r="AN298" s="12">
        <v>43152</v>
      </c>
      <c r="AO298" s="12">
        <v>43152</v>
      </c>
      <c r="AP298" s="12">
        <v>43152</v>
      </c>
      <c r="AQ298" s="9">
        <v>1</v>
      </c>
      <c r="AR298" s="9">
        <f t="shared" si="99"/>
        <v>1</v>
      </c>
      <c r="AS298" s="9">
        <v>1</v>
      </c>
      <c r="AT298" s="9">
        <v>2</v>
      </c>
      <c r="AU298" s="9">
        <v>2</v>
      </c>
      <c r="AV298" s="9">
        <f t="shared" si="100"/>
        <v>1</v>
      </c>
      <c r="AW298" s="12">
        <v>43303</v>
      </c>
      <c r="AX298" s="9">
        <v>8480</v>
      </c>
      <c r="AY298" s="9">
        <v>7200</v>
      </c>
      <c r="AZ298" s="9">
        <v>600</v>
      </c>
      <c r="BA298" s="9">
        <v>7200</v>
      </c>
      <c r="BB298" s="9">
        <v>600.00006103515625</v>
      </c>
      <c r="BC298" s="9">
        <v>187000</v>
      </c>
      <c r="BD298" s="9">
        <v>700</v>
      </c>
      <c r="BE298" s="9">
        <v>0</v>
      </c>
      <c r="BF298" s="9"/>
      <c r="BG298" s="9">
        <v>7960</v>
      </c>
      <c r="BH298" s="9">
        <v>7000</v>
      </c>
      <c r="BI298" s="9">
        <v>500</v>
      </c>
      <c r="BJ298" s="9">
        <v>169000</v>
      </c>
      <c r="BK298" s="9">
        <v>500</v>
      </c>
      <c r="BL298" s="9">
        <v>0</v>
      </c>
      <c r="BM298" s="9"/>
      <c r="BN298" s="9">
        <v>7520</v>
      </c>
      <c r="BO298" s="9">
        <v>6400</v>
      </c>
      <c r="BP298" s="9">
        <v>400</v>
      </c>
      <c r="BQ298" s="9">
        <v>226000</v>
      </c>
      <c r="BR298" s="9">
        <v>600</v>
      </c>
      <c r="BS298" s="9">
        <v>0</v>
      </c>
      <c r="BT298" s="9"/>
      <c r="BU298" s="9"/>
      <c r="BV298" s="9"/>
      <c r="BW298" s="9"/>
      <c r="BX298" s="9"/>
      <c r="BY298" s="9"/>
      <c r="BZ298" s="10" t="s">
        <v>401</v>
      </c>
      <c r="CA298" s="9"/>
      <c r="CB298" s="9"/>
      <c r="CC298" s="10">
        <f t="shared" si="101"/>
        <v>11.999998779297</v>
      </c>
      <c r="CD298" s="10">
        <f t="shared" si="102"/>
        <v>311.66663496229705</v>
      </c>
      <c r="CE298" s="10">
        <f t="shared" si="114"/>
        <v>2243999.7717285389</v>
      </c>
      <c r="CF298" s="10">
        <f t="shared" si="115"/>
        <v>0</v>
      </c>
      <c r="CG298" s="10">
        <f t="shared" si="96"/>
        <v>0</v>
      </c>
      <c r="CH298" s="10">
        <f t="shared" si="97"/>
        <v>1</v>
      </c>
      <c r="CI298" s="9">
        <f>AV298</f>
        <v>1</v>
      </c>
      <c r="CJ298" s="10">
        <f t="shared" si="98"/>
        <v>9</v>
      </c>
      <c r="CK298" s="10" t="b">
        <f t="shared" si="104"/>
        <v>1</v>
      </c>
      <c r="CL298" s="10" t="b">
        <f t="shared" si="105"/>
        <v>0</v>
      </c>
      <c r="CM298" s="10" t="b">
        <f t="shared" si="106"/>
        <v>0</v>
      </c>
      <c r="CN298" s="9">
        <f t="shared" si="107"/>
        <v>1</v>
      </c>
      <c r="CO298" s="10">
        <f t="shared" si="116"/>
        <v>4</v>
      </c>
      <c r="CP298" s="10" t="b">
        <f t="shared" si="108"/>
        <v>1</v>
      </c>
      <c r="CQ298" s="10" t="b">
        <f t="shared" si="109"/>
        <v>0</v>
      </c>
      <c r="CR298" s="10" cm="1">
        <f t="array" ref="CR298">_xlfn.IFS(AND($CI298=0, CK298=FALSE), NA(), AND($CI298=1, CK298=FALSE), 0, CK298=TRUE, 1)</f>
        <v>1</v>
      </c>
      <c r="CS298" s="10" cm="1">
        <f t="array" ref="CS298">_xlfn.IFS(AND($CI298=0, CL298=FALSE), NA(), AND($CI298=1, CL298=FALSE), 0, CL298=TRUE, 1)</f>
        <v>0</v>
      </c>
      <c r="CT298" s="10" cm="1">
        <f t="array" ref="CT298">_xlfn.IFS(AND($CI298=0, CM298=FALSE), NA(), AND($CI298=1, CM298=FALSE), 0, CM298=TRUE, 1)</f>
        <v>0</v>
      </c>
      <c r="CU298" s="10" cm="1">
        <f t="array" ref="CU298">_xlfn.IFS(AND($CN298=0, CP298=FALSE), NA(), AND($CN298=1, CP298=FALSE), 0, CP298=TRUE, 1)</f>
        <v>1</v>
      </c>
      <c r="CV298" s="10" cm="1">
        <f t="array" ref="CV298">_xlfn.IFS(AND($CN298=0, CQ298=FALSE), NA(), AND($CN298=1, CQ298=FALSE), 0, CQ298=TRUE, 1)</f>
        <v>0</v>
      </c>
    </row>
    <row r="299" spans="1:100" ht="15.75" x14ac:dyDescent="0.25">
      <c r="A299" s="8">
        <v>298</v>
      </c>
      <c r="B299" s="9">
        <v>80</v>
      </c>
      <c r="C299" s="10" t="s">
        <v>9</v>
      </c>
      <c r="D299" s="11" t="s">
        <v>108</v>
      </c>
      <c r="E299" s="12">
        <v>17547</v>
      </c>
      <c r="F299" s="13">
        <v>1</v>
      </c>
      <c r="G299" s="9">
        <v>66.521560668945313</v>
      </c>
      <c r="H299" s="12">
        <v>41844</v>
      </c>
      <c r="I299" s="9">
        <v>0</v>
      </c>
      <c r="J299" s="12"/>
      <c r="K299" s="9">
        <v>1</v>
      </c>
      <c r="L299" s="9">
        <v>1</v>
      </c>
      <c r="M299" s="10" t="s">
        <v>401</v>
      </c>
      <c r="N299" s="9">
        <v>2</v>
      </c>
      <c r="O299" s="10" t="s">
        <v>409</v>
      </c>
      <c r="P299" s="9">
        <v>2</v>
      </c>
      <c r="Q299" s="10" t="s">
        <v>409</v>
      </c>
      <c r="R299" s="12">
        <v>41844</v>
      </c>
      <c r="S299" s="10" t="s">
        <v>146</v>
      </c>
      <c r="T299" s="9"/>
      <c r="U299" s="10" t="s">
        <v>401</v>
      </c>
      <c r="V299" s="10" t="s">
        <v>401</v>
      </c>
      <c r="W299" s="9"/>
      <c r="X299" s="9"/>
      <c r="Y299" s="9">
        <v>2</v>
      </c>
      <c r="Z299" s="14">
        <v>2</v>
      </c>
      <c r="AA299" s="15">
        <v>9.6999999999999993</v>
      </c>
      <c r="AB299" s="16">
        <v>88</v>
      </c>
      <c r="AC299" s="16">
        <v>14</v>
      </c>
      <c r="AD299" s="9">
        <v>2</v>
      </c>
      <c r="AE299" s="9">
        <v>2</v>
      </c>
      <c r="AF299" s="9">
        <v>1</v>
      </c>
      <c r="AG299" s="9">
        <v>1</v>
      </c>
      <c r="AH299" s="9">
        <v>1</v>
      </c>
      <c r="AI299" s="9">
        <v>0</v>
      </c>
      <c r="AJ299" s="12">
        <v>43146</v>
      </c>
      <c r="AK299" s="9">
        <v>2</v>
      </c>
      <c r="AL299" s="12">
        <v>43958</v>
      </c>
      <c r="AM299" s="9">
        <v>2</v>
      </c>
      <c r="AN299" s="12">
        <v>43356</v>
      </c>
      <c r="AO299" s="12">
        <v>43853</v>
      </c>
      <c r="AP299" s="12">
        <v>43853</v>
      </c>
      <c r="AQ299" s="9">
        <v>1</v>
      </c>
      <c r="AR299" s="9">
        <f t="shared" si="99"/>
        <v>1</v>
      </c>
      <c r="AS299" s="9">
        <v>1</v>
      </c>
      <c r="AT299" s="9">
        <v>2</v>
      </c>
      <c r="AU299" s="9">
        <v>1</v>
      </c>
      <c r="AV299" s="9">
        <f t="shared" si="100"/>
        <v>0</v>
      </c>
      <c r="AW299" s="12">
        <v>43958</v>
      </c>
      <c r="AX299" s="9">
        <v>7550</v>
      </c>
      <c r="AY299" s="9">
        <v>3900</v>
      </c>
      <c r="AZ299" s="9">
        <v>2400</v>
      </c>
      <c r="BA299" s="9">
        <v>3900</v>
      </c>
      <c r="BB299" s="9">
        <v>2400.000244140625</v>
      </c>
      <c r="BC299" s="9">
        <v>92000</v>
      </c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>
        <v>7170</v>
      </c>
      <c r="BO299" s="9">
        <v>5240</v>
      </c>
      <c r="BP299" s="9">
        <v>2530</v>
      </c>
      <c r="BQ299" s="9">
        <v>129000</v>
      </c>
      <c r="BR299" s="9"/>
      <c r="BS299" s="9"/>
      <c r="BT299" s="9"/>
      <c r="BU299" s="9"/>
      <c r="BV299" s="9"/>
      <c r="BW299" s="9"/>
      <c r="BX299" s="9"/>
      <c r="BY299" s="9"/>
      <c r="BZ299" s="10" t="s">
        <v>401</v>
      </c>
      <c r="CA299" s="9"/>
      <c r="CB299" s="9"/>
      <c r="CC299" s="10">
        <f t="shared" si="101"/>
        <v>1.6249998346964687</v>
      </c>
      <c r="CD299" s="10">
        <f t="shared" si="102"/>
        <v>38.333329433865416</v>
      </c>
      <c r="CE299" s="10">
        <f t="shared" si="114"/>
        <v>149499.98479207512</v>
      </c>
      <c r="CF299" s="10">
        <f t="shared" si="115"/>
        <v>1</v>
      </c>
      <c r="CG299" s="10">
        <f t="shared" si="96"/>
        <v>1</v>
      </c>
      <c r="CH299" s="10">
        <f t="shared" si="97"/>
        <v>27</v>
      </c>
      <c r="CI299" s="9">
        <f t="shared" si="103"/>
        <v>0</v>
      </c>
      <c r="CJ299" s="10">
        <f t="shared" si="98"/>
        <v>27</v>
      </c>
      <c r="CK299" s="10" t="b">
        <f t="shared" si="104"/>
        <v>1</v>
      </c>
      <c r="CL299" s="10" t="b">
        <f t="shared" si="105"/>
        <v>1</v>
      </c>
      <c r="CM299" s="10" t="b">
        <f t="shared" si="106"/>
        <v>1</v>
      </c>
      <c r="CN299" s="9">
        <f t="shared" si="107"/>
        <v>1</v>
      </c>
      <c r="CO299" s="10">
        <f t="shared" si="116"/>
        <v>23</v>
      </c>
      <c r="CP299" s="10" t="b">
        <f t="shared" si="108"/>
        <v>1</v>
      </c>
      <c r="CQ299" s="10" t="b">
        <f t="shared" si="109"/>
        <v>1</v>
      </c>
      <c r="CR299" s="10" cm="1">
        <f t="array" ref="CR299">_xlfn.IFS(AND($CI299=0, CK299=FALSE), NA(), AND($CI299=1, CK299=FALSE), 0, CK299=TRUE, 1)</f>
        <v>1</v>
      </c>
      <c r="CS299" s="10" cm="1">
        <f t="array" ref="CS299">_xlfn.IFS(AND($CI299=0, CL299=FALSE), NA(), AND($CI299=1, CL299=FALSE), 0, CL299=TRUE, 1)</f>
        <v>1</v>
      </c>
      <c r="CT299" s="10" cm="1">
        <f t="array" ref="CT299">_xlfn.IFS(AND($CI299=0, CM299=FALSE), NA(), AND($CI299=1, CM299=FALSE), 0, CM299=TRUE, 1)</f>
        <v>1</v>
      </c>
      <c r="CU299" s="10" cm="1">
        <f t="array" ref="CU299">_xlfn.IFS(AND($CN299=0, CP299=FALSE), NA(), AND($CN299=1, CP299=FALSE), 0, CP299=TRUE, 1)</f>
        <v>1</v>
      </c>
      <c r="CV299" s="10" cm="1">
        <f t="array" ref="CV299">_xlfn.IFS(AND($CN299=0, CQ299=FALSE), NA(), AND($CN299=1, CQ299=FALSE), 0, CQ299=TRUE, 1)</f>
        <v>1</v>
      </c>
    </row>
    <row r="300" spans="1:100" ht="15.75" x14ac:dyDescent="0.25">
      <c r="A300" s="8">
        <v>299</v>
      </c>
      <c r="B300" s="9">
        <v>378</v>
      </c>
      <c r="C300" s="10" t="s">
        <v>28</v>
      </c>
      <c r="D300" s="11" t="s">
        <v>294</v>
      </c>
      <c r="E300" s="12">
        <v>17170</v>
      </c>
      <c r="F300" s="13">
        <v>1</v>
      </c>
      <c r="G300" s="9">
        <v>67.570159912109375</v>
      </c>
      <c r="H300" s="12">
        <v>41850</v>
      </c>
      <c r="I300" s="9">
        <v>1</v>
      </c>
      <c r="J300" s="12">
        <v>41928</v>
      </c>
      <c r="K300" s="9">
        <v>1</v>
      </c>
      <c r="L300" s="9">
        <v>1</v>
      </c>
      <c r="M300" s="10" t="s">
        <v>401</v>
      </c>
      <c r="N300" s="9">
        <v>3</v>
      </c>
      <c r="O300" s="10" t="s">
        <v>438</v>
      </c>
      <c r="P300" s="9">
        <v>2</v>
      </c>
      <c r="Q300" s="10" t="s">
        <v>145</v>
      </c>
      <c r="R300" s="12">
        <v>41850</v>
      </c>
      <c r="S300" s="10" t="s">
        <v>145</v>
      </c>
      <c r="T300" s="9"/>
      <c r="U300" s="10" t="s">
        <v>401</v>
      </c>
      <c r="V300" s="10" t="s">
        <v>401</v>
      </c>
      <c r="W300" s="9"/>
      <c r="X300" s="9"/>
      <c r="Y300" s="9">
        <v>2</v>
      </c>
      <c r="Z300" s="14">
        <v>1</v>
      </c>
      <c r="AA300" s="21">
        <v>13.6</v>
      </c>
      <c r="AB300" s="22">
        <v>99</v>
      </c>
      <c r="AC300" s="22">
        <v>16</v>
      </c>
      <c r="AD300" s="9">
        <v>3</v>
      </c>
      <c r="AE300" s="9">
        <v>2</v>
      </c>
      <c r="AF300" s="9">
        <v>1</v>
      </c>
      <c r="AG300" s="9">
        <v>1</v>
      </c>
      <c r="AH300" s="9">
        <v>1</v>
      </c>
      <c r="AI300" s="9">
        <v>1</v>
      </c>
      <c r="AJ300" s="12">
        <v>43444</v>
      </c>
      <c r="AK300" s="9">
        <v>2</v>
      </c>
      <c r="AL300" s="12">
        <v>43573</v>
      </c>
      <c r="AM300" s="9">
        <v>3</v>
      </c>
      <c r="AN300" s="12">
        <v>43480</v>
      </c>
      <c r="AO300" s="12">
        <v>43588</v>
      </c>
      <c r="AP300" s="12">
        <v>43588</v>
      </c>
      <c r="AQ300" s="9">
        <v>1</v>
      </c>
      <c r="AR300" s="9">
        <f t="shared" si="99"/>
        <v>1</v>
      </c>
      <c r="AS300" s="9">
        <v>1</v>
      </c>
      <c r="AT300" s="9">
        <v>2</v>
      </c>
      <c r="AU300" s="9">
        <v>2</v>
      </c>
      <c r="AV300" s="9">
        <f t="shared" si="100"/>
        <v>1</v>
      </c>
      <c r="AW300" s="12">
        <v>43649</v>
      </c>
      <c r="AX300" s="9">
        <v>9460</v>
      </c>
      <c r="AY300" s="9">
        <v>7820</v>
      </c>
      <c r="AZ300" s="9">
        <v>960</v>
      </c>
      <c r="BA300" s="9">
        <v>7820</v>
      </c>
      <c r="BB300" s="9">
        <v>960.00006103515625</v>
      </c>
      <c r="BC300" s="9">
        <v>298000</v>
      </c>
      <c r="BD300" s="9">
        <v>490</v>
      </c>
      <c r="BE300" s="9">
        <v>110</v>
      </c>
      <c r="BF300" s="9">
        <v>364</v>
      </c>
      <c r="BG300" s="9">
        <v>12790</v>
      </c>
      <c r="BH300" s="9">
        <v>11320</v>
      </c>
      <c r="BI300" s="9">
        <v>780</v>
      </c>
      <c r="BJ300" s="9">
        <v>411000</v>
      </c>
      <c r="BK300" s="9">
        <v>470</v>
      </c>
      <c r="BL300" s="9">
        <v>150</v>
      </c>
      <c r="BM300" s="9">
        <v>302</v>
      </c>
      <c r="BN300" s="9">
        <v>10170</v>
      </c>
      <c r="BO300" s="9">
        <v>7920</v>
      </c>
      <c r="BP300" s="9">
        <v>1110</v>
      </c>
      <c r="BQ300" s="9">
        <v>409000</v>
      </c>
      <c r="BR300" s="9">
        <v>740</v>
      </c>
      <c r="BS300" s="9">
        <v>260</v>
      </c>
      <c r="BT300" s="9">
        <v>378</v>
      </c>
      <c r="BU300" s="9">
        <v>17910</v>
      </c>
      <c r="BV300" s="9">
        <v>16150</v>
      </c>
      <c r="BW300" s="9">
        <v>910</v>
      </c>
      <c r="BX300" s="9">
        <v>432000</v>
      </c>
      <c r="BY300" s="9">
        <v>560</v>
      </c>
      <c r="BZ300" s="10" t="s">
        <v>524</v>
      </c>
      <c r="CA300" s="9">
        <v>200</v>
      </c>
      <c r="CB300" s="9">
        <v>429</v>
      </c>
      <c r="CC300" s="10">
        <f t="shared" si="101"/>
        <v>8.1458328154352309</v>
      </c>
      <c r="CD300" s="10">
        <f t="shared" si="102"/>
        <v>310.41664693090775</v>
      </c>
      <c r="CE300" s="10">
        <f t="shared" si="114"/>
        <v>2427458.1789996987</v>
      </c>
      <c r="CF300" s="10">
        <f t="shared" si="115"/>
        <v>1</v>
      </c>
      <c r="CG300" s="10">
        <f t="shared" si="96"/>
        <v>0</v>
      </c>
      <c r="CH300" s="10">
        <f t="shared" si="97"/>
        <v>4</v>
      </c>
      <c r="CI300" s="9">
        <f t="shared" si="103"/>
        <v>1</v>
      </c>
      <c r="CJ300" s="10">
        <f t="shared" si="98"/>
        <v>7</v>
      </c>
      <c r="CK300" s="10" t="b">
        <f t="shared" si="104"/>
        <v>1</v>
      </c>
      <c r="CL300" s="10" t="b">
        <f t="shared" si="105"/>
        <v>0</v>
      </c>
      <c r="CM300" s="10" t="b">
        <f t="shared" si="106"/>
        <v>0</v>
      </c>
      <c r="CN300" s="9">
        <f t="shared" si="107"/>
        <v>1</v>
      </c>
      <c r="CO300" s="10">
        <f t="shared" si="116"/>
        <v>5</v>
      </c>
      <c r="CP300" s="10" t="b">
        <f t="shared" si="108"/>
        <v>1</v>
      </c>
      <c r="CQ300" s="10" t="b">
        <f t="shared" si="109"/>
        <v>0</v>
      </c>
      <c r="CR300" s="10" cm="1">
        <f t="array" ref="CR300">_xlfn.IFS(AND($CI300=0, CK300=FALSE), NA(), AND($CI300=1, CK300=FALSE), 0, CK300=TRUE, 1)</f>
        <v>1</v>
      </c>
      <c r="CS300" s="10" cm="1">
        <f t="array" ref="CS300">_xlfn.IFS(AND($CI300=0, CL300=FALSE), NA(), AND($CI300=1, CL300=FALSE), 0, CL300=TRUE, 1)</f>
        <v>0</v>
      </c>
      <c r="CT300" s="10" cm="1">
        <f t="array" ref="CT300">_xlfn.IFS(AND($CI300=0, CM300=FALSE), NA(), AND($CI300=1, CM300=FALSE), 0, CM300=TRUE, 1)</f>
        <v>0</v>
      </c>
      <c r="CU300" s="10" cm="1">
        <f t="array" ref="CU300">_xlfn.IFS(AND($CN300=0, CP300=FALSE), NA(), AND($CN300=1, CP300=FALSE), 0, CP300=TRUE, 1)</f>
        <v>1</v>
      </c>
      <c r="CV300" s="10" cm="1">
        <f t="array" ref="CV300">_xlfn.IFS(AND($CN300=0, CQ300=FALSE), NA(), AND($CN300=1, CQ300=FALSE), 0, CQ300=TRUE, 1)</f>
        <v>0</v>
      </c>
    </row>
    <row r="301" spans="1:100" ht="15.75" x14ac:dyDescent="0.25">
      <c r="A301" s="8">
        <v>300</v>
      </c>
      <c r="B301" s="9">
        <v>122</v>
      </c>
      <c r="C301" s="10" t="s">
        <v>13</v>
      </c>
      <c r="D301" s="11" t="s">
        <v>143</v>
      </c>
      <c r="E301" s="12">
        <v>24521</v>
      </c>
      <c r="F301" s="13">
        <v>1</v>
      </c>
      <c r="G301" s="9">
        <v>47.452430725097656</v>
      </c>
      <c r="H301" s="12">
        <v>41853</v>
      </c>
      <c r="I301" s="9">
        <v>0</v>
      </c>
      <c r="J301" s="12"/>
      <c r="K301" s="9">
        <v>0</v>
      </c>
      <c r="L301" s="9">
        <v>1</v>
      </c>
      <c r="M301" s="10" t="s">
        <v>401</v>
      </c>
      <c r="N301" s="9">
        <v>1</v>
      </c>
      <c r="O301" s="10" t="s">
        <v>401</v>
      </c>
      <c r="P301" s="9">
        <v>1</v>
      </c>
      <c r="Q301" s="10" t="s">
        <v>401</v>
      </c>
      <c r="R301" s="12">
        <v>42479</v>
      </c>
      <c r="S301" s="10" t="s">
        <v>146</v>
      </c>
      <c r="T301" s="9">
        <v>5</v>
      </c>
      <c r="U301" s="10" t="s">
        <v>401</v>
      </c>
      <c r="V301" s="10" t="s">
        <v>401</v>
      </c>
      <c r="W301" s="9"/>
      <c r="X301" s="9"/>
      <c r="Y301" s="9">
        <v>3</v>
      </c>
      <c r="Z301" s="14">
        <v>2</v>
      </c>
      <c r="AA301" s="17">
        <v>12.8</v>
      </c>
      <c r="AB301" s="18">
        <v>88</v>
      </c>
      <c r="AC301" s="18">
        <v>12</v>
      </c>
      <c r="AD301" s="9">
        <v>2</v>
      </c>
      <c r="AE301" s="9">
        <v>2</v>
      </c>
      <c r="AF301" s="9">
        <v>2</v>
      </c>
      <c r="AG301" s="9">
        <v>0</v>
      </c>
      <c r="AH301" s="9">
        <v>1</v>
      </c>
      <c r="AI301" s="9">
        <v>1</v>
      </c>
      <c r="AJ301" s="12">
        <v>42894</v>
      </c>
      <c r="AK301" s="9">
        <v>2</v>
      </c>
      <c r="AL301" s="12">
        <v>43168</v>
      </c>
      <c r="AM301" s="9">
        <v>2</v>
      </c>
      <c r="AN301" s="12">
        <v>42992</v>
      </c>
      <c r="AO301" s="12">
        <v>43185</v>
      </c>
      <c r="AP301" s="12">
        <v>43185</v>
      </c>
      <c r="AQ301" s="9">
        <v>1</v>
      </c>
      <c r="AR301" s="9">
        <f t="shared" si="99"/>
        <v>1</v>
      </c>
      <c r="AS301" s="9">
        <v>1</v>
      </c>
      <c r="AT301" s="9">
        <v>2</v>
      </c>
      <c r="AU301" s="9">
        <v>2</v>
      </c>
      <c r="AV301" s="9">
        <f t="shared" si="100"/>
        <v>1</v>
      </c>
      <c r="AW301" s="12">
        <v>43483</v>
      </c>
      <c r="AX301" s="9">
        <v>8380</v>
      </c>
      <c r="AY301" s="9">
        <v>5880</v>
      </c>
      <c r="AZ301" s="9">
        <v>1480</v>
      </c>
      <c r="BA301" s="9">
        <v>5880</v>
      </c>
      <c r="BB301" s="9">
        <v>1480.000244140625</v>
      </c>
      <c r="BC301" s="9">
        <v>303000</v>
      </c>
      <c r="BD301" s="9">
        <v>820</v>
      </c>
      <c r="BE301" s="9">
        <v>180</v>
      </c>
      <c r="BF301" s="9">
        <v>146</v>
      </c>
      <c r="BG301" s="9">
        <v>7580</v>
      </c>
      <c r="BH301" s="9">
        <v>5320</v>
      </c>
      <c r="BI301" s="9">
        <v>1410</v>
      </c>
      <c r="BJ301" s="9">
        <v>297000</v>
      </c>
      <c r="BK301" s="9">
        <v>670</v>
      </c>
      <c r="BL301" s="9">
        <v>160</v>
      </c>
      <c r="BM301" s="9">
        <v>198</v>
      </c>
      <c r="BN301" s="9">
        <v>6570</v>
      </c>
      <c r="BO301" s="9">
        <v>4260</v>
      </c>
      <c r="BP301" s="9">
        <v>1460</v>
      </c>
      <c r="BQ301" s="9">
        <v>330000</v>
      </c>
      <c r="BR301" s="9">
        <v>600</v>
      </c>
      <c r="BS301" s="9">
        <v>230</v>
      </c>
      <c r="BT301" s="9">
        <v>180</v>
      </c>
      <c r="BU301" s="9">
        <v>8670</v>
      </c>
      <c r="BV301" s="9">
        <v>6260</v>
      </c>
      <c r="BW301" s="9">
        <v>1620</v>
      </c>
      <c r="BX301" s="9">
        <v>316000</v>
      </c>
      <c r="BY301" s="9">
        <v>580</v>
      </c>
      <c r="BZ301" s="10" t="s">
        <v>524</v>
      </c>
      <c r="CA301" s="9">
        <v>200</v>
      </c>
      <c r="CB301" s="9">
        <v>195</v>
      </c>
      <c r="CC301" s="10">
        <f t="shared" si="101"/>
        <v>3.9729723175919291</v>
      </c>
      <c r="CD301" s="10">
        <f t="shared" si="102"/>
        <v>204.7296959575433</v>
      </c>
      <c r="CE301" s="10">
        <f t="shared" si="114"/>
        <v>1203810.6122303545</v>
      </c>
      <c r="CF301" s="10">
        <f t="shared" si="115"/>
        <v>1</v>
      </c>
      <c r="CG301" s="10">
        <f t="shared" si="96"/>
        <v>1</v>
      </c>
      <c r="CH301" s="10">
        <f t="shared" si="97"/>
        <v>9</v>
      </c>
      <c r="CI301" s="9">
        <f t="shared" si="103"/>
        <v>1</v>
      </c>
      <c r="CJ301" s="10">
        <f t="shared" si="98"/>
        <v>19</v>
      </c>
      <c r="CK301" s="10" t="b">
        <f t="shared" si="104"/>
        <v>1</v>
      </c>
      <c r="CL301" s="10" t="b">
        <f t="shared" si="105"/>
        <v>1</v>
      </c>
      <c r="CM301" s="10" t="b">
        <f t="shared" si="106"/>
        <v>0</v>
      </c>
      <c r="CN301" s="9">
        <f t="shared" si="107"/>
        <v>1</v>
      </c>
      <c r="CO301" s="10">
        <f t="shared" si="116"/>
        <v>9</v>
      </c>
      <c r="CP301" s="10" t="b">
        <f t="shared" si="108"/>
        <v>1</v>
      </c>
      <c r="CQ301" s="10" t="b">
        <f t="shared" si="109"/>
        <v>1</v>
      </c>
      <c r="CR301" s="10" cm="1">
        <f t="array" ref="CR301">_xlfn.IFS(AND($CI301=0, CK301=FALSE), NA(), AND($CI301=1, CK301=FALSE), 0, CK301=TRUE, 1)</f>
        <v>1</v>
      </c>
      <c r="CS301" s="10" cm="1">
        <f t="array" ref="CS301">_xlfn.IFS(AND($CI301=0, CL301=FALSE), NA(), AND($CI301=1, CL301=FALSE), 0, CL301=TRUE, 1)</f>
        <v>1</v>
      </c>
      <c r="CT301" s="10" cm="1">
        <f t="array" ref="CT301">_xlfn.IFS(AND($CI301=0, CM301=FALSE), NA(), AND($CI301=1, CM301=FALSE), 0, CM301=TRUE, 1)</f>
        <v>0</v>
      </c>
      <c r="CU301" s="10" cm="1">
        <f t="array" ref="CU301">_xlfn.IFS(AND($CN301=0, CP301=FALSE), NA(), AND($CN301=1, CP301=FALSE), 0, CP301=TRUE, 1)</f>
        <v>1</v>
      </c>
      <c r="CV301" s="10" cm="1">
        <f t="array" ref="CV301">_xlfn.IFS(AND($CN301=0, CQ301=FALSE), NA(), AND($CN301=1, CQ301=FALSE), 0, CQ301=TRUE, 1)</f>
        <v>1</v>
      </c>
    </row>
    <row r="302" spans="1:100" x14ac:dyDescent="0.25">
      <c r="A302" s="8">
        <v>301</v>
      </c>
      <c r="B302" s="9">
        <v>484</v>
      </c>
      <c r="C302" s="10" t="s">
        <v>31</v>
      </c>
      <c r="D302" s="11" t="s">
        <v>358</v>
      </c>
      <c r="E302" s="12"/>
      <c r="F302" s="13">
        <v>1</v>
      </c>
      <c r="G302" s="9">
        <v>80</v>
      </c>
      <c r="H302" s="12">
        <v>41863</v>
      </c>
      <c r="I302" s="9">
        <v>1</v>
      </c>
      <c r="J302" s="12">
        <v>41863</v>
      </c>
      <c r="K302" s="9">
        <v>0</v>
      </c>
      <c r="L302" s="9">
        <v>1</v>
      </c>
      <c r="M302" s="10" t="s">
        <v>401</v>
      </c>
      <c r="N302" s="9">
        <v>2</v>
      </c>
      <c r="O302" s="10" t="s">
        <v>147</v>
      </c>
      <c r="P302" s="9">
        <v>2</v>
      </c>
      <c r="Q302" s="10" t="s">
        <v>147</v>
      </c>
      <c r="R302" s="12">
        <v>42678</v>
      </c>
      <c r="S302" s="10" t="s">
        <v>145</v>
      </c>
      <c r="T302" s="9">
        <v>2</v>
      </c>
      <c r="U302" s="10" t="s">
        <v>401</v>
      </c>
      <c r="V302" s="10" t="s">
        <v>401</v>
      </c>
      <c r="W302" s="9"/>
      <c r="X302" s="9"/>
      <c r="Y302" s="9">
        <v>3</v>
      </c>
      <c r="Z302" s="19"/>
      <c r="AB302" s="9"/>
      <c r="AC302" s="9"/>
      <c r="AD302" s="9">
        <v>2</v>
      </c>
      <c r="AE302" s="9">
        <v>2</v>
      </c>
      <c r="AF302" s="9">
        <v>1</v>
      </c>
      <c r="AG302" s="9">
        <v>0</v>
      </c>
      <c r="AH302" s="9">
        <v>1</v>
      </c>
      <c r="AI302" s="9">
        <v>0</v>
      </c>
      <c r="AJ302" s="12">
        <v>43075</v>
      </c>
      <c r="AK302" s="9">
        <v>2</v>
      </c>
      <c r="AL302" s="12">
        <v>43166</v>
      </c>
      <c r="AM302" s="9">
        <v>3</v>
      </c>
      <c r="AN302" s="12">
        <v>43151</v>
      </c>
      <c r="AO302" s="12">
        <v>43193</v>
      </c>
      <c r="AP302" s="12">
        <v>43193</v>
      </c>
      <c r="AQ302" s="9">
        <v>1</v>
      </c>
      <c r="AR302" s="9">
        <f t="shared" si="99"/>
        <v>1</v>
      </c>
      <c r="AS302" s="9">
        <v>1</v>
      </c>
      <c r="AT302" s="9">
        <v>2</v>
      </c>
      <c r="AU302" s="9">
        <v>2</v>
      </c>
      <c r="AV302" s="9">
        <f t="shared" si="100"/>
        <v>1</v>
      </c>
      <c r="AW302" s="12">
        <v>43196</v>
      </c>
      <c r="AX302" s="9">
        <v>6370</v>
      </c>
      <c r="AY302" s="9">
        <v>3080</v>
      </c>
      <c r="AZ302" s="9">
        <v>2120</v>
      </c>
      <c r="BA302" s="9">
        <v>3080</v>
      </c>
      <c r="BB302" s="9">
        <v>2120.00048828125</v>
      </c>
      <c r="BC302" s="9">
        <v>407000</v>
      </c>
      <c r="BD302" s="9">
        <v>590</v>
      </c>
      <c r="BE302" s="9">
        <v>520</v>
      </c>
      <c r="BF302" s="9">
        <v>500</v>
      </c>
      <c r="BG302" s="9">
        <v>6080</v>
      </c>
      <c r="BH302" s="9">
        <v>2830</v>
      </c>
      <c r="BI302" s="9">
        <v>2000</v>
      </c>
      <c r="BJ302" s="9">
        <v>319000</v>
      </c>
      <c r="BK302" s="9">
        <v>500</v>
      </c>
      <c r="BL302" s="9">
        <v>700</v>
      </c>
      <c r="BM302" s="9">
        <v>326</v>
      </c>
      <c r="BN302" s="9">
        <v>8510</v>
      </c>
      <c r="BO302" s="9">
        <v>5310</v>
      </c>
      <c r="BP302" s="9">
        <v>1990</v>
      </c>
      <c r="BQ302" s="9">
        <v>336000</v>
      </c>
      <c r="BR302" s="9">
        <v>610</v>
      </c>
      <c r="BS302" s="9">
        <v>570</v>
      </c>
      <c r="BT302" s="9">
        <v>372</v>
      </c>
      <c r="BU302" s="9">
        <v>6890</v>
      </c>
      <c r="BV302" s="9">
        <v>3380</v>
      </c>
      <c r="BW302" s="9">
        <v>2030</v>
      </c>
      <c r="BX302" s="9">
        <v>281000</v>
      </c>
      <c r="BY302" s="9">
        <v>660</v>
      </c>
      <c r="BZ302" s="10" t="s">
        <v>575</v>
      </c>
      <c r="CA302" s="9">
        <v>770</v>
      </c>
      <c r="CB302" s="9">
        <v>318</v>
      </c>
      <c r="CC302" s="10">
        <f t="shared" si="101"/>
        <v>1.4528298540615201</v>
      </c>
      <c r="CD302" s="10">
        <f t="shared" si="102"/>
        <v>191.98108785812946</v>
      </c>
      <c r="CE302" s="10">
        <f t="shared" si="114"/>
        <v>591301.7506030387</v>
      </c>
      <c r="CF302" s="10">
        <f t="shared" si="115"/>
        <v>1</v>
      </c>
      <c r="CG302" s="10">
        <f t="shared" si="96"/>
        <v>0</v>
      </c>
      <c r="CH302" s="10">
        <f t="shared" si="97"/>
        <v>3</v>
      </c>
      <c r="CI302" s="9">
        <f t="shared" si="103"/>
        <v>1</v>
      </c>
      <c r="CJ302" s="10">
        <f t="shared" si="98"/>
        <v>4</v>
      </c>
      <c r="CK302" s="10" t="b">
        <f t="shared" si="104"/>
        <v>0</v>
      </c>
      <c r="CL302" s="10" t="b">
        <f t="shared" si="105"/>
        <v>0</v>
      </c>
      <c r="CM302" s="10" t="b">
        <f t="shared" si="106"/>
        <v>0</v>
      </c>
      <c r="CN302" s="9">
        <f t="shared" si="107"/>
        <v>1</v>
      </c>
      <c r="CO302" s="10">
        <f t="shared" si="116"/>
        <v>4</v>
      </c>
      <c r="CP302" s="10" t="b">
        <f t="shared" si="108"/>
        <v>1</v>
      </c>
      <c r="CQ302" s="10" t="b">
        <f t="shared" si="109"/>
        <v>0</v>
      </c>
      <c r="CR302" s="10" cm="1">
        <f t="array" ref="CR302">_xlfn.IFS(AND($CI302=0, CK302=FALSE), NA(), AND($CI302=1, CK302=FALSE), 0, CK302=TRUE, 1)</f>
        <v>0</v>
      </c>
      <c r="CS302" s="10" cm="1">
        <f t="array" ref="CS302">_xlfn.IFS(AND($CI302=0, CL302=FALSE), NA(), AND($CI302=1, CL302=FALSE), 0, CL302=TRUE, 1)</f>
        <v>0</v>
      </c>
      <c r="CT302" s="10" cm="1">
        <f t="array" ref="CT302">_xlfn.IFS(AND($CI302=0, CM302=FALSE), NA(), AND($CI302=1, CM302=FALSE), 0, CM302=TRUE, 1)</f>
        <v>0</v>
      </c>
      <c r="CU302" s="10" cm="1">
        <f t="array" ref="CU302">_xlfn.IFS(AND($CN302=0, CP302=FALSE), NA(), AND($CN302=1, CP302=FALSE), 0, CP302=TRUE, 1)</f>
        <v>1</v>
      </c>
      <c r="CV302" s="10" cm="1">
        <f t="array" ref="CV302">_xlfn.IFS(AND($CN302=0, CQ302=FALSE), NA(), AND($CN302=1, CQ302=FALSE), 0, CQ302=TRUE, 1)</f>
        <v>0</v>
      </c>
    </row>
    <row r="303" spans="1:100" ht="15.75" x14ac:dyDescent="0.25">
      <c r="A303" s="8">
        <v>302</v>
      </c>
      <c r="B303" s="9">
        <v>408</v>
      </c>
      <c r="C303" s="10" t="s">
        <v>29</v>
      </c>
      <c r="D303" s="11" t="s">
        <v>321</v>
      </c>
      <c r="E303" s="12">
        <v>14000</v>
      </c>
      <c r="F303" s="13">
        <v>2</v>
      </c>
      <c r="G303" s="9">
        <v>76.284736633300781</v>
      </c>
      <c r="H303" s="12">
        <v>41863</v>
      </c>
      <c r="I303" s="9">
        <v>1</v>
      </c>
      <c r="J303" s="12">
        <v>41863</v>
      </c>
      <c r="K303" s="9">
        <v>1</v>
      </c>
      <c r="L303" s="9">
        <v>1</v>
      </c>
      <c r="M303" s="10" t="s">
        <v>401</v>
      </c>
      <c r="N303" s="9">
        <v>2</v>
      </c>
      <c r="O303" s="10" t="s">
        <v>409</v>
      </c>
      <c r="P303" s="9">
        <v>2</v>
      </c>
      <c r="Q303" s="10" t="s">
        <v>409</v>
      </c>
      <c r="R303" s="12">
        <v>41829</v>
      </c>
      <c r="S303" s="10" t="s">
        <v>146</v>
      </c>
      <c r="T303" s="9">
        <v>6</v>
      </c>
      <c r="U303" s="10" t="s">
        <v>401</v>
      </c>
      <c r="V303" s="10" t="s">
        <v>401</v>
      </c>
      <c r="W303" s="9"/>
      <c r="X303" s="9"/>
      <c r="Y303" s="9">
        <v>3</v>
      </c>
      <c r="Z303" s="14">
        <v>2</v>
      </c>
      <c r="AA303" s="17">
        <v>9</v>
      </c>
      <c r="AB303" s="18">
        <v>73</v>
      </c>
      <c r="AC303" s="18">
        <v>22</v>
      </c>
      <c r="AD303" s="9">
        <v>2</v>
      </c>
      <c r="AE303" s="9">
        <v>2</v>
      </c>
      <c r="AF303" s="9">
        <v>1</v>
      </c>
      <c r="AG303" s="9">
        <v>1</v>
      </c>
      <c r="AH303" s="9">
        <v>1</v>
      </c>
      <c r="AI303" s="9">
        <v>0</v>
      </c>
      <c r="AJ303" s="12">
        <v>43199</v>
      </c>
      <c r="AK303" s="9">
        <v>2</v>
      </c>
      <c r="AL303" s="12">
        <v>43227</v>
      </c>
      <c r="AM303" s="9">
        <v>4</v>
      </c>
      <c r="AN303" s="12">
        <v>43299</v>
      </c>
      <c r="AO303" s="12">
        <v>43299</v>
      </c>
      <c r="AP303" s="12">
        <v>43299</v>
      </c>
      <c r="AQ303" s="9">
        <v>1</v>
      </c>
      <c r="AR303" s="9">
        <f t="shared" si="99"/>
        <v>1</v>
      </c>
      <c r="AS303" s="9">
        <v>1</v>
      </c>
      <c r="AT303" s="9">
        <v>2</v>
      </c>
      <c r="AU303" s="9">
        <v>2</v>
      </c>
      <c r="AV303" s="9">
        <f t="shared" si="100"/>
        <v>1</v>
      </c>
      <c r="AW303" s="12">
        <v>44180</v>
      </c>
      <c r="AX303" s="9">
        <v>6020</v>
      </c>
      <c r="AY303" s="9">
        <v>4000</v>
      </c>
      <c r="AZ303" s="9">
        <v>1480</v>
      </c>
      <c r="BA303" s="9">
        <v>4000</v>
      </c>
      <c r="BB303" s="9">
        <v>1480.000244140625</v>
      </c>
      <c r="BC303" s="9">
        <v>374000</v>
      </c>
      <c r="BD303" s="9">
        <v>450</v>
      </c>
      <c r="BE303" s="9">
        <v>70</v>
      </c>
      <c r="BF303" s="9"/>
      <c r="BG303" s="9">
        <v>6940</v>
      </c>
      <c r="BH303" s="9">
        <v>4980</v>
      </c>
      <c r="BI303" s="9">
        <v>1310</v>
      </c>
      <c r="BJ303" s="9">
        <v>472000</v>
      </c>
      <c r="BK303" s="9">
        <v>590</v>
      </c>
      <c r="BL303" s="9">
        <v>60</v>
      </c>
      <c r="BM303" s="9"/>
      <c r="BN303" s="9">
        <v>12000</v>
      </c>
      <c r="BO303" s="9">
        <v>8900</v>
      </c>
      <c r="BP303" s="9">
        <v>1680</v>
      </c>
      <c r="BQ303" s="9">
        <v>450000</v>
      </c>
      <c r="BR303" s="9">
        <v>500</v>
      </c>
      <c r="BS303" s="9">
        <v>55</v>
      </c>
      <c r="BT303" s="9"/>
      <c r="BU303" s="9"/>
      <c r="BV303" s="9"/>
      <c r="BW303" s="9"/>
      <c r="BX303" s="9"/>
      <c r="BY303" s="9"/>
      <c r="BZ303" s="10" t="s">
        <v>401</v>
      </c>
      <c r="CA303" s="9"/>
      <c r="CB303" s="9"/>
      <c r="CC303" s="10">
        <f t="shared" si="101"/>
        <v>2.7027022568652579</v>
      </c>
      <c r="CD303" s="10">
        <f t="shared" si="102"/>
        <v>252.70266101690163</v>
      </c>
      <c r="CE303" s="10">
        <f t="shared" si="114"/>
        <v>1010810.6440676064</v>
      </c>
      <c r="CF303" s="10">
        <f t="shared" si="115"/>
        <v>0</v>
      </c>
      <c r="CG303" s="10">
        <f t="shared" si="96"/>
        <v>0</v>
      </c>
      <c r="CH303" s="10">
        <f t="shared" si="97"/>
        <v>1</v>
      </c>
      <c r="CI303" s="9">
        <f t="shared" si="103"/>
        <v>1</v>
      </c>
      <c r="CJ303" s="10">
        <f t="shared" si="98"/>
        <v>32</v>
      </c>
      <c r="CK303" s="10" t="b">
        <f t="shared" si="104"/>
        <v>1</v>
      </c>
      <c r="CL303" s="10" t="b">
        <f t="shared" si="105"/>
        <v>1</v>
      </c>
      <c r="CM303" s="10" t="b">
        <f t="shared" si="106"/>
        <v>1</v>
      </c>
      <c r="CN303" s="9">
        <f t="shared" si="107"/>
        <v>1</v>
      </c>
      <c r="CO303" s="10">
        <f t="shared" si="116"/>
        <v>3</v>
      </c>
      <c r="CP303" s="10" t="b">
        <f t="shared" si="108"/>
        <v>1</v>
      </c>
      <c r="CQ303" s="10" t="b">
        <f t="shared" si="109"/>
        <v>0</v>
      </c>
      <c r="CR303" s="10" cm="1">
        <f t="array" ref="CR303">_xlfn.IFS(AND($CI303=0, CK303=FALSE), NA(), AND($CI303=1, CK303=FALSE), 0, CK303=TRUE, 1)</f>
        <v>1</v>
      </c>
      <c r="CS303" s="10" cm="1">
        <f t="array" ref="CS303">_xlfn.IFS(AND($CI303=0, CL303=FALSE), NA(), AND($CI303=1, CL303=FALSE), 0, CL303=TRUE, 1)</f>
        <v>1</v>
      </c>
      <c r="CT303" s="10" cm="1">
        <f t="array" ref="CT303">_xlfn.IFS(AND($CI303=0, CM303=FALSE), NA(), AND($CI303=1, CM303=FALSE), 0, CM303=TRUE, 1)</f>
        <v>1</v>
      </c>
      <c r="CU303" s="10" cm="1">
        <f t="array" ref="CU303">_xlfn.IFS(AND($CN303=0, CP303=FALSE), NA(), AND($CN303=1, CP303=FALSE), 0, CP303=TRUE, 1)</f>
        <v>1</v>
      </c>
      <c r="CV303" s="10" cm="1">
        <f t="array" ref="CV303">_xlfn.IFS(AND($CN303=0, CQ303=FALSE), NA(), AND($CN303=1, CQ303=FALSE), 0, CQ303=TRUE, 1)</f>
        <v>0</v>
      </c>
    </row>
    <row r="304" spans="1:100" ht="15.75" x14ac:dyDescent="0.25">
      <c r="A304" s="8">
        <v>303</v>
      </c>
      <c r="B304" s="9">
        <v>70</v>
      </c>
      <c r="C304" s="10" t="s">
        <v>9</v>
      </c>
      <c r="D304" s="11" t="s">
        <v>98</v>
      </c>
      <c r="E304" s="12">
        <v>14695</v>
      </c>
      <c r="F304" s="13">
        <v>1</v>
      </c>
      <c r="G304" s="9">
        <v>74.387405395507813</v>
      </c>
      <c r="H304" s="12">
        <v>41865</v>
      </c>
      <c r="I304" s="9">
        <v>0</v>
      </c>
      <c r="J304" s="12"/>
      <c r="K304" s="9">
        <v>1</v>
      </c>
      <c r="L304" s="9">
        <v>1</v>
      </c>
      <c r="M304" s="10" t="s">
        <v>401</v>
      </c>
      <c r="N304" s="9">
        <v>2</v>
      </c>
      <c r="O304" s="10" t="s">
        <v>145</v>
      </c>
      <c r="P304" s="9">
        <v>2</v>
      </c>
      <c r="Q304" s="10" t="s">
        <v>145</v>
      </c>
      <c r="R304" s="12">
        <v>41865</v>
      </c>
      <c r="S304" s="10" t="s">
        <v>145</v>
      </c>
      <c r="T304" s="9"/>
      <c r="U304" s="10" t="s">
        <v>401</v>
      </c>
      <c r="V304" s="10" t="s">
        <v>401</v>
      </c>
      <c r="W304" s="9"/>
      <c r="X304" s="9"/>
      <c r="Y304" s="9">
        <v>2</v>
      </c>
      <c r="Z304" s="14">
        <v>1</v>
      </c>
      <c r="AA304" s="15">
        <v>12.2</v>
      </c>
      <c r="AB304" s="16" t="s">
        <v>471</v>
      </c>
      <c r="AC304" s="16" t="s">
        <v>472</v>
      </c>
      <c r="AD304" s="9">
        <v>2</v>
      </c>
      <c r="AE304" s="9">
        <v>2</v>
      </c>
      <c r="AF304" s="9">
        <v>2</v>
      </c>
      <c r="AG304" s="9">
        <v>1</v>
      </c>
      <c r="AH304" s="9">
        <v>1</v>
      </c>
      <c r="AI304" s="9">
        <v>0</v>
      </c>
      <c r="AJ304" s="12">
        <v>42342</v>
      </c>
      <c r="AK304" s="9">
        <v>2</v>
      </c>
      <c r="AL304" s="12">
        <v>42803</v>
      </c>
      <c r="AM304" s="9">
        <v>3</v>
      </c>
      <c r="AN304" s="12">
        <v>42411</v>
      </c>
      <c r="AO304" s="12">
        <v>42590</v>
      </c>
      <c r="AP304" s="12">
        <v>42816</v>
      </c>
      <c r="AQ304" s="9">
        <v>1</v>
      </c>
      <c r="AR304" s="9">
        <f t="shared" si="99"/>
        <v>1</v>
      </c>
      <c r="AS304" s="9">
        <v>1</v>
      </c>
      <c r="AT304" s="9">
        <v>1</v>
      </c>
      <c r="AU304" s="9">
        <v>2</v>
      </c>
      <c r="AV304" s="9">
        <f t="shared" si="100"/>
        <v>1</v>
      </c>
      <c r="AW304" s="12">
        <v>43524</v>
      </c>
      <c r="AX304" s="9">
        <v>3900</v>
      </c>
      <c r="AY304" s="9">
        <v>2100</v>
      </c>
      <c r="AZ304" s="9">
        <v>1200</v>
      </c>
      <c r="BA304" s="9">
        <v>2100</v>
      </c>
      <c r="BB304" s="9">
        <v>1200.0001220703125</v>
      </c>
      <c r="BC304" s="9">
        <v>134000</v>
      </c>
      <c r="BD304" s="9">
        <v>400</v>
      </c>
      <c r="BE304" s="9">
        <v>300</v>
      </c>
      <c r="BF304" s="9"/>
      <c r="BG304" s="9">
        <v>6860</v>
      </c>
      <c r="BH304" s="9">
        <v>5000</v>
      </c>
      <c r="BI304" s="9">
        <v>1200</v>
      </c>
      <c r="BJ304" s="9">
        <v>157000</v>
      </c>
      <c r="BK304" s="9">
        <v>400</v>
      </c>
      <c r="BL304" s="9">
        <v>300</v>
      </c>
      <c r="BM304" s="9"/>
      <c r="BN304" s="9">
        <v>7400</v>
      </c>
      <c r="BO304" s="9">
        <v>4900</v>
      </c>
      <c r="BP304" s="9">
        <v>1400</v>
      </c>
      <c r="BQ304" s="9">
        <v>160000</v>
      </c>
      <c r="BR304" s="9">
        <v>400</v>
      </c>
      <c r="BS304" s="9">
        <v>300</v>
      </c>
      <c r="BT304" s="9"/>
      <c r="BU304" s="9">
        <v>7260</v>
      </c>
      <c r="BV304" s="9">
        <v>5300</v>
      </c>
      <c r="BW304" s="9">
        <v>1300</v>
      </c>
      <c r="BX304" s="9">
        <v>161000</v>
      </c>
      <c r="BY304" s="9">
        <v>500</v>
      </c>
      <c r="BZ304" s="10" t="s">
        <v>524</v>
      </c>
      <c r="CA304" s="9">
        <v>200</v>
      </c>
      <c r="CB304" s="9"/>
      <c r="CC304" s="10">
        <f t="shared" si="101"/>
        <v>1.7499998219808124</v>
      </c>
      <c r="CD304" s="10">
        <f t="shared" si="102"/>
        <v>111.66665530734707</v>
      </c>
      <c r="CE304" s="10">
        <f t="shared" si="114"/>
        <v>234499.97614542887</v>
      </c>
      <c r="CF304" s="10">
        <f t="shared" si="115"/>
        <v>1</v>
      </c>
      <c r="CG304" s="10">
        <f t="shared" si="96"/>
        <v>0</v>
      </c>
      <c r="CH304" s="10">
        <f t="shared" si="97"/>
        <v>15</v>
      </c>
      <c r="CI304" s="9">
        <f t="shared" si="103"/>
        <v>1</v>
      </c>
      <c r="CJ304" s="10">
        <f t="shared" si="98"/>
        <v>38</v>
      </c>
      <c r="CK304" s="10" t="b">
        <f t="shared" si="104"/>
        <v>1</v>
      </c>
      <c r="CL304" s="10" t="b">
        <f t="shared" si="105"/>
        <v>1</v>
      </c>
      <c r="CM304" s="10" t="b">
        <f t="shared" si="106"/>
        <v>1</v>
      </c>
      <c r="CN304" s="9">
        <f t="shared" si="107"/>
        <v>1</v>
      </c>
      <c r="CO304" s="10">
        <f t="shared" si="116"/>
        <v>8</v>
      </c>
      <c r="CP304" s="10" t="b">
        <f t="shared" si="108"/>
        <v>1</v>
      </c>
      <c r="CQ304" s="10" t="b">
        <f t="shared" si="109"/>
        <v>0</v>
      </c>
      <c r="CR304" s="10" cm="1">
        <f t="array" ref="CR304">_xlfn.IFS(AND($CI304=0, CK304=FALSE), NA(), AND($CI304=1, CK304=FALSE), 0, CK304=TRUE, 1)</f>
        <v>1</v>
      </c>
      <c r="CS304" s="10" cm="1">
        <f t="array" ref="CS304">_xlfn.IFS(AND($CI304=0, CL304=FALSE), NA(), AND($CI304=1, CL304=FALSE), 0, CL304=TRUE, 1)</f>
        <v>1</v>
      </c>
      <c r="CT304" s="10" cm="1">
        <f t="array" ref="CT304">_xlfn.IFS(AND($CI304=0, CM304=FALSE), NA(), AND($CI304=1, CM304=FALSE), 0, CM304=TRUE, 1)</f>
        <v>1</v>
      </c>
      <c r="CU304" s="10" cm="1">
        <f t="array" ref="CU304">_xlfn.IFS(AND($CN304=0, CP304=FALSE), NA(), AND($CN304=1, CP304=FALSE), 0, CP304=TRUE, 1)</f>
        <v>1</v>
      </c>
      <c r="CV304" s="10" cm="1">
        <f t="array" ref="CV304">_xlfn.IFS(AND($CN304=0, CQ304=FALSE), NA(), AND($CN304=1, CQ304=FALSE), 0, CQ304=TRUE, 1)</f>
        <v>0</v>
      </c>
    </row>
    <row r="305" spans="1:100" ht="15.75" x14ac:dyDescent="0.25">
      <c r="A305" s="8">
        <v>304</v>
      </c>
      <c r="B305" s="9">
        <v>285</v>
      </c>
      <c r="C305" s="10" t="s">
        <v>21</v>
      </c>
      <c r="D305" s="11" t="s">
        <v>252</v>
      </c>
      <c r="E305" s="12">
        <v>20020</v>
      </c>
      <c r="F305" s="13">
        <v>1</v>
      </c>
      <c r="G305" s="9">
        <v>59.819301605224609</v>
      </c>
      <c r="H305" s="12">
        <v>41869</v>
      </c>
      <c r="I305" s="9">
        <v>1</v>
      </c>
      <c r="J305" s="12">
        <v>41869</v>
      </c>
      <c r="K305" s="9">
        <v>1</v>
      </c>
      <c r="L305" s="9">
        <v>1</v>
      </c>
      <c r="M305" s="10" t="s">
        <v>401</v>
      </c>
      <c r="N305" s="9"/>
      <c r="O305" s="10" t="s">
        <v>401</v>
      </c>
      <c r="P305" s="9"/>
      <c r="Q305" s="10" t="s">
        <v>401</v>
      </c>
      <c r="R305" s="12">
        <v>41825</v>
      </c>
      <c r="S305" s="10" t="s">
        <v>145</v>
      </c>
      <c r="T305" s="9">
        <v>5</v>
      </c>
      <c r="U305" s="10" t="s">
        <v>401</v>
      </c>
      <c r="V305" s="10" t="s">
        <v>401</v>
      </c>
      <c r="W305" s="9"/>
      <c r="X305" s="9"/>
      <c r="Y305" s="9">
        <v>3</v>
      </c>
      <c r="Z305" s="14">
        <v>1</v>
      </c>
      <c r="AA305" s="15">
        <v>12</v>
      </c>
      <c r="AB305" s="16">
        <v>87</v>
      </c>
      <c r="AC305" s="16">
        <v>17</v>
      </c>
      <c r="AD305" s="9">
        <v>2</v>
      </c>
      <c r="AE305" s="9">
        <v>2</v>
      </c>
      <c r="AF305" s="9">
        <v>1</v>
      </c>
      <c r="AG305" s="9">
        <v>1</v>
      </c>
      <c r="AH305" s="9">
        <v>1</v>
      </c>
      <c r="AI305" s="9">
        <v>1</v>
      </c>
      <c r="AJ305" s="12">
        <v>42438</v>
      </c>
      <c r="AK305" s="9">
        <v>1</v>
      </c>
      <c r="AL305" s="12">
        <v>44935</v>
      </c>
      <c r="AM305" s="9">
        <v>1</v>
      </c>
      <c r="AN305" s="12">
        <v>42577</v>
      </c>
      <c r="AO305" s="12"/>
      <c r="AP305" s="12"/>
      <c r="AQ305" s="9">
        <v>2</v>
      </c>
      <c r="AR305" s="9">
        <f t="shared" si="99"/>
        <v>0</v>
      </c>
      <c r="AS305" s="9">
        <v>2</v>
      </c>
      <c r="AT305" s="9"/>
      <c r="AU305" s="9">
        <v>1</v>
      </c>
      <c r="AV305" s="9">
        <f t="shared" si="100"/>
        <v>0</v>
      </c>
      <c r="AW305" s="12">
        <v>44935</v>
      </c>
      <c r="AX305" s="9">
        <v>7690</v>
      </c>
      <c r="AY305" s="9">
        <v>5910</v>
      </c>
      <c r="AZ305" s="9">
        <v>1350</v>
      </c>
      <c r="BA305" s="9">
        <v>5910</v>
      </c>
      <c r="BB305" s="9">
        <v>1350.0001220703125</v>
      </c>
      <c r="BC305" s="9">
        <v>198000</v>
      </c>
      <c r="BD305" s="9">
        <v>360</v>
      </c>
      <c r="BE305" s="9">
        <v>50</v>
      </c>
      <c r="BF305" s="9">
        <v>184</v>
      </c>
      <c r="BG305" s="9">
        <v>7380</v>
      </c>
      <c r="BH305" s="9">
        <v>5670</v>
      </c>
      <c r="BI305" s="9">
        <v>1280</v>
      </c>
      <c r="BJ305" s="9">
        <v>189000</v>
      </c>
      <c r="BK305" s="9">
        <v>360</v>
      </c>
      <c r="BL305" s="9">
        <v>60</v>
      </c>
      <c r="BM305" s="9"/>
      <c r="BN305" s="9">
        <v>7080</v>
      </c>
      <c r="BO305" s="9">
        <v>4740</v>
      </c>
      <c r="BP305" s="9">
        <v>1570</v>
      </c>
      <c r="BQ305" s="9">
        <v>210000</v>
      </c>
      <c r="BR305" s="9">
        <v>480</v>
      </c>
      <c r="BS305" s="9">
        <v>260</v>
      </c>
      <c r="BT305" s="9"/>
      <c r="BU305" s="9">
        <v>6490</v>
      </c>
      <c r="BV305" s="9">
        <v>4010</v>
      </c>
      <c r="BW305" s="9">
        <v>1480</v>
      </c>
      <c r="BX305" s="9">
        <v>219000</v>
      </c>
      <c r="BY305" s="9">
        <v>700</v>
      </c>
      <c r="BZ305" s="10" t="s">
        <v>566</v>
      </c>
      <c r="CA305" s="9">
        <v>280</v>
      </c>
      <c r="CB305" s="9"/>
      <c r="CC305" s="10">
        <f t="shared" si="101"/>
        <v>4.3777773819284054</v>
      </c>
      <c r="CD305" s="10">
        <f t="shared" si="102"/>
        <v>146.666653404708</v>
      </c>
      <c r="CE305" s="10">
        <f t="shared" si="114"/>
        <v>866799.92162182427</v>
      </c>
      <c r="CF305" s="10">
        <f t="shared" si="115"/>
        <v>1</v>
      </c>
      <c r="CG305" s="10">
        <f t="shared" si="96"/>
        <v>1</v>
      </c>
      <c r="CH305" s="10">
        <f t="shared" si="97"/>
        <v>82</v>
      </c>
      <c r="CI305" s="9">
        <f t="shared" si="103"/>
        <v>0</v>
      </c>
      <c r="CJ305" s="10">
        <f t="shared" si="98"/>
        <v>82</v>
      </c>
      <c r="CK305" s="10" t="b">
        <f t="shared" si="104"/>
        <v>1</v>
      </c>
      <c r="CL305" s="10" t="b">
        <f t="shared" si="105"/>
        <v>1</v>
      </c>
      <c r="CM305" s="10" t="b">
        <f t="shared" si="106"/>
        <v>1</v>
      </c>
      <c r="CN305" s="9">
        <f t="shared" si="107"/>
        <v>0</v>
      </c>
      <c r="CO305" s="10">
        <f>CJ305</f>
        <v>82</v>
      </c>
      <c r="CP305" s="10" t="b">
        <f t="shared" si="108"/>
        <v>1</v>
      </c>
      <c r="CQ305" s="10" t="b">
        <f t="shared" si="109"/>
        <v>1</v>
      </c>
      <c r="CR305" s="10" cm="1">
        <f t="array" ref="CR305">_xlfn.IFS(AND($CI305=0, CK305=FALSE), NA(), AND($CI305=1, CK305=FALSE), 0, CK305=TRUE, 1)</f>
        <v>1</v>
      </c>
      <c r="CS305" s="10" cm="1">
        <f t="array" ref="CS305">_xlfn.IFS(AND($CI305=0, CL305=FALSE), NA(), AND($CI305=1, CL305=FALSE), 0, CL305=TRUE, 1)</f>
        <v>1</v>
      </c>
      <c r="CT305" s="10" cm="1">
        <f t="array" ref="CT305">_xlfn.IFS(AND($CI305=0, CM305=FALSE), NA(), AND($CI305=1, CM305=FALSE), 0, CM305=TRUE, 1)</f>
        <v>1</v>
      </c>
      <c r="CU305" s="10" cm="1">
        <f t="array" ref="CU305">_xlfn.IFS(AND($CN305=0, CP305=FALSE), NA(), AND($CN305=1, CP305=FALSE), 0, CP305=TRUE, 1)</f>
        <v>1</v>
      </c>
      <c r="CV305" s="10" cm="1">
        <f t="array" ref="CV305">_xlfn.IFS(AND($CN305=0, CQ305=FALSE), NA(), AND($CN305=1, CQ305=FALSE), 0, CQ305=TRUE, 1)</f>
        <v>1</v>
      </c>
    </row>
    <row r="306" spans="1:100" ht="15.75" x14ac:dyDescent="0.25">
      <c r="A306" s="8">
        <v>305</v>
      </c>
      <c r="B306" s="9">
        <v>123</v>
      </c>
      <c r="C306" s="10" t="s">
        <v>13</v>
      </c>
      <c r="D306" s="11" t="s">
        <v>143</v>
      </c>
      <c r="E306" s="12">
        <v>21370</v>
      </c>
      <c r="F306" s="13">
        <v>2</v>
      </c>
      <c r="G306" s="9">
        <v>56.1341552734375</v>
      </c>
      <c r="H306" s="12">
        <v>41873</v>
      </c>
      <c r="I306" s="9">
        <v>1</v>
      </c>
      <c r="J306" s="12">
        <v>41873</v>
      </c>
      <c r="K306" s="9">
        <v>0</v>
      </c>
      <c r="L306" s="9">
        <v>1</v>
      </c>
      <c r="M306" s="10" t="s">
        <v>401</v>
      </c>
      <c r="N306" s="9">
        <v>2</v>
      </c>
      <c r="O306" s="10" t="s">
        <v>145</v>
      </c>
      <c r="P306" s="9">
        <v>2</v>
      </c>
      <c r="Q306" s="10" t="s">
        <v>145</v>
      </c>
      <c r="R306" s="12">
        <v>42038</v>
      </c>
      <c r="S306" s="10" t="s">
        <v>145</v>
      </c>
      <c r="T306" s="9"/>
      <c r="U306" s="10" t="s">
        <v>401</v>
      </c>
      <c r="V306" s="10" t="s">
        <v>401</v>
      </c>
      <c r="W306" s="9"/>
      <c r="X306" s="9"/>
      <c r="Y306" s="9">
        <v>2</v>
      </c>
      <c r="Z306" s="14">
        <v>1</v>
      </c>
      <c r="AA306" s="17">
        <v>12.9</v>
      </c>
      <c r="AB306" s="18">
        <v>95</v>
      </c>
      <c r="AC306" s="18">
        <v>14</v>
      </c>
      <c r="AD306" s="9">
        <v>2</v>
      </c>
      <c r="AE306" s="9">
        <v>2</v>
      </c>
      <c r="AF306" s="9">
        <v>1</v>
      </c>
      <c r="AG306" s="9">
        <v>1</v>
      </c>
      <c r="AH306" s="9">
        <v>1</v>
      </c>
      <c r="AI306" s="9">
        <v>0</v>
      </c>
      <c r="AJ306" s="12">
        <v>42555</v>
      </c>
      <c r="AK306" s="9">
        <v>2</v>
      </c>
      <c r="AL306" s="12">
        <v>43468</v>
      </c>
      <c r="AM306" s="9">
        <v>3</v>
      </c>
      <c r="AN306" s="12">
        <v>42657</v>
      </c>
      <c r="AO306" s="12">
        <v>43473</v>
      </c>
      <c r="AP306" s="12">
        <v>43473</v>
      </c>
      <c r="AQ306" s="9">
        <v>1</v>
      </c>
      <c r="AR306" s="9">
        <f t="shared" si="99"/>
        <v>1</v>
      </c>
      <c r="AS306" s="9">
        <v>1</v>
      </c>
      <c r="AT306" s="9">
        <v>2</v>
      </c>
      <c r="AU306" s="9">
        <v>2</v>
      </c>
      <c r="AV306" s="9">
        <f t="shared" si="100"/>
        <v>1</v>
      </c>
      <c r="AW306" s="12">
        <v>43490</v>
      </c>
      <c r="AX306" s="9">
        <v>7950</v>
      </c>
      <c r="AY306" s="9">
        <v>6980</v>
      </c>
      <c r="AZ306" s="9">
        <v>550</v>
      </c>
      <c r="BA306" s="9">
        <v>6980</v>
      </c>
      <c r="BB306" s="9">
        <v>550.00006103515625</v>
      </c>
      <c r="BC306" s="9">
        <v>450000</v>
      </c>
      <c r="BD306" s="9">
        <v>350</v>
      </c>
      <c r="BE306" s="9">
        <v>50</v>
      </c>
      <c r="BF306" s="9">
        <v>188</v>
      </c>
      <c r="BG306" s="9">
        <v>7500</v>
      </c>
      <c r="BH306" s="9">
        <v>4950</v>
      </c>
      <c r="BI306" s="9">
        <v>1670</v>
      </c>
      <c r="BJ306" s="9">
        <v>350000</v>
      </c>
      <c r="BK306" s="9">
        <v>700</v>
      </c>
      <c r="BL306" s="9">
        <v>180</v>
      </c>
      <c r="BM306" s="9">
        <v>185</v>
      </c>
      <c r="BN306" s="9">
        <v>8000</v>
      </c>
      <c r="BO306" s="9">
        <v>5500</v>
      </c>
      <c r="BP306" s="9">
        <v>1670</v>
      </c>
      <c r="BQ306" s="9">
        <v>283000</v>
      </c>
      <c r="BR306" s="9">
        <v>500</v>
      </c>
      <c r="BS306" s="9">
        <v>325</v>
      </c>
      <c r="BT306" s="9">
        <v>182</v>
      </c>
      <c r="BU306" s="9">
        <v>8655</v>
      </c>
      <c r="BV306" s="9">
        <v>5500</v>
      </c>
      <c r="BW306" s="9">
        <v>1890</v>
      </c>
      <c r="BX306" s="9">
        <v>305000</v>
      </c>
      <c r="BY306" s="9">
        <v>865</v>
      </c>
      <c r="BZ306" s="10" t="s">
        <v>543</v>
      </c>
      <c r="CA306" s="9">
        <v>400</v>
      </c>
      <c r="CB306" s="9">
        <v>170</v>
      </c>
      <c r="CC306" s="10">
        <f t="shared" si="101"/>
        <v>12.690907682560848</v>
      </c>
      <c r="CD306" s="10">
        <f t="shared" si="102"/>
        <v>818.1817273857281</v>
      </c>
      <c r="CE306" s="10">
        <f t="shared" si="114"/>
        <v>5710908.4571523815</v>
      </c>
      <c r="CF306" s="10">
        <f t="shared" si="115"/>
        <v>1</v>
      </c>
      <c r="CG306" s="10">
        <f t="shared" si="96"/>
        <v>0</v>
      </c>
      <c r="CH306" s="10">
        <f t="shared" si="97"/>
        <v>30</v>
      </c>
      <c r="CI306" s="9">
        <f t="shared" si="103"/>
        <v>1</v>
      </c>
      <c r="CJ306" s="10">
        <f t="shared" si="98"/>
        <v>30</v>
      </c>
      <c r="CK306" s="10" t="b">
        <f t="shared" si="104"/>
        <v>1</v>
      </c>
      <c r="CL306" s="10" t="b">
        <f t="shared" si="105"/>
        <v>1</v>
      </c>
      <c r="CM306" s="10" t="b">
        <f t="shared" si="106"/>
        <v>1</v>
      </c>
      <c r="CN306" s="9">
        <f t="shared" si="107"/>
        <v>1</v>
      </c>
      <c r="CO306" s="10">
        <f>(YEAR(AO306)-YEAR(AJ306))*12+MONTH(AO306)-MONTH(AJ306)</f>
        <v>30</v>
      </c>
      <c r="CP306" s="10" t="b">
        <f t="shared" si="108"/>
        <v>1</v>
      </c>
      <c r="CQ306" s="10" t="b">
        <f t="shared" si="109"/>
        <v>1</v>
      </c>
      <c r="CR306" s="10" cm="1">
        <f t="array" ref="CR306">_xlfn.IFS(AND($CI306=0, CK306=FALSE), NA(), AND($CI306=1, CK306=FALSE), 0, CK306=TRUE, 1)</f>
        <v>1</v>
      </c>
      <c r="CS306" s="10" cm="1">
        <f t="array" ref="CS306">_xlfn.IFS(AND($CI306=0, CL306=FALSE), NA(), AND($CI306=1, CL306=FALSE), 0, CL306=TRUE, 1)</f>
        <v>1</v>
      </c>
      <c r="CT306" s="10" cm="1">
        <f t="array" ref="CT306">_xlfn.IFS(AND($CI306=0, CM306=FALSE), NA(), AND($CI306=1, CM306=FALSE), 0, CM306=TRUE, 1)</f>
        <v>1</v>
      </c>
      <c r="CU306" s="10" cm="1">
        <f t="array" ref="CU306">_xlfn.IFS(AND($CN306=0, CP306=FALSE), NA(), AND($CN306=1, CP306=FALSE), 0, CP306=TRUE, 1)</f>
        <v>1</v>
      </c>
      <c r="CV306" s="10" cm="1">
        <f t="array" ref="CV306">_xlfn.IFS(AND($CN306=0, CQ306=FALSE), NA(), AND($CN306=1, CQ306=FALSE), 0, CQ306=TRUE, 1)</f>
        <v>1</v>
      </c>
    </row>
    <row r="307" spans="1:100" ht="15.75" x14ac:dyDescent="0.25">
      <c r="A307" s="8">
        <v>306</v>
      </c>
      <c r="B307" s="9">
        <v>380</v>
      </c>
      <c r="C307" s="10" t="s">
        <v>28</v>
      </c>
      <c r="D307" s="11" t="s">
        <v>296</v>
      </c>
      <c r="E307" s="12">
        <v>21623</v>
      </c>
      <c r="F307" s="13">
        <v>1</v>
      </c>
      <c r="G307" s="9">
        <v>55.488021850585938</v>
      </c>
      <c r="H307" s="12">
        <v>41890</v>
      </c>
      <c r="I307" s="9">
        <v>1</v>
      </c>
      <c r="J307" s="12">
        <v>41890</v>
      </c>
      <c r="K307" s="9">
        <v>0</v>
      </c>
      <c r="L307" s="9">
        <v>1</v>
      </c>
      <c r="M307" s="10" t="s">
        <v>401</v>
      </c>
      <c r="N307" s="9">
        <v>2</v>
      </c>
      <c r="O307" s="10" t="s">
        <v>145</v>
      </c>
      <c r="P307" s="9">
        <v>2</v>
      </c>
      <c r="Q307" s="10" t="s">
        <v>145</v>
      </c>
      <c r="R307" s="12">
        <v>41991</v>
      </c>
      <c r="S307" s="10" t="s">
        <v>145</v>
      </c>
      <c r="T307" s="9">
        <v>5</v>
      </c>
      <c r="U307" s="10" t="s">
        <v>401</v>
      </c>
      <c r="V307" s="10" t="s">
        <v>401</v>
      </c>
      <c r="W307" s="9"/>
      <c r="X307" s="9"/>
      <c r="Y307" s="9">
        <v>3</v>
      </c>
      <c r="Z307" s="14">
        <v>1</v>
      </c>
      <c r="AA307" s="21">
        <v>11</v>
      </c>
      <c r="AB307" s="22">
        <v>90</v>
      </c>
      <c r="AC307" s="22">
        <v>16</v>
      </c>
      <c r="AD307" s="9">
        <v>3</v>
      </c>
      <c r="AE307" s="9">
        <v>2</v>
      </c>
      <c r="AF307" s="9">
        <v>1</v>
      </c>
      <c r="AG307" s="9">
        <v>1</v>
      </c>
      <c r="AH307" s="9">
        <v>1</v>
      </c>
      <c r="AI307" s="9">
        <v>0</v>
      </c>
      <c r="AJ307" s="12">
        <v>42947</v>
      </c>
      <c r="AK307" s="9">
        <v>2</v>
      </c>
      <c r="AL307" s="12">
        <v>42961</v>
      </c>
      <c r="AM307" s="9">
        <v>4</v>
      </c>
      <c r="AN307" s="12">
        <v>42972</v>
      </c>
      <c r="AO307" s="12">
        <v>42972</v>
      </c>
      <c r="AP307" s="12">
        <v>42972</v>
      </c>
      <c r="AQ307" s="9">
        <v>1</v>
      </c>
      <c r="AR307" s="9">
        <f t="shared" si="99"/>
        <v>1</v>
      </c>
      <c r="AS307" s="9">
        <v>1</v>
      </c>
      <c r="AT307" s="9">
        <v>2</v>
      </c>
      <c r="AU307" s="9">
        <v>2</v>
      </c>
      <c r="AV307" s="9">
        <f t="shared" si="100"/>
        <v>1</v>
      </c>
      <c r="AW307" s="12">
        <v>42983</v>
      </c>
      <c r="AX307" s="9">
        <v>8700</v>
      </c>
      <c r="AY307" s="9">
        <v>6580</v>
      </c>
      <c r="AZ307" s="9">
        <v>1390</v>
      </c>
      <c r="BA307" s="9">
        <v>6580</v>
      </c>
      <c r="BB307" s="9">
        <v>1390.0001220703125</v>
      </c>
      <c r="BC307" s="9">
        <v>591000</v>
      </c>
      <c r="BD307" s="9">
        <v>680</v>
      </c>
      <c r="BE307" s="9">
        <v>40</v>
      </c>
      <c r="BF307" s="9">
        <v>356</v>
      </c>
      <c r="BG307" s="9">
        <v>15320</v>
      </c>
      <c r="BH307" s="9">
        <v>12400</v>
      </c>
      <c r="BI307" s="9">
        <v>1520</v>
      </c>
      <c r="BJ307" s="9">
        <v>676000</v>
      </c>
      <c r="BK307" s="9">
        <v>1280</v>
      </c>
      <c r="BL307" s="9">
        <v>100</v>
      </c>
      <c r="BM307" s="9">
        <v>326</v>
      </c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10" t="s">
        <v>401</v>
      </c>
      <c r="CA307" s="9"/>
      <c r="CB307" s="9"/>
      <c r="CC307" s="10">
        <f t="shared" si="101"/>
        <v>4.7338125339151258</v>
      </c>
      <c r="CD307" s="10">
        <f t="shared" si="102"/>
        <v>425.17981877565944</v>
      </c>
      <c r="CE307" s="10">
        <f t="shared" si="114"/>
        <v>2797683.2075438392</v>
      </c>
      <c r="CF307" s="10">
        <f t="shared" si="115"/>
        <v>0</v>
      </c>
      <c r="CG307" s="10">
        <f t="shared" si="96"/>
        <v>0</v>
      </c>
      <c r="CH307" s="10">
        <f t="shared" si="97"/>
        <v>1</v>
      </c>
      <c r="CI307" s="9">
        <f t="shared" si="103"/>
        <v>1</v>
      </c>
      <c r="CJ307" s="10">
        <f t="shared" si="98"/>
        <v>2</v>
      </c>
      <c r="CK307" s="10" t="b">
        <f t="shared" si="104"/>
        <v>0</v>
      </c>
      <c r="CL307" s="10" t="b">
        <f t="shared" si="105"/>
        <v>0</v>
      </c>
      <c r="CM307" s="10" t="b">
        <f t="shared" si="106"/>
        <v>0</v>
      </c>
      <c r="CN307" s="9">
        <f t="shared" si="107"/>
        <v>1</v>
      </c>
      <c r="CO307" s="10">
        <f>(YEAR(AO307)-YEAR(AJ307))*12+MONTH(AO307)-MONTH(AJ307)</f>
        <v>1</v>
      </c>
      <c r="CP307" s="10" t="b">
        <f t="shared" si="108"/>
        <v>0</v>
      </c>
      <c r="CQ307" s="10" t="b">
        <f t="shared" si="109"/>
        <v>0</v>
      </c>
      <c r="CR307" s="10" cm="1">
        <f t="array" ref="CR307">_xlfn.IFS(AND($CI307=0, CK307=FALSE), NA(), AND($CI307=1, CK307=FALSE), 0, CK307=TRUE, 1)</f>
        <v>0</v>
      </c>
      <c r="CS307" s="10" cm="1">
        <f t="array" ref="CS307">_xlfn.IFS(AND($CI307=0, CL307=FALSE), NA(), AND($CI307=1, CL307=FALSE), 0, CL307=TRUE, 1)</f>
        <v>0</v>
      </c>
      <c r="CT307" s="10" cm="1">
        <f t="array" ref="CT307">_xlfn.IFS(AND($CI307=0, CM307=FALSE), NA(), AND($CI307=1, CM307=FALSE), 0, CM307=TRUE, 1)</f>
        <v>0</v>
      </c>
      <c r="CU307" s="10" cm="1">
        <f t="array" ref="CU307">_xlfn.IFS(AND($CN307=0, CP307=FALSE), NA(), AND($CN307=1, CP307=FALSE), 0, CP307=TRUE, 1)</f>
        <v>0</v>
      </c>
      <c r="CV307" s="10" cm="1">
        <f t="array" ref="CV307">_xlfn.IFS(AND($CN307=0, CQ307=FALSE), NA(), AND($CN307=1, CQ307=FALSE), 0, CQ307=TRUE, 1)</f>
        <v>0</v>
      </c>
    </row>
    <row r="308" spans="1:100" ht="15.75" x14ac:dyDescent="0.25">
      <c r="A308" s="8">
        <v>307</v>
      </c>
      <c r="B308" s="9">
        <v>62</v>
      </c>
      <c r="C308" s="10" t="s">
        <v>8</v>
      </c>
      <c r="D308" s="11" t="s">
        <v>92</v>
      </c>
      <c r="E308" s="12">
        <v>17954</v>
      </c>
      <c r="F308" s="13">
        <v>2</v>
      </c>
      <c r="G308" s="9">
        <v>65.538673400878906</v>
      </c>
      <c r="H308" s="12">
        <v>41892</v>
      </c>
      <c r="I308" s="9">
        <v>0</v>
      </c>
      <c r="J308" s="12"/>
      <c r="K308" s="9">
        <v>1</v>
      </c>
      <c r="L308" s="9">
        <v>1</v>
      </c>
      <c r="M308" s="10" t="s">
        <v>401</v>
      </c>
      <c r="N308" s="9">
        <v>2</v>
      </c>
      <c r="O308" s="10" t="s">
        <v>145</v>
      </c>
      <c r="P308" s="9">
        <v>2</v>
      </c>
      <c r="Q308" s="10" t="s">
        <v>145</v>
      </c>
      <c r="R308" s="12">
        <v>41892</v>
      </c>
      <c r="S308" s="10" t="s">
        <v>145</v>
      </c>
      <c r="T308" s="9"/>
      <c r="U308" s="10" t="s">
        <v>401</v>
      </c>
      <c r="V308" s="10" t="s">
        <v>401</v>
      </c>
      <c r="W308" s="9"/>
      <c r="X308" s="9"/>
      <c r="Y308" s="9">
        <v>2</v>
      </c>
      <c r="Z308" s="14">
        <v>1</v>
      </c>
      <c r="AA308" s="17">
        <v>12.9</v>
      </c>
      <c r="AB308" s="18">
        <v>89</v>
      </c>
      <c r="AC308" s="18">
        <v>14.7</v>
      </c>
      <c r="AD308" s="9">
        <v>2</v>
      </c>
      <c r="AE308" s="9">
        <v>2</v>
      </c>
      <c r="AF308" s="9">
        <v>1</v>
      </c>
      <c r="AG308" s="9">
        <v>0</v>
      </c>
      <c r="AH308" s="9">
        <v>1</v>
      </c>
      <c r="AI308" s="9">
        <v>1</v>
      </c>
      <c r="AJ308" s="12">
        <v>42884</v>
      </c>
      <c r="AK308" s="9">
        <v>2</v>
      </c>
      <c r="AL308" s="12">
        <v>44586</v>
      </c>
      <c r="AM308" s="9">
        <v>3</v>
      </c>
      <c r="AN308" s="12">
        <v>43042</v>
      </c>
      <c r="AO308" s="12">
        <v>44237</v>
      </c>
      <c r="AP308" s="12">
        <v>44596</v>
      </c>
      <c r="AQ308" s="9">
        <v>1</v>
      </c>
      <c r="AR308" s="9">
        <f t="shared" si="99"/>
        <v>1</v>
      </c>
      <c r="AS308" s="9">
        <v>1</v>
      </c>
      <c r="AT308" s="9">
        <v>1</v>
      </c>
      <c r="AU308" s="9">
        <v>2</v>
      </c>
      <c r="AV308" s="9">
        <f t="shared" si="100"/>
        <v>1</v>
      </c>
      <c r="AW308" s="12">
        <v>44743</v>
      </c>
      <c r="AX308" s="9">
        <v>8690</v>
      </c>
      <c r="AY308" s="9">
        <v>6000</v>
      </c>
      <c r="AZ308" s="9">
        <v>1630</v>
      </c>
      <c r="BA308" s="9">
        <v>6000</v>
      </c>
      <c r="BB308" s="9">
        <v>1629.999755859375</v>
      </c>
      <c r="BC308" s="9">
        <v>296000</v>
      </c>
      <c r="BD308" s="9">
        <v>730</v>
      </c>
      <c r="BE308" s="9">
        <v>280</v>
      </c>
      <c r="BF308" s="9"/>
      <c r="BG308" s="9">
        <v>8020</v>
      </c>
      <c r="BH308" s="9">
        <v>5780</v>
      </c>
      <c r="BI308" s="9">
        <v>1420</v>
      </c>
      <c r="BJ308" s="9">
        <v>312000</v>
      </c>
      <c r="BK308" s="9">
        <v>560</v>
      </c>
      <c r="BL308" s="9">
        <v>240</v>
      </c>
      <c r="BM308" s="9"/>
      <c r="BN308" s="9"/>
      <c r="BO308" s="9"/>
      <c r="BP308" s="9"/>
      <c r="BQ308" s="9"/>
      <c r="BR308" s="9"/>
      <c r="BS308" s="9"/>
      <c r="BT308" s="9"/>
      <c r="BU308" s="9">
        <v>9230</v>
      </c>
      <c r="BV308" s="9">
        <v>6700</v>
      </c>
      <c r="BW308" s="9">
        <v>1430</v>
      </c>
      <c r="BX308" s="9">
        <v>341000</v>
      </c>
      <c r="BY308" s="9">
        <v>780</v>
      </c>
      <c r="BZ308" s="10" t="s">
        <v>548</v>
      </c>
      <c r="CA308" s="9">
        <v>290</v>
      </c>
      <c r="CB308" s="9"/>
      <c r="CC308" s="10">
        <f t="shared" si="101"/>
        <v>3.6809821464277803</v>
      </c>
      <c r="CD308" s="10">
        <f t="shared" si="102"/>
        <v>181.5951192237705</v>
      </c>
      <c r="CE308" s="10">
        <f t="shared" si="114"/>
        <v>1089570.7153426229</v>
      </c>
      <c r="CF308" s="10">
        <f t="shared" si="115"/>
        <v>1</v>
      </c>
      <c r="CG308" s="10">
        <f t="shared" si="96"/>
        <v>0</v>
      </c>
      <c r="CH308" s="10">
        <f t="shared" si="97"/>
        <v>56</v>
      </c>
      <c r="CI308" s="9">
        <f t="shared" si="103"/>
        <v>1</v>
      </c>
      <c r="CJ308" s="10">
        <f t="shared" si="98"/>
        <v>62</v>
      </c>
      <c r="CK308" s="10" t="b">
        <f t="shared" si="104"/>
        <v>1</v>
      </c>
      <c r="CL308" s="10" t="b">
        <f t="shared" si="105"/>
        <v>1</v>
      </c>
      <c r="CM308" s="10" t="b">
        <f t="shared" si="106"/>
        <v>1</v>
      </c>
      <c r="CN308" s="9">
        <f t="shared" si="107"/>
        <v>1</v>
      </c>
      <c r="CO308" s="10">
        <f>(YEAR(AO308)-YEAR(AJ308))*12+MONTH(AO308)-MONTH(AJ308)</f>
        <v>45</v>
      </c>
      <c r="CP308" s="10" t="b">
        <f t="shared" si="108"/>
        <v>1</v>
      </c>
      <c r="CQ308" s="10" t="b">
        <f t="shared" si="109"/>
        <v>1</v>
      </c>
      <c r="CR308" s="10" cm="1">
        <f t="array" ref="CR308">_xlfn.IFS(AND($CI308=0, CK308=FALSE), NA(), AND($CI308=1, CK308=FALSE), 0, CK308=TRUE, 1)</f>
        <v>1</v>
      </c>
      <c r="CS308" s="10" cm="1">
        <f t="array" ref="CS308">_xlfn.IFS(AND($CI308=0, CL308=FALSE), NA(), AND($CI308=1, CL308=FALSE), 0, CL308=TRUE, 1)</f>
        <v>1</v>
      </c>
      <c r="CT308" s="10" cm="1">
        <f t="array" ref="CT308">_xlfn.IFS(AND($CI308=0, CM308=FALSE), NA(), AND($CI308=1, CM308=FALSE), 0, CM308=TRUE, 1)</f>
        <v>1</v>
      </c>
      <c r="CU308" s="10" cm="1">
        <f t="array" ref="CU308">_xlfn.IFS(AND($CN308=0, CP308=FALSE), NA(), AND($CN308=1, CP308=FALSE), 0, CP308=TRUE, 1)</f>
        <v>1</v>
      </c>
      <c r="CV308" s="10" cm="1">
        <f t="array" ref="CV308">_xlfn.IFS(AND($CN308=0, CQ308=FALSE), NA(), AND($CN308=1, CQ308=FALSE), 0, CQ308=TRUE, 1)</f>
        <v>1</v>
      </c>
    </row>
    <row r="309" spans="1:100" x14ac:dyDescent="0.25">
      <c r="A309" s="8">
        <v>308</v>
      </c>
      <c r="B309" s="9">
        <v>478</v>
      </c>
      <c r="C309" s="10" t="s">
        <v>31</v>
      </c>
      <c r="D309" s="11" t="s">
        <v>371</v>
      </c>
      <c r="E309" s="12"/>
      <c r="F309" s="13">
        <v>1</v>
      </c>
      <c r="G309" s="9">
        <v>81</v>
      </c>
      <c r="H309" s="12">
        <v>41912</v>
      </c>
      <c r="I309" s="9">
        <v>1</v>
      </c>
      <c r="J309" s="12">
        <v>42149</v>
      </c>
      <c r="K309" s="9">
        <v>1</v>
      </c>
      <c r="L309" s="9">
        <v>1</v>
      </c>
      <c r="M309" s="10" t="s">
        <v>401</v>
      </c>
      <c r="N309" s="9">
        <v>3</v>
      </c>
      <c r="O309" s="10" t="s">
        <v>435</v>
      </c>
      <c r="P309" s="9">
        <v>3</v>
      </c>
      <c r="Q309" s="10" t="s">
        <v>435</v>
      </c>
      <c r="R309" s="12">
        <v>41933</v>
      </c>
      <c r="S309" s="10" t="s">
        <v>145</v>
      </c>
      <c r="T309" s="9"/>
      <c r="U309" s="10" t="s">
        <v>401</v>
      </c>
      <c r="V309" s="10" t="s">
        <v>401</v>
      </c>
      <c r="W309" s="9"/>
      <c r="X309" s="9"/>
      <c r="Y309" s="9">
        <v>2</v>
      </c>
      <c r="Z309" s="19">
        <v>1</v>
      </c>
      <c r="AB309" s="9"/>
      <c r="AC309" s="9"/>
      <c r="AD309" s="9">
        <v>3</v>
      </c>
      <c r="AE309" s="9">
        <v>3</v>
      </c>
      <c r="AF309" s="9">
        <v>1</v>
      </c>
      <c r="AG309" s="9">
        <v>1</v>
      </c>
      <c r="AH309" s="9">
        <v>1</v>
      </c>
      <c r="AI309" s="9">
        <v>0</v>
      </c>
      <c r="AJ309" s="12">
        <v>43180</v>
      </c>
      <c r="AK309" s="9">
        <v>2</v>
      </c>
      <c r="AL309" s="12">
        <v>43290</v>
      </c>
      <c r="AM309" s="9">
        <v>4</v>
      </c>
      <c r="AN309" s="12">
        <v>43348</v>
      </c>
      <c r="AO309" s="12">
        <v>43348</v>
      </c>
      <c r="AP309" s="12">
        <v>43348</v>
      </c>
      <c r="AQ309" s="9">
        <v>1</v>
      </c>
      <c r="AR309" s="9">
        <f t="shared" si="99"/>
        <v>1</v>
      </c>
      <c r="AS309" s="9">
        <v>1</v>
      </c>
      <c r="AT309" s="9">
        <v>2</v>
      </c>
      <c r="AU309" s="9">
        <v>2</v>
      </c>
      <c r="AV309" s="9">
        <f t="shared" si="100"/>
        <v>1</v>
      </c>
      <c r="AW309" s="12">
        <v>43430</v>
      </c>
      <c r="AX309" s="9">
        <v>7000</v>
      </c>
      <c r="AY309" s="9">
        <v>5320</v>
      </c>
      <c r="AZ309" s="9">
        <v>1030</v>
      </c>
      <c r="BA309" s="9">
        <v>5320</v>
      </c>
      <c r="BB309" s="9">
        <v>1030</v>
      </c>
      <c r="BC309" s="9">
        <v>210000</v>
      </c>
      <c r="BD309" s="9">
        <v>520</v>
      </c>
      <c r="BE309" s="9">
        <v>100</v>
      </c>
      <c r="BF309" s="9">
        <v>388</v>
      </c>
      <c r="BG309" s="9">
        <v>5880</v>
      </c>
      <c r="BH309" s="9">
        <v>4330</v>
      </c>
      <c r="BI309" s="9">
        <v>840</v>
      </c>
      <c r="BJ309" s="9">
        <v>217000</v>
      </c>
      <c r="BK309" s="9">
        <v>550</v>
      </c>
      <c r="BL309" s="9">
        <v>130</v>
      </c>
      <c r="BM309" s="9">
        <v>469</v>
      </c>
      <c r="BN309" s="9">
        <v>5470</v>
      </c>
      <c r="BO309" s="9">
        <v>3820</v>
      </c>
      <c r="BP309" s="9">
        <v>940</v>
      </c>
      <c r="BQ309" s="9">
        <v>210000</v>
      </c>
      <c r="BR309" s="9">
        <v>560</v>
      </c>
      <c r="BS309" s="9">
        <v>100</v>
      </c>
      <c r="BT309" s="9">
        <v>380</v>
      </c>
      <c r="BU309" s="9">
        <v>6150</v>
      </c>
      <c r="BV309" s="9">
        <v>4330</v>
      </c>
      <c r="BW309" s="9">
        <v>1010</v>
      </c>
      <c r="BX309" s="9">
        <v>220000</v>
      </c>
      <c r="BY309" s="9">
        <v>650</v>
      </c>
      <c r="BZ309" s="10" t="s">
        <v>563</v>
      </c>
      <c r="CA309" s="9">
        <v>130</v>
      </c>
      <c r="CB309" s="9">
        <v>376</v>
      </c>
      <c r="CC309" s="10">
        <f t="shared" si="101"/>
        <v>5.1650485436893208</v>
      </c>
      <c r="CD309" s="10">
        <f t="shared" si="102"/>
        <v>203.88349514563106</v>
      </c>
      <c r="CE309" s="10">
        <f t="shared" si="114"/>
        <v>1084660.1941747575</v>
      </c>
      <c r="CF309" s="10">
        <f t="shared" si="115"/>
        <v>0</v>
      </c>
      <c r="CG309" s="10">
        <f t="shared" si="96"/>
        <v>0</v>
      </c>
      <c r="CH309" s="10">
        <f t="shared" si="97"/>
        <v>4</v>
      </c>
      <c r="CI309" s="9">
        <f t="shared" si="103"/>
        <v>1</v>
      </c>
      <c r="CJ309" s="10">
        <f t="shared" si="98"/>
        <v>8</v>
      </c>
      <c r="CK309" s="10" t="b">
        <f t="shared" si="104"/>
        <v>1</v>
      </c>
      <c r="CL309" s="10" t="b">
        <f t="shared" si="105"/>
        <v>0</v>
      </c>
      <c r="CM309" s="10" t="b">
        <f t="shared" si="106"/>
        <v>0</v>
      </c>
      <c r="CN309" s="9">
        <f t="shared" si="107"/>
        <v>1</v>
      </c>
      <c r="CO309" s="10">
        <f>(YEAR(AO309)-YEAR(AJ309))*12+MONTH(AO309)-MONTH(AJ309)</f>
        <v>6</v>
      </c>
      <c r="CP309" s="10" t="b">
        <f t="shared" si="108"/>
        <v>1</v>
      </c>
      <c r="CQ309" s="10" t="b">
        <f t="shared" si="109"/>
        <v>0</v>
      </c>
      <c r="CR309" s="10" cm="1">
        <f t="array" ref="CR309">_xlfn.IFS(AND($CI309=0, CK309=FALSE), NA(), AND($CI309=1, CK309=FALSE), 0, CK309=TRUE, 1)</f>
        <v>1</v>
      </c>
      <c r="CS309" s="10" cm="1">
        <f t="array" ref="CS309">_xlfn.IFS(AND($CI309=0, CL309=FALSE), NA(), AND($CI309=1, CL309=FALSE), 0, CL309=TRUE, 1)</f>
        <v>0</v>
      </c>
      <c r="CT309" s="10" cm="1">
        <f t="array" ref="CT309">_xlfn.IFS(AND($CI309=0, CM309=FALSE), NA(), AND($CI309=1, CM309=FALSE), 0, CM309=TRUE, 1)</f>
        <v>0</v>
      </c>
      <c r="CU309" s="10" cm="1">
        <f t="array" ref="CU309">_xlfn.IFS(AND($CN309=0, CP309=FALSE), NA(), AND($CN309=1, CP309=FALSE), 0, CP309=TRUE, 1)</f>
        <v>1</v>
      </c>
      <c r="CV309" s="10" cm="1">
        <f t="array" ref="CV309">_xlfn.IFS(AND($CN309=0, CQ309=FALSE), NA(), AND($CN309=1, CQ309=FALSE), 0, CQ309=TRUE, 1)</f>
        <v>0</v>
      </c>
    </row>
    <row r="310" spans="1:100" ht="15.75" x14ac:dyDescent="0.25">
      <c r="A310" s="8">
        <v>309</v>
      </c>
      <c r="B310" s="9">
        <v>350</v>
      </c>
      <c r="C310" s="10" t="s">
        <v>28</v>
      </c>
      <c r="D310" s="11" t="s">
        <v>285</v>
      </c>
      <c r="E310" s="12">
        <v>17472</v>
      </c>
      <c r="F310" s="13">
        <v>2</v>
      </c>
      <c r="G310" s="9">
        <v>66.921287536621094</v>
      </c>
      <c r="H310" s="12">
        <v>41915</v>
      </c>
      <c r="I310" s="9">
        <v>1</v>
      </c>
      <c r="J310" s="12">
        <v>41915</v>
      </c>
      <c r="K310" s="9">
        <v>0</v>
      </c>
      <c r="L310" s="9">
        <v>4</v>
      </c>
      <c r="M310" s="10" t="s">
        <v>404</v>
      </c>
      <c r="N310" s="9">
        <v>1</v>
      </c>
      <c r="O310" s="10" t="s">
        <v>401</v>
      </c>
      <c r="P310" s="9">
        <v>1</v>
      </c>
      <c r="Q310" s="10" t="s">
        <v>401</v>
      </c>
      <c r="R310" s="12">
        <v>42021</v>
      </c>
      <c r="S310" s="10" t="s">
        <v>146</v>
      </c>
      <c r="T310" s="9"/>
      <c r="U310" s="10" t="s">
        <v>401</v>
      </c>
      <c r="V310" s="10" t="s">
        <v>401</v>
      </c>
      <c r="W310" s="9"/>
      <c r="X310" s="9"/>
      <c r="Y310" s="9">
        <v>2</v>
      </c>
      <c r="Z310" s="14">
        <v>2</v>
      </c>
      <c r="AA310" s="15">
        <v>13.8</v>
      </c>
      <c r="AB310" s="16">
        <v>89</v>
      </c>
      <c r="AC310" s="16">
        <v>13</v>
      </c>
      <c r="AD310" s="9">
        <v>1</v>
      </c>
      <c r="AE310" s="9">
        <v>1</v>
      </c>
      <c r="AF310" s="9">
        <v>1</v>
      </c>
      <c r="AG310" s="9">
        <v>0</v>
      </c>
      <c r="AH310" s="9">
        <v>1</v>
      </c>
      <c r="AI310" s="9">
        <v>1</v>
      </c>
      <c r="AJ310" s="12">
        <v>43201</v>
      </c>
      <c r="AK310" s="9">
        <v>1</v>
      </c>
      <c r="AL310" s="12">
        <v>44911</v>
      </c>
      <c r="AM310" s="9">
        <v>2</v>
      </c>
      <c r="AN310" s="12">
        <v>43479</v>
      </c>
      <c r="AO310" s="12">
        <v>43270</v>
      </c>
      <c r="AP310" s="12"/>
      <c r="AQ310" s="9">
        <v>1</v>
      </c>
      <c r="AR310" s="9">
        <f t="shared" si="99"/>
        <v>1</v>
      </c>
      <c r="AS310" s="9">
        <v>2</v>
      </c>
      <c r="AT310" s="9">
        <v>1</v>
      </c>
      <c r="AU310" s="9">
        <v>1</v>
      </c>
      <c r="AV310" s="9">
        <f t="shared" si="100"/>
        <v>0</v>
      </c>
      <c r="AW310" s="12">
        <v>44909</v>
      </c>
      <c r="AX310" s="9">
        <v>5980</v>
      </c>
      <c r="AY310" s="9">
        <v>3760</v>
      </c>
      <c r="AZ310" s="9">
        <v>1500</v>
      </c>
      <c r="BA310" s="9">
        <v>3760</v>
      </c>
      <c r="BB310" s="9">
        <v>1500.0001220703125</v>
      </c>
      <c r="BC310" s="9">
        <v>215000</v>
      </c>
      <c r="BD310" s="9">
        <v>420</v>
      </c>
      <c r="BE310" s="9">
        <v>180</v>
      </c>
      <c r="BF310" s="9">
        <v>299</v>
      </c>
      <c r="BG310" s="9">
        <v>4610</v>
      </c>
      <c r="BH310" s="9">
        <v>2840</v>
      </c>
      <c r="BI310" s="9">
        <v>1200</v>
      </c>
      <c r="BJ310" s="9">
        <v>193000</v>
      </c>
      <c r="BK310" s="9">
        <v>270</v>
      </c>
      <c r="BL310" s="9">
        <v>160</v>
      </c>
      <c r="BM310" s="9">
        <v>323</v>
      </c>
      <c r="BN310" s="9">
        <v>4270</v>
      </c>
      <c r="BO310" s="9">
        <v>2720</v>
      </c>
      <c r="BP310" s="9">
        <v>960</v>
      </c>
      <c r="BQ310" s="9">
        <v>189000</v>
      </c>
      <c r="BR310" s="9">
        <v>310</v>
      </c>
      <c r="BS310" s="9">
        <v>130</v>
      </c>
      <c r="BT310" s="9">
        <v>299</v>
      </c>
      <c r="BU310" s="9">
        <v>4430</v>
      </c>
      <c r="BV310" s="9">
        <v>2680</v>
      </c>
      <c r="BW310" s="9">
        <v>1130</v>
      </c>
      <c r="BX310" s="9">
        <v>195000</v>
      </c>
      <c r="BY310" s="9">
        <v>290</v>
      </c>
      <c r="BZ310" s="10" t="s">
        <v>536</v>
      </c>
      <c r="CA310" s="9">
        <v>160</v>
      </c>
      <c r="CB310" s="9">
        <v>359</v>
      </c>
      <c r="CC310" s="10">
        <f t="shared" si="101"/>
        <v>2.5066664626736279</v>
      </c>
      <c r="CD310" s="10">
        <f t="shared" si="102"/>
        <v>143.33332166883775</v>
      </c>
      <c r="CE310" s="10">
        <f t="shared" si="114"/>
        <v>538933.28947483003</v>
      </c>
      <c r="CF310" s="10">
        <f t="shared" si="115"/>
        <v>1</v>
      </c>
      <c r="CG310" s="10">
        <f t="shared" si="96"/>
        <v>1</v>
      </c>
      <c r="CH310" s="10">
        <f t="shared" si="97"/>
        <v>56</v>
      </c>
      <c r="CI310" s="9">
        <f t="shared" si="103"/>
        <v>0</v>
      </c>
      <c r="CJ310" s="10">
        <f t="shared" si="98"/>
        <v>56</v>
      </c>
      <c r="CK310" s="10" t="b">
        <f t="shared" si="104"/>
        <v>1</v>
      </c>
      <c r="CL310" s="10" t="b">
        <f t="shared" si="105"/>
        <v>1</v>
      </c>
      <c r="CM310" s="10" t="b">
        <f t="shared" si="106"/>
        <v>1</v>
      </c>
      <c r="CN310" s="9">
        <f t="shared" si="107"/>
        <v>1</v>
      </c>
      <c r="CO310" s="10">
        <f>(YEAR(AO310)-YEAR(AJ310))*12+MONTH(AO310)-MONTH(AJ310)</f>
        <v>2</v>
      </c>
      <c r="CP310" s="10" t="b">
        <f t="shared" si="108"/>
        <v>0</v>
      </c>
      <c r="CQ310" s="10" t="b">
        <f t="shared" si="109"/>
        <v>0</v>
      </c>
      <c r="CR310" s="10" cm="1">
        <f t="array" ref="CR310">_xlfn.IFS(AND($CI310=0, CK310=FALSE), NA(), AND($CI310=1, CK310=FALSE), 0, CK310=TRUE, 1)</f>
        <v>1</v>
      </c>
      <c r="CS310" s="10" cm="1">
        <f t="array" ref="CS310">_xlfn.IFS(AND($CI310=0, CL310=FALSE), NA(), AND($CI310=1, CL310=FALSE), 0, CL310=TRUE, 1)</f>
        <v>1</v>
      </c>
      <c r="CT310" s="10" cm="1">
        <f t="array" ref="CT310">_xlfn.IFS(AND($CI310=0, CM310=FALSE), NA(), AND($CI310=1, CM310=FALSE), 0, CM310=TRUE, 1)</f>
        <v>1</v>
      </c>
      <c r="CU310" s="10" cm="1">
        <f t="array" ref="CU310">_xlfn.IFS(AND($CN310=0, CP310=FALSE), NA(), AND($CN310=1, CP310=FALSE), 0, CP310=TRUE, 1)</f>
        <v>0</v>
      </c>
      <c r="CV310" s="10" cm="1">
        <f t="array" ref="CV310">_xlfn.IFS(AND($CN310=0, CQ310=FALSE), NA(), AND($CN310=1, CQ310=FALSE), 0, CQ310=TRUE, 1)</f>
        <v>0</v>
      </c>
    </row>
    <row r="311" spans="1:100" ht="15.75" x14ac:dyDescent="0.25">
      <c r="A311" s="8">
        <v>310</v>
      </c>
      <c r="B311" s="9">
        <v>14</v>
      </c>
      <c r="C311" s="10" t="s">
        <v>4</v>
      </c>
      <c r="D311" s="11" t="s">
        <v>50</v>
      </c>
      <c r="E311" s="12">
        <v>15928</v>
      </c>
      <c r="F311" s="13">
        <v>2</v>
      </c>
      <c r="G311" s="9">
        <v>71.167694091796875</v>
      </c>
      <c r="H311" s="12">
        <v>41922</v>
      </c>
      <c r="I311" s="9">
        <v>1</v>
      </c>
      <c r="J311" s="12">
        <v>41927</v>
      </c>
      <c r="K311" s="9">
        <v>0</v>
      </c>
      <c r="L311" s="9">
        <v>1</v>
      </c>
      <c r="M311" s="10" t="s">
        <v>401</v>
      </c>
      <c r="N311" s="9">
        <v>2</v>
      </c>
      <c r="O311" s="10" t="s">
        <v>147</v>
      </c>
      <c r="P311" s="9">
        <v>2</v>
      </c>
      <c r="Q311" s="10" t="s">
        <v>147</v>
      </c>
      <c r="R311" s="12">
        <v>42388</v>
      </c>
      <c r="S311" s="10" t="s">
        <v>145</v>
      </c>
      <c r="T311" s="9"/>
      <c r="U311" s="10" t="s">
        <v>401</v>
      </c>
      <c r="V311" s="10" t="s">
        <v>401</v>
      </c>
      <c r="W311" s="9"/>
      <c r="X311" s="9"/>
      <c r="Y311" s="9">
        <v>2</v>
      </c>
      <c r="Z311" s="14">
        <v>1</v>
      </c>
      <c r="AA311" s="17">
        <v>10.8</v>
      </c>
      <c r="AB311" s="18">
        <v>78</v>
      </c>
      <c r="AC311" s="9"/>
      <c r="AD311" s="9">
        <v>2</v>
      </c>
      <c r="AE311" s="9">
        <v>2</v>
      </c>
      <c r="AF311" s="9">
        <v>1</v>
      </c>
      <c r="AG311" s="9">
        <v>0</v>
      </c>
      <c r="AH311" s="9">
        <v>1</v>
      </c>
      <c r="AI311" s="9">
        <v>0</v>
      </c>
      <c r="AJ311" s="12">
        <v>43257</v>
      </c>
      <c r="AK311" s="9">
        <v>1</v>
      </c>
      <c r="AL311" s="12">
        <v>44987</v>
      </c>
      <c r="AM311" s="9">
        <v>3</v>
      </c>
      <c r="AN311" s="12">
        <v>43395</v>
      </c>
      <c r="AO311" s="12"/>
      <c r="AP311" s="12"/>
      <c r="AQ311" s="9">
        <v>2</v>
      </c>
      <c r="AR311" s="9">
        <f t="shared" si="99"/>
        <v>0</v>
      </c>
      <c r="AS311" s="9">
        <v>2</v>
      </c>
      <c r="AT311" s="9"/>
      <c r="AU311" s="9">
        <v>1</v>
      </c>
      <c r="AV311" s="9">
        <f t="shared" si="100"/>
        <v>0</v>
      </c>
      <c r="AW311" s="12">
        <v>44987</v>
      </c>
      <c r="AX311" s="9">
        <v>4740</v>
      </c>
      <c r="AY311" s="9">
        <v>2700</v>
      </c>
      <c r="AZ311" s="9">
        <v>1400</v>
      </c>
      <c r="BA311" s="9">
        <v>2700</v>
      </c>
      <c r="BB311" s="9">
        <v>1399.9998779296875</v>
      </c>
      <c r="BC311" s="9">
        <v>214000</v>
      </c>
      <c r="BD311" s="9">
        <v>500</v>
      </c>
      <c r="BE311" s="9">
        <v>100</v>
      </c>
      <c r="BF311" s="9">
        <v>112</v>
      </c>
      <c r="BG311" s="9">
        <v>6980</v>
      </c>
      <c r="BH311" s="9">
        <v>4400</v>
      </c>
      <c r="BI311" s="9">
        <v>1700</v>
      </c>
      <c r="BJ311" s="9">
        <v>240000</v>
      </c>
      <c r="BK311" s="9">
        <v>600</v>
      </c>
      <c r="BL311" s="9">
        <v>200</v>
      </c>
      <c r="BM311" s="9">
        <v>138</v>
      </c>
      <c r="BN311" s="9">
        <v>8170</v>
      </c>
      <c r="BO311" s="9">
        <v>5300</v>
      </c>
      <c r="BP311" s="9">
        <v>1900</v>
      </c>
      <c r="BQ311" s="9">
        <v>258000</v>
      </c>
      <c r="BR311" s="9">
        <v>600</v>
      </c>
      <c r="BS311" s="9">
        <v>300</v>
      </c>
      <c r="BT311" s="9">
        <v>141</v>
      </c>
      <c r="BU311" s="9">
        <v>8840</v>
      </c>
      <c r="BV311" s="9">
        <v>6100</v>
      </c>
      <c r="BW311" s="9">
        <v>1900</v>
      </c>
      <c r="BX311" s="9">
        <v>285000</v>
      </c>
      <c r="BY311" s="9">
        <v>600</v>
      </c>
      <c r="BZ311" s="10" t="s">
        <v>524</v>
      </c>
      <c r="CA311" s="9">
        <v>200</v>
      </c>
      <c r="CB311" s="9">
        <v>134</v>
      </c>
      <c r="CC311" s="10">
        <f t="shared" si="101"/>
        <v>1.9285715967295267</v>
      </c>
      <c r="CD311" s="10">
        <f t="shared" si="102"/>
        <v>152.85715618522917</v>
      </c>
      <c r="CE311" s="10">
        <f t="shared" si="114"/>
        <v>412714.32170011871</v>
      </c>
      <c r="CF311" s="10">
        <f t="shared" si="115"/>
        <v>1</v>
      </c>
      <c r="CG311" s="10">
        <f t="shared" si="96"/>
        <v>0</v>
      </c>
      <c r="CH311" s="10">
        <f t="shared" si="97"/>
        <v>57</v>
      </c>
      <c r="CI311" s="9">
        <f t="shared" si="103"/>
        <v>0</v>
      </c>
      <c r="CJ311" s="10">
        <f t="shared" si="98"/>
        <v>57</v>
      </c>
      <c r="CK311" s="10" t="b">
        <f t="shared" si="104"/>
        <v>1</v>
      </c>
      <c r="CL311" s="10" t="b">
        <f t="shared" si="105"/>
        <v>1</v>
      </c>
      <c r="CM311" s="10" t="b">
        <f t="shared" si="106"/>
        <v>1</v>
      </c>
      <c r="CN311" s="9">
        <f t="shared" si="107"/>
        <v>0</v>
      </c>
      <c r="CO311" s="10">
        <f>CJ311</f>
        <v>57</v>
      </c>
      <c r="CP311" s="10" t="b">
        <f t="shared" si="108"/>
        <v>1</v>
      </c>
      <c r="CQ311" s="10" t="b">
        <f t="shared" si="109"/>
        <v>1</v>
      </c>
      <c r="CR311" s="10" cm="1">
        <f t="array" ref="CR311">_xlfn.IFS(AND($CI311=0, CK311=FALSE), NA(), AND($CI311=1, CK311=FALSE), 0, CK311=TRUE, 1)</f>
        <v>1</v>
      </c>
      <c r="CS311" s="10" cm="1">
        <f t="array" ref="CS311">_xlfn.IFS(AND($CI311=0, CL311=FALSE), NA(), AND($CI311=1, CL311=FALSE), 0, CL311=TRUE, 1)</f>
        <v>1</v>
      </c>
      <c r="CT311" s="10" cm="1">
        <f t="array" ref="CT311">_xlfn.IFS(AND($CI311=0, CM311=FALSE), NA(), AND($CI311=1, CM311=FALSE), 0, CM311=TRUE, 1)</f>
        <v>1</v>
      </c>
      <c r="CU311" s="10" cm="1">
        <f t="array" ref="CU311">_xlfn.IFS(AND($CN311=0, CP311=FALSE), NA(), AND($CN311=1, CP311=FALSE), 0, CP311=TRUE, 1)</f>
        <v>1</v>
      </c>
      <c r="CV311" s="10" cm="1">
        <f t="array" ref="CV311">_xlfn.IFS(AND($CN311=0, CQ311=FALSE), NA(), AND($CN311=1, CQ311=FALSE), 0, CQ311=TRUE, 1)</f>
        <v>1</v>
      </c>
    </row>
    <row r="312" spans="1:100" ht="15.75" x14ac:dyDescent="0.25">
      <c r="A312" s="8">
        <v>311</v>
      </c>
      <c r="B312" s="9">
        <v>79</v>
      </c>
      <c r="C312" s="10" t="s">
        <v>9</v>
      </c>
      <c r="D312" s="11" t="s">
        <v>107</v>
      </c>
      <c r="E312" s="12">
        <v>27682</v>
      </c>
      <c r="F312" s="13">
        <v>1</v>
      </c>
      <c r="G312" s="9">
        <v>39.000682830810547</v>
      </c>
      <c r="H312" s="12">
        <v>41927</v>
      </c>
      <c r="I312" s="9">
        <v>1</v>
      </c>
      <c r="J312" s="12">
        <v>41927</v>
      </c>
      <c r="K312" s="9">
        <v>0</v>
      </c>
      <c r="L312" s="9">
        <v>1</v>
      </c>
      <c r="M312" s="10" t="s">
        <v>401</v>
      </c>
      <c r="N312" s="9">
        <v>2</v>
      </c>
      <c r="O312" s="10" t="s">
        <v>145</v>
      </c>
      <c r="P312" s="9">
        <v>2</v>
      </c>
      <c r="Q312" s="10" t="s">
        <v>145</v>
      </c>
      <c r="R312" s="12">
        <v>42356</v>
      </c>
      <c r="S312" s="10" t="s">
        <v>145</v>
      </c>
      <c r="T312" s="9"/>
      <c r="U312" s="10" t="s">
        <v>401</v>
      </c>
      <c r="V312" s="10" t="s">
        <v>401</v>
      </c>
      <c r="W312" s="9"/>
      <c r="X312" s="9"/>
      <c r="Y312" s="9">
        <v>2</v>
      </c>
      <c r="Z312" s="14">
        <v>1</v>
      </c>
      <c r="AA312" s="15">
        <v>13.2</v>
      </c>
      <c r="AB312" s="16">
        <v>82</v>
      </c>
      <c r="AC312" s="16" t="s">
        <v>473</v>
      </c>
      <c r="AD312" s="9">
        <v>2</v>
      </c>
      <c r="AE312" s="9">
        <v>2</v>
      </c>
      <c r="AF312" s="9">
        <v>1</v>
      </c>
      <c r="AG312" s="9">
        <v>0</v>
      </c>
      <c r="AH312" s="9">
        <v>0</v>
      </c>
      <c r="AI312" s="9">
        <v>1</v>
      </c>
      <c r="AJ312" s="12">
        <v>42849</v>
      </c>
      <c r="AK312" s="9">
        <v>2</v>
      </c>
      <c r="AL312" s="12">
        <v>42991</v>
      </c>
      <c r="AM312" s="9">
        <v>3</v>
      </c>
      <c r="AN312" s="12">
        <v>42879</v>
      </c>
      <c r="AO312" s="12">
        <v>42993</v>
      </c>
      <c r="AP312" s="12">
        <v>42993</v>
      </c>
      <c r="AQ312" s="9">
        <v>1</v>
      </c>
      <c r="AR312" s="9">
        <f t="shared" si="99"/>
        <v>1</v>
      </c>
      <c r="AS312" s="9">
        <v>1</v>
      </c>
      <c r="AT312" s="9">
        <v>2</v>
      </c>
      <c r="AU312" s="9">
        <v>1</v>
      </c>
      <c r="AV312" s="9">
        <f t="shared" si="100"/>
        <v>0</v>
      </c>
      <c r="AW312" s="12">
        <v>43986</v>
      </c>
      <c r="AX312" s="9">
        <v>3990</v>
      </c>
      <c r="AY312" s="9">
        <v>2100</v>
      </c>
      <c r="AZ312" s="9">
        <v>1400</v>
      </c>
      <c r="BA312" s="9">
        <v>2100</v>
      </c>
      <c r="BB312" s="9">
        <v>1399.9998779296875</v>
      </c>
      <c r="BC312" s="9">
        <v>163000</v>
      </c>
      <c r="BD312" s="9">
        <v>300</v>
      </c>
      <c r="BE312" s="9">
        <v>400</v>
      </c>
      <c r="BF312" s="9">
        <v>235</v>
      </c>
      <c r="BG312" s="9">
        <v>4540</v>
      </c>
      <c r="BH312" s="9">
        <v>2300</v>
      </c>
      <c r="BI312" s="9">
        <v>1500</v>
      </c>
      <c r="BJ312" s="9">
        <v>164000</v>
      </c>
      <c r="BK312" s="9">
        <v>300</v>
      </c>
      <c r="BL312" s="9">
        <v>400</v>
      </c>
      <c r="BM312" s="9">
        <v>250</v>
      </c>
      <c r="BN312" s="9">
        <v>6000</v>
      </c>
      <c r="BO312" s="9">
        <v>3200</v>
      </c>
      <c r="BP312" s="9">
        <v>1800</v>
      </c>
      <c r="BQ312" s="9">
        <v>187000</v>
      </c>
      <c r="BR312" s="9">
        <v>400</v>
      </c>
      <c r="BS312" s="9">
        <v>500</v>
      </c>
      <c r="BT312" s="9"/>
      <c r="BU312" s="9">
        <v>4500</v>
      </c>
      <c r="BV312" s="9">
        <v>2300</v>
      </c>
      <c r="BW312" s="9">
        <v>1500</v>
      </c>
      <c r="BX312" s="9">
        <v>183000</v>
      </c>
      <c r="BY312" s="9">
        <v>300</v>
      </c>
      <c r="BZ312" s="10" t="s">
        <v>543</v>
      </c>
      <c r="CA312" s="9">
        <v>400</v>
      </c>
      <c r="CB312" s="9">
        <v>290</v>
      </c>
      <c r="CC312" s="10">
        <f t="shared" si="101"/>
        <v>1.500000130789632</v>
      </c>
      <c r="CD312" s="10">
        <f t="shared" si="102"/>
        <v>116.4285815803381</v>
      </c>
      <c r="CE312" s="10">
        <f t="shared" si="114"/>
        <v>244500.02131871003</v>
      </c>
      <c r="CF312" s="10">
        <f t="shared" si="115"/>
        <v>1</v>
      </c>
      <c r="CG312" s="10">
        <f t="shared" si="96"/>
        <v>0</v>
      </c>
      <c r="CH312" s="10">
        <f t="shared" si="97"/>
        <v>5</v>
      </c>
      <c r="CI312" s="9">
        <f t="shared" si="103"/>
        <v>0</v>
      </c>
      <c r="CJ312" s="10">
        <f t="shared" si="98"/>
        <v>38</v>
      </c>
      <c r="CK312" s="10" t="b">
        <f t="shared" si="104"/>
        <v>1</v>
      </c>
      <c r="CL312" s="10" t="b">
        <f t="shared" si="105"/>
        <v>1</v>
      </c>
      <c r="CM312" s="10" t="b">
        <f t="shared" si="106"/>
        <v>1</v>
      </c>
      <c r="CN312" s="9">
        <f t="shared" si="107"/>
        <v>1</v>
      </c>
      <c r="CO312" s="10">
        <f t="shared" ref="CO312:CO317" si="117">(YEAR(AO312)-YEAR(AJ312))*12+MONTH(AO312)-MONTH(AJ312)</f>
        <v>5</v>
      </c>
      <c r="CP312" s="10" t="b">
        <f t="shared" si="108"/>
        <v>1</v>
      </c>
      <c r="CQ312" s="10" t="b">
        <f t="shared" si="109"/>
        <v>0</v>
      </c>
      <c r="CR312" s="10" cm="1">
        <f t="array" ref="CR312">_xlfn.IFS(AND($CI312=0, CK312=FALSE), NA(), AND($CI312=1, CK312=FALSE), 0, CK312=TRUE, 1)</f>
        <v>1</v>
      </c>
      <c r="CS312" s="10" cm="1">
        <f t="array" ref="CS312">_xlfn.IFS(AND($CI312=0, CL312=FALSE), NA(), AND($CI312=1, CL312=FALSE), 0, CL312=TRUE, 1)</f>
        <v>1</v>
      </c>
      <c r="CT312" s="10" cm="1">
        <f t="array" ref="CT312">_xlfn.IFS(AND($CI312=0, CM312=FALSE), NA(), AND($CI312=1, CM312=FALSE), 0, CM312=TRUE, 1)</f>
        <v>1</v>
      </c>
      <c r="CU312" s="10" cm="1">
        <f t="array" ref="CU312">_xlfn.IFS(AND($CN312=0, CP312=FALSE), NA(), AND($CN312=1, CP312=FALSE), 0, CP312=TRUE, 1)</f>
        <v>1</v>
      </c>
      <c r="CV312" s="10" cm="1">
        <f t="array" ref="CV312">_xlfn.IFS(AND($CN312=0, CQ312=FALSE), NA(), AND($CN312=1, CQ312=FALSE), 0, CQ312=TRUE, 1)</f>
        <v>0</v>
      </c>
    </row>
    <row r="313" spans="1:100" ht="15.75" x14ac:dyDescent="0.25">
      <c r="A313" s="8">
        <v>312</v>
      </c>
      <c r="B313" s="9">
        <v>332</v>
      </c>
      <c r="C313" s="10" t="s">
        <v>26</v>
      </c>
      <c r="D313" s="11" t="s">
        <v>89</v>
      </c>
      <c r="E313" s="12">
        <v>22391</v>
      </c>
      <c r="F313" s="13">
        <v>1</v>
      </c>
      <c r="G313" s="9">
        <v>53.533195495605469</v>
      </c>
      <c r="H313" s="12">
        <v>41944</v>
      </c>
      <c r="I313" s="9">
        <v>1</v>
      </c>
      <c r="J313" s="12">
        <v>42011</v>
      </c>
      <c r="K313" s="9">
        <v>1</v>
      </c>
      <c r="L313" s="9">
        <v>1</v>
      </c>
      <c r="M313" s="10" t="s">
        <v>401</v>
      </c>
      <c r="N313" s="9">
        <v>2</v>
      </c>
      <c r="O313" s="10" t="s">
        <v>145</v>
      </c>
      <c r="P313" s="9">
        <v>2</v>
      </c>
      <c r="Q313" s="10" t="s">
        <v>145</v>
      </c>
      <c r="R313" s="12">
        <v>41947</v>
      </c>
      <c r="S313" s="10" t="s">
        <v>145</v>
      </c>
      <c r="T313" s="9"/>
      <c r="U313" s="10" t="s">
        <v>401</v>
      </c>
      <c r="V313" s="10" t="s">
        <v>401</v>
      </c>
      <c r="W313" s="9"/>
      <c r="X313" s="9"/>
      <c r="Y313" s="9">
        <v>2</v>
      </c>
      <c r="Z313" s="14">
        <v>1</v>
      </c>
      <c r="AA313" s="15">
        <v>14.5</v>
      </c>
      <c r="AB313" s="16" t="s">
        <v>488</v>
      </c>
      <c r="AC313" s="16" t="s">
        <v>487</v>
      </c>
      <c r="AD313" s="9">
        <v>2</v>
      </c>
      <c r="AE313" s="9">
        <v>2</v>
      </c>
      <c r="AF313" s="9">
        <v>1</v>
      </c>
      <c r="AG313" s="9">
        <v>1</v>
      </c>
      <c r="AH313" s="9">
        <v>1</v>
      </c>
      <c r="AI313" s="9">
        <v>0</v>
      </c>
      <c r="AJ313" s="12">
        <v>43420</v>
      </c>
      <c r="AK313" s="9">
        <v>2</v>
      </c>
      <c r="AL313" s="12">
        <v>43593</v>
      </c>
      <c r="AM313" s="9">
        <v>4</v>
      </c>
      <c r="AN313" s="12">
        <v>43500</v>
      </c>
      <c r="AO313" s="12">
        <v>43500</v>
      </c>
      <c r="AP313" s="12">
        <v>43616</v>
      </c>
      <c r="AQ313" s="9">
        <v>1</v>
      </c>
      <c r="AR313" s="9">
        <f t="shared" si="99"/>
        <v>1</v>
      </c>
      <c r="AS313" s="9">
        <v>1</v>
      </c>
      <c r="AT313" s="9">
        <v>1</v>
      </c>
      <c r="AU313" s="9">
        <v>1</v>
      </c>
      <c r="AV313" s="9">
        <f t="shared" si="100"/>
        <v>0</v>
      </c>
      <c r="AW313" s="12">
        <v>44981</v>
      </c>
      <c r="AX313" s="9">
        <v>6370</v>
      </c>
      <c r="AY313" s="9">
        <v>3940</v>
      </c>
      <c r="AZ313" s="9">
        <v>1730</v>
      </c>
      <c r="BA313" s="9">
        <v>3940</v>
      </c>
      <c r="BB313" s="9">
        <v>1730.000244140625</v>
      </c>
      <c r="BC313" s="9">
        <v>176000</v>
      </c>
      <c r="BD313" s="9">
        <v>520</v>
      </c>
      <c r="BE313" s="9">
        <v>140</v>
      </c>
      <c r="BF313" s="9"/>
      <c r="BG313" s="9">
        <v>8530</v>
      </c>
      <c r="BH313" s="9">
        <v>5740</v>
      </c>
      <c r="BI313" s="9">
        <v>1930</v>
      </c>
      <c r="BJ313" s="9">
        <v>196000</v>
      </c>
      <c r="BK313" s="9">
        <v>640</v>
      </c>
      <c r="BL313" s="9">
        <v>140</v>
      </c>
      <c r="BM313" s="9"/>
      <c r="BN313" s="9">
        <v>7250</v>
      </c>
      <c r="BO313" s="9">
        <v>4810</v>
      </c>
      <c r="BP313" s="9">
        <v>1640</v>
      </c>
      <c r="BQ313" s="9">
        <v>194000</v>
      </c>
      <c r="BR313" s="9">
        <v>570</v>
      </c>
      <c r="BS313" s="9">
        <v>150</v>
      </c>
      <c r="BT313" s="9"/>
      <c r="BU313" s="9">
        <v>6870</v>
      </c>
      <c r="BV313" s="9">
        <v>4440</v>
      </c>
      <c r="BW313" s="9">
        <v>1620</v>
      </c>
      <c r="BX313" s="9">
        <v>202000</v>
      </c>
      <c r="BY313" s="9">
        <v>520</v>
      </c>
      <c r="BZ313" s="10" t="s">
        <v>564</v>
      </c>
      <c r="CA313" s="9">
        <v>210</v>
      </c>
      <c r="CB313" s="9"/>
      <c r="CC313" s="10">
        <f t="shared" si="101"/>
        <v>2.277456326000225</v>
      </c>
      <c r="CD313" s="10">
        <f t="shared" si="102"/>
        <v>101.73408968935016</v>
      </c>
      <c r="CE313" s="10">
        <f t="shared" si="114"/>
        <v>400832.31337603962</v>
      </c>
      <c r="CF313" s="10">
        <f t="shared" si="115"/>
        <v>0</v>
      </c>
      <c r="CG313" s="10">
        <f t="shared" si="96"/>
        <v>0</v>
      </c>
      <c r="CH313" s="10">
        <f t="shared" si="97"/>
        <v>6</v>
      </c>
      <c r="CI313" s="9">
        <f t="shared" si="103"/>
        <v>0</v>
      </c>
      <c r="CJ313" s="10">
        <f t="shared" si="98"/>
        <v>51</v>
      </c>
      <c r="CK313" s="10" t="b">
        <f t="shared" si="104"/>
        <v>1</v>
      </c>
      <c r="CL313" s="10" t="b">
        <f t="shared" si="105"/>
        <v>1</v>
      </c>
      <c r="CM313" s="10" t="b">
        <f t="shared" si="106"/>
        <v>1</v>
      </c>
      <c r="CN313" s="9">
        <f t="shared" si="107"/>
        <v>1</v>
      </c>
      <c r="CO313" s="10">
        <f t="shared" si="117"/>
        <v>3</v>
      </c>
      <c r="CP313" s="10" t="b">
        <f t="shared" si="108"/>
        <v>1</v>
      </c>
      <c r="CQ313" s="10" t="b">
        <f t="shared" si="109"/>
        <v>0</v>
      </c>
      <c r="CR313" s="10" cm="1">
        <f t="array" ref="CR313">_xlfn.IFS(AND($CI313=0, CK313=FALSE), NA(), AND($CI313=1, CK313=FALSE), 0, CK313=TRUE, 1)</f>
        <v>1</v>
      </c>
      <c r="CS313" s="10" cm="1">
        <f t="array" ref="CS313">_xlfn.IFS(AND($CI313=0, CL313=FALSE), NA(), AND($CI313=1, CL313=FALSE), 0, CL313=TRUE, 1)</f>
        <v>1</v>
      </c>
      <c r="CT313" s="10" cm="1">
        <f t="array" ref="CT313">_xlfn.IFS(AND($CI313=0, CM313=FALSE), NA(), AND($CI313=1, CM313=FALSE), 0, CM313=TRUE, 1)</f>
        <v>1</v>
      </c>
      <c r="CU313" s="10" cm="1">
        <f t="array" ref="CU313">_xlfn.IFS(AND($CN313=0, CP313=FALSE), NA(), AND($CN313=1, CP313=FALSE), 0, CP313=TRUE, 1)</f>
        <v>1</v>
      </c>
      <c r="CV313" s="10" cm="1">
        <f t="array" ref="CV313">_xlfn.IFS(AND($CN313=0, CQ313=FALSE), NA(), AND($CN313=1, CQ313=FALSE), 0, CQ313=TRUE, 1)</f>
        <v>0</v>
      </c>
    </row>
    <row r="314" spans="1:100" x14ac:dyDescent="0.25">
      <c r="A314" s="8">
        <v>313</v>
      </c>
      <c r="B314" s="9">
        <v>22</v>
      </c>
      <c r="C314" s="10" t="s">
        <v>5</v>
      </c>
      <c r="D314" s="11" t="s">
        <v>58</v>
      </c>
      <c r="E314" s="12">
        <v>20452</v>
      </c>
      <c r="F314" s="13">
        <v>1</v>
      </c>
      <c r="G314" s="9">
        <v>58.891170501708984</v>
      </c>
      <c r="H314" s="12">
        <v>41962</v>
      </c>
      <c r="I314" s="9">
        <v>0</v>
      </c>
      <c r="J314" s="12"/>
      <c r="K314" s="9">
        <v>1</v>
      </c>
      <c r="L314" s="9">
        <v>1</v>
      </c>
      <c r="M314" s="10" t="s">
        <v>401</v>
      </c>
      <c r="N314" s="9"/>
      <c r="O314" s="10" t="s">
        <v>401</v>
      </c>
      <c r="P314" s="9"/>
      <c r="Q314" s="10" t="s">
        <v>401</v>
      </c>
      <c r="R314" s="12">
        <v>41962</v>
      </c>
      <c r="S314" s="10" t="s">
        <v>146</v>
      </c>
      <c r="T314" s="9">
        <v>1</v>
      </c>
      <c r="U314" s="10" t="s">
        <v>150</v>
      </c>
      <c r="V314" s="10" t="s">
        <v>147</v>
      </c>
      <c r="W314" s="9"/>
      <c r="X314" s="9"/>
      <c r="Y314" s="9">
        <v>5</v>
      </c>
      <c r="Z314" s="19"/>
      <c r="AB314" s="9"/>
      <c r="AC314" s="9"/>
      <c r="AD314" s="9"/>
      <c r="AE314" s="9"/>
      <c r="AF314" s="9">
        <v>1</v>
      </c>
      <c r="AG314" s="9">
        <v>1</v>
      </c>
      <c r="AH314" s="9">
        <v>1</v>
      </c>
      <c r="AI314" s="9">
        <v>0</v>
      </c>
      <c r="AJ314" s="12">
        <v>42944</v>
      </c>
      <c r="AK314" s="9">
        <v>2</v>
      </c>
      <c r="AL314" s="12">
        <v>43315</v>
      </c>
      <c r="AM314" s="9">
        <v>3</v>
      </c>
      <c r="AN314" s="12">
        <v>43091</v>
      </c>
      <c r="AO314" s="12">
        <v>43320</v>
      </c>
      <c r="AP314" s="12">
        <v>43320</v>
      </c>
      <c r="AQ314" s="9">
        <v>1</v>
      </c>
      <c r="AR314" s="9">
        <f t="shared" si="99"/>
        <v>1</v>
      </c>
      <c r="AS314" s="9">
        <v>1</v>
      </c>
      <c r="AT314" s="9">
        <v>2</v>
      </c>
      <c r="AU314" s="9">
        <v>1</v>
      </c>
      <c r="AV314" s="9">
        <f t="shared" si="100"/>
        <v>0</v>
      </c>
      <c r="AW314" s="12">
        <v>43978</v>
      </c>
      <c r="AX314" s="9"/>
      <c r="AY314" s="9"/>
      <c r="AZ314" s="9"/>
      <c r="BA314" s="9">
        <v>5329.31884765625</v>
      </c>
      <c r="BB314" s="9">
        <v>1360.2166748046875</v>
      </c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10" t="s">
        <v>401</v>
      </c>
      <c r="CA314" s="9"/>
      <c r="CB314" s="9"/>
      <c r="CC314" s="10">
        <f t="shared" si="101"/>
        <v>3.9179925863072387</v>
      </c>
      <c r="CF314" s="10">
        <f t="shared" si="115"/>
        <v>1</v>
      </c>
      <c r="CG314" s="10">
        <f t="shared" si="96"/>
        <v>0</v>
      </c>
      <c r="CH314" s="10">
        <f t="shared" si="97"/>
        <v>13</v>
      </c>
      <c r="CI314" s="9">
        <f t="shared" si="103"/>
        <v>0</v>
      </c>
      <c r="CJ314" s="10">
        <f t="shared" si="98"/>
        <v>34</v>
      </c>
      <c r="CK314" s="10" t="b">
        <f t="shared" si="104"/>
        <v>1</v>
      </c>
      <c r="CL314" s="10" t="b">
        <f t="shared" si="105"/>
        <v>1</v>
      </c>
      <c r="CM314" s="10" t="b">
        <f t="shared" si="106"/>
        <v>1</v>
      </c>
      <c r="CN314" s="9">
        <f t="shared" si="107"/>
        <v>1</v>
      </c>
      <c r="CO314" s="10">
        <f t="shared" si="117"/>
        <v>13</v>
      </c>
      <c r="CP314" s="10" t="b">
        <f t="shared" si="108"/>
        <v>1</v>
      </c>
      <c r="CQ314" s="10" t="b">
        <f t="shared" si="109"/>
        <v>1</v>
      </c>
      <c r="CR314" s="10" cm="1">
        <f t="array" ref="CR314">_xlfn.IFS(AND($CI314=0, CK314=FALSE), NA(), AND($CI314=1, CK314=FALSE), 0, CK314=TRUE, 1)</f>
        <v>1</v>
      </c>
      <c r="CS314" s="10" cm="1">
        <f t="array" ref="CS314">_xlfn.IFS(AND($CI314=0, CL314=FALSE), NA(), AND($CI314=1, CL314=FALSE), 0, CL314=TRUE, 1)</f>
        <v>1</v>
      </c>
      <c r="CT314" s="10" cm="1">
        <f t="array" ref="CT314">_xlfn.IFS(AND($CI314=0, CM314=FALSE), NA(), AND($CI314=1, CM314=FALSE), 0, CM314=TRUE, 1)</f>
        <v>1</v>
      </c>
      <c r="CU314" s="10" cm="1">
        <f t="array" ref="CU314">_xlfn.IFS(AND($CN314=0, CP314=FALSE), NA(), AND($CN314=1, CP314=FALSE), 0, CP314=TRUE, 1)</f>
        <v>1</v>
      </c>
      <c r="CV314" s="10" cm="1">
        <f t="array" ref="CV314">_xlfn.IFS(AND($CN314=0, CQ314=FALSE), NA(), AND($CN314=1, CQ314=FALSE), 0, CQ314=TRUE, 1)</f>
        <v>1</v>
      </c>
    </row>
    <row r="315" spans="1:100" ht="15.75" x14ac:dyDescent="0.25">
      <c r="A315" s="8">
        <v>314</v>
      </c>
      <c r="B315" s="9">
        <v>540</v>
      </c>
      <c r="C315" s="10" t="s">
        <v>34</v>
      </c>
      <c r="D315" s="11" t="s">
        <v>64</v>
      </c>
      <c r="E315" s="12">
        <v>25554</v>
      </c>
      <c r="F315" s="13">
        <v>1</v>
      </c>
      <c r="G315" s="9">
        <v>44.928131103515625</v>
      </c>
      <c r="H315" s="12">
        <v>41964</v>
      </c>
      <c r="I315" s="9">
        <v>1</v>
      </c>
      <c r="J315" s="12">
        <v>41964</v>
      </c>
      <c r="K315" s="9">
        <v>0</v>
      </c>
      <c r="L315" s="9">
        <v>1</v>
      </c>
      <c r="M315" s="10" t="s">
        <v>401</v>
      </c>
      <c r="N315" s="9">
        <v>2</v>
      </c>
      <c r="O315" s="10" t="s">
        <v>145</v>
      </c>
      <c r="P315" s="9">
        <v>2</v>
      </c>
      <c r="Q315" s="10" t="s">
        <v>145</v>
      </c>
      <c r="R315" s="12">
        <v>42193</v>
      </c>
      <c r="S315" s="10" t="s">
        <v>145</v>
      </c>
      <c r="T315" s="9">
        <v>4</v>
      </c>
      <c r="U315" s="10" t="s">
        <v>401</v>
      </c>
      <c r="V315" s="10" t="s">
        <v>401</v>
      </c>
      <c r="W315" s="9"/>
      <c r="X315" s="9"/>
      <c r="Y315" s="9">
        <v>3</v>
      </c>
      <c r="Z315" s="14">
        <v>1</v>
      </c>
      <c r="AA315" s="17">
        <v>14.1</v>
      </c>
      <c r="AB315" s="18">
        <v>99</v>
      </c>
      <c r="AC315" s="18">
        <v>16</v>
      </c>
      <c r="AD315" s="9">
        <v>2</v>
      </c>
      <c r="AE315" s="9">
        <v>2</v>
      </c>
      <c r="AF315" s="9">
        <v>1</v>
      </c>
      <c r="AG315" s="9">
        <v>1</v>
      </c>
      <c r="AH315" s="9">
        <v>1</v>
      </c>
      <c r="AI315" s="9">
        <v>0</v>
      </c>
      <c r="AJ315" s="12">
        <v>43679</v>
      </c>
      <c r="AK315" s="9">
        <v>2</v>
      </c>
      <c r="AL315" s="12">
        <v>43763</v>
      </c>
      <c r="AM315" s="9">
        <v>4</v>
      </c>
      <c r="AN315" s="12">
        <v>43766</v>
      </c>
      <c r="AO315" s="12">
        <v>43766</v>
      </c>
      <c r="AP315" s="12">
        <v>43766</v>
      </c>
      <c r="AQ315" s="9">
        <v>1</v>
      </c>
      <c r="AR315" s="9">
        <f t="shared" si="99"/>
        <v>1</v>
      </c>
      <c r="AS315" s="9">
        <v>1</v>
      </c>
      <c r="AT315" s="9">
        <v>2</v>
      </c>
      <c r="AU315" s="9">
        <v>2</v>
      </c>
      <c r="AV315" s="9">
        <f t="shared" si="100"/>
        <v>1</v>
      </c>
      <c r="AW315" s="12">
        <v>44321</v>
      </c>
      <c r="AX315" s="9">
        <v>6420</v>
      </c>
      <c r="AY315" s="9">
        <v>4220</v>
      </c>
      <c r="AZ315" s="9">
        <v>1430</v>
      </c>
      <c r="BA315" s="9">
        <v>4220</v>
      </c>
      <c r="BB315" s="9">
        <v>1429.9996337890625</v>
      </c>
      <c r="BC315" s="9">
        <v>373000</v>
      </c>
      <c r="BD315" s="9">
        <v>620</v>
      </c>
      <c r="BE315" s="9">
        <v>70</v>
      </c>
      <c r="BF315" s="9">
        <v>265</v>
      </c>
      <c r="BG315" s="9">
        <v>7070</v>
      </c>
      <c r="BH315" s="9">
        <v>4900</v>
      </c>
      <c r="BI315" s="9">
        <v>1200</v>
      </c>
      <c r="BJ315" s="9">
        <v>348000</v>
      </c>
      <c r="BK315" s="9">
        <v>740</v>
      </c>
      <c r="BL315" s="9">
        <v>160</v>
      </c>
      <c r="BM315" s="9">
        <v>254</v>
      </c>
      <c r="BN315" s="9">
        <v>8200</v>
      </c>
      <c r="BO315" s="9">
        <v>6080</v>
      </c>
      <c r="BP315" s="9">
        <v>1180</v>
      </c>
      <c r="BQ315" s="9">
        <v>460000</v>
      </c>
      <c r="BR315" s="9">
        <v>730</v>
      </c>
      <c r="BS315" s="9">
        <v>160</v>
      </c>
      <c r="BT315" s="9"/>
      <c r="BU315" s="9">
        <v>7480</v>
      </c>
      <c r="BV315" s="9">
        <v>5220</v>
      </c>
      <c r="BW315" s="9">
        <v>1280</v>
      </c>
      <c r="BX315" s="9">
        <v>360000</v>
      </c>
      <c r="BY315" s="9">
        <v>700</v>
      </c>
      <c r="BZ315" s="10" t="s">
        <v>560</v>
      </c>
      <c r="CA315" s="9">
        <v>170</v>
      </c>
      <c r="CB315" s="9"/>
      <c r="CC315" s="10">
        <f t="shared" si="101"/>
        <v>2.951049706787888</v>
      </c>
      <c r="CD315" s="10">
        <f t="shared" si="102"/>
        <v>260.83922763788678</v>
      </c>
      <c r="CE315" s="10">
        <f t="shared" ref="CE315:CE316" si="118">BC315*CC315</f>
        <v>1100741.5406318821</v>
      </c>
      <c r="CF315" s="10">
        <f t="shared" si="115"/>
        <v>0</v>
      </c>
      <c r="CG315" s="10">
        <f t="shared" si="96"/>
        <v>0</v>
      </c>
      <c r="CH315" s="10">
        <f t="shared" si="97"/>
        <v>2</v>
      </c>
      <c r="CI315" s="9">
        <f t="shared" si="103"/>
        <v>1</v>
      </c>
      <c r="CJ315" s="10">
        <f t="shared" si="98"/>
        <v>21</v>
      </c>
      <c r="CK315" s="10" t="b">
        <f t="shared" si="104"/>
        <v>1</v>
      </c>
      <c r="CL315" s="10" t="b">
        <f t="shared" si="105"/>
        <v>1</v>
      </c>
      <c r="CM315" s="10" t="b">
        <f t="shared" si="106"/>
        <v>0</v>
      </c>
      <c r="CN315" s="9">
        <f t="shared" si="107"/>
        <v>1</v>
      </c>
      <c r="CO315" s="10">
        <f t="shared" si="117"/>
        <v>2</v>
      </c>
      <c r="CP315" s="10" t="b">
        <f t="shared" si="108"/>
        <v>0</v>
      </c>
      <c r="CQ315" s="10" t="b">
        <f t="shared" si="109"/>
        <v>0</v>
      </c>
      <c r="CR315" s="10" cm="1">
        <f t="array" ref="CR315">_xlfn.IFS(AND($CI315=0, CK315=FALSE), NA(), AND($CI315=1, CK315=FALSE), 0, CK315=TRUE, 1)</f>
        <v>1</v>
      </c>
      <c r="CS315" s="10" cm="1">
        <f t="array" ref="CS315">_xlfn.IFS(AND($CI315=0, CL315=FALSE), NA(), AND($CI315=1, CL315=FALSE), 0, CL315=TRUE, 1)</f>
        <v>1</v>
      </c>
      <c r="CT315" s="10" cm="1">
        <f t="array" ref="CT315">_xlfn.IFS(AND($CI315=0, CM315=FALSE), NA(), AND($CI315=1, CM315=FALSE), 0, CM315=TRUE, 1)</f>
        <v>0</v>
      </c>
      <c r="CU315" s="10" cm="1">
        <f t="array" ref="CU315">_xlfn.IFS(AND($CN315=0, CP315=FALSE), NA(), AND($CN315=1, CP315=FALSE), 0, CP315=TRUE, 1)</f>
        <v>0</v>
      </c>
      <c r="CV315" s="10" cm="1">
        <f t="array" ref="CV315">_xlfn.IFS(AND($CN315=0, CQ315=FALSE), NA(), AND($CN315=1, CQ315=FALSE), 0, CQ315=TRUE, 1)</f>
        <v>0</v>
      </c>
    </row>
    <row r="316" spans="1:100" ht="15.75" x14ac:dyDescent="0.25">
      <c r="A316" s="8">
        <v>315</v>
      </c>
      <c r="B316" s="9">
        <v>413</v>
      </c>
      <c r="C316" s="10" t="s">
        <v>29</v>
      </c>
      <c r="D316" s="11" t="s">
        <v>326</v>
      </c>
      <c r="E316" s="12">
        <v>15219</v>
      </c>
      <c r="F316" s="13">
        <v>2</v>
      </c>
      <c r="G316" s="9">
        <v>73.275840759277344</v>
      </c>
      <c r="H316" s="12">
        <v>41983</v>
      </c>
      <c r="I316" s="9">
        <v>1</v>
      </c>
      <c r="J316" s="12">
        <v>41983</v>
      </c>
      <c r="K316" s="9">
        <v>0</v>
      </c>
      <c r="L316" s="9">
        <v>1</v>
      </c>
      <c r="M316" s="10" t="s">
        <v>401</v>
      </c>
      <c r="N316" s="9">
        <v>1</v>
      </c>
      <c r="O316" s="10" t="s">
        <v>401</v>
      </c>
      <c r="P316" s="9">
        <v>1</v>
      </c>
      <c r="Q316" s="10" t="s">
        <v>401</v>
      </c>
      <c r="R316" s="12">
        <v>42472</v>
      </c>
      <c r="S316" s="10" t="s">
        <v>146</v>
      </c>
      <c r="T316" s="9"/>
      <c r="U316" s="10" t="s">
        <v>401</v>
      </c>
      <c r="V316" s="10" t="s">
        <v>401</v>
      </c>
      <c r="W316" s="9"/>
      <c r="X316" s="9"/>
      <c r="Y316" s="9">
        <v>2</v>
      </c>
      <c r="Z316" s="14">
        <v>2</v>
      </c>
      <c r="AA316" s="17">
        <v>10.199999999999999</v>
      </c>
      <c r="AB316" s="18">
        <v>82</v>
      </c>
      <c r="AC316" s="18">
        <v>18</v>
      </c>
      <c r="AD316" s="9">
        <v>2</v>
      </c>
      <c r="AE316" s="9">
        <v>2</v>
      </c>
      <c r="AF316" s="9">
        <v>1</v>
      </c>
      <c r="AG316" s="9">
        <v>0</v>
      </c>
      <c r="AH316" s="9">
        <v>0</v>
      </c>
      <c r="AI316" s="9">
        <v>1</v>
      </c>
      <c r="AJ316" s="12">
        <v>43131</v>
      </c>
      <c r="AK316" s="9">
        <v>2</v>
      </c>
      <c r="AL316" s="12">
        <v>43159</v>
      </c>
      <c r="AM316" s="9">
        <v>4</v>
      </c>
      <c r="AN316" s="12">
        <v>43181</v>
      </c>
      <c r="AO316" s="12">
        <v>43181</v>
      </c>
      <c r="AP316" s="12">
        <v>43181</v>
      </c>
      <c r="AQ316" s="9">
        <v>1</v>
      </c>
      <c r="AR316" s="9">
        <f t="shared" si="99"/>
        <v>1</v>
      </c>
      <c r="AS316" s="9">
        <v>1</v>
      </c>
      <c r="AT316" s="9">
        <v>2</v>
      </c>
      <c r="AU316" s="9">
        <v>2</v>
      </c>
      <c r="AV316" s="9">
        <f t="shared" si="100"/>
        <v>1</v>
      </c>
      <c r="AW316" s="12">
        <v>43238</v>
      </c>
      <c r="AX316" s="9">
        <v>5320</v>
      </c>
      <c r="AY316" s="9">
        <v>3480</v>
      </c>
      <c r="AZ316" s="9">
        <v>1090</v>
      </c>
      <c r="BA316" s="9">
        <v>3480</v>
      </c>
      <c r="BB316" s="9">
        <v>1090.000244140625</v>
      </c>
      <c r="BC316" s="9">
        <v>332000</v>
      </c>
      <c r="BD316" s="9">
        <v>710</v>
      </c>
      <c r="BE316" s="9">
        <v>30</v>
      </c>
      <c r="BF316" s="9"/>
      <c r="BG316" s="9">
        <v>5300</v>
      </c>
      <c r="BH316" s="9">
        <v>3100</v>
      </c>
      <c r="BI316" s="9">
        <v>1160</v>
      </c>
      <c r="BJ316" s="9">
        <v>329000</v>
      </c>
      <c r="BK316" s="9">
        <v>940</v>
      </c>
      <c r="BL316" s="9">
        <v>70</v>
      </c>
      <c r="BM316" s="9"/>
      <c r="BN316" s="9">
        <v>6690</v>
      </c>
      <c r="BO316" s="9">
        <v>4630</v>
      </c>
      <c r="BP316" s="9">
        <v>1130</v>
      </c>
      <c r="BQ316" s="9">
        <v>372000</v>
      </c>
      <c r="BR316" s="9">
        <v>880</v>
      </c>
      <c r="BS316" s="9">
        <v>30</v>
      </c>
      <c r="BT316" s="9"/>
      <c r="BU316" s="9"/>
      <c r="BV316" s="9"/>
      <c r="BW316" s="9"/>
      <c r="BX316" s="9"/>
      <c r="BY316" s="9"/>
      <c r="BZ316" s="10" t="s">
        <v>401</v>
      </c>
      <c r="CA316" s="9"/>
      <c r="CB316" s="9"/>
      <c r="CC316" s="10">
        <f t="shared" si="101"/>
        <v>3.1926598353596627</v>
      </c>
      <c r="CD316" s="10">
        <f t="shared" si="102"/>
        <v>304.58708774120919</v>
      </c>
      <c r="CE316" s="10">
        <f t="shared" si="118"/>
        <v>1059963.0653394081</v>
      </c>
      <c r="CF316" s="10">
        <f t="shared" si="115"/>
        <v>0</v>
      </c>
      <c r="CG316" s="10">
        <f t="shared" si="96"/>
        <v>0</v>
      </c>
      <c r="CH316" s="10">
        <f t="shared" si="97"/>
        <v>1</v>
      </c>
      <c r="CI316" s="9">
        <f t="shared" si="103"/>
        <v>1</v>
      </c>
      <c r="CJ316" s="10">
        <f t="shared" si="98"/>
        <v>4</v>
      </c>
      <c r="CK316" s="10" t="b">
        <f t="shared" si="104"/>
        <v>0</v>
      </c>
      <c r="CL316" s="10" t="b">
        <f t="shared" si="105"/>
        <v>0</v>
      </c>
      <c r="CM316" s="10" t="b">
        <f t="shared" si="106"/>
        <v>0</v>
      </c>
      <c r="CN316" s="9">
        <f t="shared" si="107"/>
        <v>1</v>
      </c>
      <c r="CO316" s="10">
        <f t="shared" si="117"/>
        <v>2</v>
      </c>
      <c r="CP316" s="10" t="b">
        <f t="shared" si="108"/>
        <v>0</v>
      </c>
      <c r="CQ316" s="10" t="b">
        <f t="shared" si="109"/>
        <v>0</v>
      </c>
      <c r="CR316" s="10" cm="1">
        <f t="array" ref="CR316">_xlfn.IFS(AND($CI316=0, CK316=FALSE), NA(), AND($CI316=1, CK316=FALSE), 0, CK316=TRUE, 1)</f>
        <v>0</v>
      </c>
      <c r="CS316" s="10" cm="1">
        <f t="array" ref="CS316">_xlfn.IFS(AND($CI316=0, CL316=FALSE), NA(), AND($CI316=1, CL316=FALSE), 0, CL316=TRUE, 1)</f>
        <v>0</v>
      </c>
      <c r="CT316" s="10" cm="1">
        <f t="array" ref="CT316">_xlfn.IFS(AND($CI316=0, CM316=FALSE), NA(), AND($CI316=1, CM316=FALSE), 0, CM316=TRUE, 1)</f>
        <v>0</v>
      </c>
      <c r="CU316" s="10" cm="1">
        <f t="array" ref="CU316">_xlfn.IFS(AND($CN316=0, CP316=FALSE), NA(), AND($CN316=1, CP316=FALSE), 0, CP316=TRUE, 1)</f>
        <v>0</v>
      </c>
      <c r="CV316" s="10" cm="1">
        <f t="array" ref="CV316">_xlfn.IFS(AND($CN316=0, CQ316=FALSE), NA(), AND($CN316=1, CQ316=FALSE), 0, CQ316=TRUE, 1)</f>
        <v>0</v>
      </c>
    </row>
    <row r="317" spans="1:100" ht="15.75" x14ac:dyDescent="0.25">
      <c r="A317" s="8">
        <v>316</v>
      </c>
      <c r="B317" s="9">
        <v>513</v>
      </c>
      <c r="C317" s="10" t="s">
        <v>33</v>
      </c>
      <c r="D317" s="11" t="s">
        <v>44</v>
      </c>
      <c r="E317" s="12">
        <v>19046</v>
      </c>
      <c r="F317" s="13">
        <v>1</v>
      </c>
      <c r="G317" s="9">
        <v>62.800823211669922</v>
      </c>
      <c r="H317" s="12">
        <v>41984</v>
      </c>
      <c r="I317" s="9">
        <v>1</v>
      </c>
      <c r="J317" s="12">
        <v>42073</v>
      </c>
      <c r="K317" s="9">
        <v>0</v>
      </c>
      <c r="L317" s="9">
        <v>1</v>
      </c>
      <c r="M317" s="10" t="s">
        <v>401</v>
      </c>
      <c r="N317" s="9">
        <v>1</v>
      </c>
      <c r="O317" s="10" t="s">
        <v>401</v>
      </c>
      <c r="P317" s="9">
        <v>1</v>
      </c>
      <c r="Q317" s="10" t="s">
        <v>401</v>
      </c>
      <c r="R317" s="12">
        <v>43041</v>
      </c>
      <c r="S317" s="10" t="s">
        <v>145</v>
      </c>
      <c r="T317" s="9"/>
      <c r="U317" s="10" t="s">
        <v>401</v>
      </c>
      <c r="V317" s="10" t="s">
        <v>401</v>
      </c>
      <c r="W317" s="9"/>
      <c r="X317" s="9"/>
      <c r="Y317" s="9">
        <v>2</v>
      </c>
      <c r="Z317" s="14">
        <v>1</v>
      </c>
      <c r="AA317" s="17">
        <v>13.3</v>
      </c>
      <c r="AB317" s="18">
        <v>87</v>
      </c>
      <c r="AC317" s="18">
        <v>13</v>
      </c>
      <c r="AD317" s="9">
        <v>1</v>
      </c>
      <c r="AE317" s="9">
        <v>1</v>
      </c>
      <c r="AF317" s="9">
        <v>1</v>
      </c>
      <c r="AG317" s="9">
        <v>0</v>
      </c>
      <c r="AH317" s="9">
        <v>1</v>
      </c>
      <c r="AI317" s="9">
        <v>0</v>
      </c>
      <c r="AJ317" s="12">
        <v>43196</v>
      </c>
      <c r="AK317" s="9">
        <v>2</v>
      </c>
      <c r="AL317" s="12">
        <v>44866</v>
      </c>
      <c r="AM317" s="9">
        <v>3</v>
      </c>
      <c r="AN317" s="12">
        <v>43363</v>
      </c>
      <c r="AO317" s="12">
        <v>44866</v>
      </c>
      <c r="AP317" s="12">
        <v>44866</v>
      </c>
      <c r="AQ317" s="9">
        <v>1</v>
      </c>
      <c r="AR317" s="9">
        <f t="shared" si="99"/>
        <v>1</v>
      </c>
      <c r="AS317" s="9">
        <v>1</v>
      </c>
      <c r="AT317" s="9">
        <v>2</v>
      </c>
      <c r="AU317" s="9">
        <v>1</v>
      </c>
      <c r="AV317" s="9">
        <f t="shared" si="100"/>
        <v>0</v>
      </c>
      <c r="AW317" s="12">
        <v>45005</v>
      </c>
      <c r="AX317" s="9"/>
      <c r="AY317" s="9"/>
      <c r="AZ317" s="9"/>
      <c r="BA317" s="9">
        <v>2845.510009765625</v>
      </c>
      <c r="BB317" s="9">
        <v>1354.343994140625</v>
      </c>
      <c r="BC317" s="9"/>
      <c r="BD317" s="9"/>
      <c r="BE317" s="9"/>
      <c r="BF317" s="9"/>
      <c r="BG317" s="9">
        <v>6600</v>
      </c>
      <c r="BH317" s="9">
        <v>4100</v>
      </c>
      <c r="BI317" s="9">
        <v>1700</v>
      </c>
      <c r="BJ317" s="9">
        <v>189000</v>
      </c>
      <c r="BK317" s="9">
        <v>500</v>
      </c>
      <c r="BL317" s="9">
        <v>300</v>
      </c>
      <c r="BM317" s="9">
        <v>165</v>
      </c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10" t="s">
        <v>401</v>
      </c>
      <c r="CA317" s="9"/>
      <c r="CB317" s="9"/>
      <c r="CC317" s="10">
        <f t="shared" si="101"/>
        <v>2.1010245713617191</v>
      </c>
      <c r="CF317" s="10">
        <f t="shared" si="115"/>
        <v>1</v>
      </c>
      <c r="CG317" s="10">
        <f t="shared" si="96"/>
        <v>0</v>
      </c>
      <c r="CH317" s="10">
        <f t="shared" si="97"/>
        <v>55</v>
      </c>
      <c r="CI317" s="9">
        <f t="shared" si="103"/>
        <v>0</v>
      </c>
      <c r="CJ317" s="10">
        <f t="shared" si="98"/>
        <v>59</v>
      </c>
      <c r="CK317" s="10" t="b">
        <f t="shared" si="104"/>
        <v>1</v>
      </c>
      <c r="CL317" s="10" t="b">
        <f t="shared" si="105"/>
        <v>1</v>
      </c>
      <c r="CM317" s="10" t="b">
        <f t="shared" si="106"/>
        <v>1</v>
      </c>
      <c r="CN317" s="9">
        <f t="shared" si="107"/>
        <v>1</v>
      </c>
      <c r="CO317" s="10">
        <f t="shared" si="117"/>
        <v>55</v>
      </c>
      <c r="CP317" s="10" t="b">
        <f t="shared" si="108"/>
        <v>1</v>
      </c>
      <c r="CQ317" s="10" t="b">
        <f t="shared" si="109"/>
        <v>1</v>
      </c>
      <c r="CR317" s="10" cm="1">
        <f t="array" ref="CR317">_xlfn.IFS(AND($CI317=0, CK317=FALSE), NA(), AND($CI317=1, CK317=FALSE), 0, CK317=TRUE, 1)</f>
        <v>1</v>
      </c>
      <c r="CS317" s="10" cm="1">
        <f t="array" ref="CS317">_xlfn.IFS(AND($CI317=0, CL317=FALSE), NA(), AND($CI317=1, CL317=FALSE), 0, CL317=TRUE, 1)</f>
        <v>1</v>
      </c>
      <c r="CT317" s="10" cm="1">
        <f t="array" ref="CT317">_xlfn.IFS(AND($CI317=0, CM317=FALSE), NA(), AND($CI317=1, CM317=FALSE), 0, CM317=TRUE, 1)</f>
        <v>1</v>
      </c>
      <c r="CU317" s="10" cm="1">
        <f t="array" ref="CU317">_xlfn.IFS(AND($CN317=0, CP317=FALSE), NA(), AND($CN317=1, CP317=FALSE), 0, CP317=TRUE, 1)</f>
        <v>1</v>
      </c>
      <c r="CV317" s="10" cm="1">
        <f t="array" ref="CV317">_xlfn.IFS(AND($CN317=0, CQ317=FALSE), NA(), AND($CN317=1, CQ317=FALSE), 0, CQ317=TRUE, 1)</f>
        <v>1</v>
      </c>
    </row>
    <row r="318" spans="1:100" ht="15.75" x14ac:dyDescent="0.25">
      <c r="A318" s="8">
        <v>317</v>
      </c>
      <c r="B318" s="9">
        <v>505</v>
      </c>
      <c r="C318" s="10" t="s">
        <v>33</v>
      </c>
      <c r="D318" s="11" t="s">
        <v>188</v>
      </c>
      <c r="E318" s="12">
        <v>20288</v>
      </c>
      <c r="F318" s="13">
        <v>1</v>
      </c>
      <c r="G318" s="9">
        <v>59.414100646972656</v>
      </c>
      <c r="H318" s="12">
        <v>41989</v>
      </c>
      <c r="I318" s="9">
        <v>1</v>
      </c>
      <c r="J318" s="12">
        <v>42019</v>
      </c>
      <c r="K318" s="9">
        <v>0</v>
      </c>
      <c r="L318" s="9">
        <v>1</v>
      </c>
      <c r="M318" s="10" t="s">
        <v>401</v>
      </c>
      <c r="N318" s="9">
        <v>1</v>
      </c>
      <c r="O318" s="10" t="s">
        <v>401</v>
      </c>
      <c r="P318" s="9">
        <v>1</v>
      </c>
      <c r="Q318" s="10" t="s">
        <v>401</v>
      </c>
      <c r="R318" s="12">
        <v>42526</v>
      </c>
      <c r="S318" s="10" t="s">
        <v>145</v>
      </c>
      <c r="T318" s="9"/>
      <c r="U318" s="10" t="s">
        <v>401</v>
      </c>
      <c r="V318" s="10" t="s">
        <v>401</v>
      </c>
      <c r="W318" s="9"/>
      <c r="X318" s="9"/>
      <c r="Y318" s="9">
        <v>2</v>
      </c>
      <c r="Z318" s="14">
        <v>1</v>
      </c>
      <c r="AA318" s="17">
        <v>11.2</v>
      </c>
      <c r="AB318" s="18">
        <v>98</v>
      </c>
      <c r="AC318" s="18">
        <v>15</v>
      </c>
      <c r="AD318" s="9">
        <v>2</v>
      </c>
      <c r="AE318" s="9">
        <v>2</v>
      </c>
      <c r="AF318" s="9">
        <v>1</v>
      </c>
      <c r="AG318" s="9">
        <v>1</v>
      </c>
      <c r="AH318" s="9">
        <v>1</v>
      </c>
      <c r="AI318" s="9">
        <v>0</v>
      </c>
      <c r="AJ318" s="12">
        <v>43480</v>
      </c>
      <c r="AK318" s="9">
        <v>2</v>
      </c>
      <c r="AL318" s="12">
        <v>44818</v>
      </c>
      <c r="AM318" s="9">
        <v>1</v>
      </c>
      <c r="AN318" s="12">
        <v>43811</v>
      </c>
      <c r="AO318" s="12"/>
      <c r="AP318" s="12"/>
      <c r="AQ318" s="9">
        <v>2</v>
      </c>
      <c r="AR318" s="9">
        <f t="shared" si="99"/>
        <v>0</v>
      </c>
      <c r="AS318" s="9">
        <v>2</v>
      </c>
      <c r="AT318" s="9"/>
      <c r="AU318" s="9">
        <v>1</v>
      </c>
      <c r="AV318" s="9">
        <f t="shared" si="100"/>
        <v>0</v>
      </c>
      <c r="AW318" s="12">
        <v>44956</v>
      </c>
      <c r="AX318" s="9">
        <v>4640</v>
      </c>
      <c r="AY318" s="9">
        <v>2950</v>
      </c>
      <c r="AZ318" s="9">
        <v>1110</v>
      </c>
      <c r="BA318" s="9">
        <v>2950</v>
      </c>
      <c r="BB318" s="9">
        <v>1110.000244140625</v>
      </c>
      <c r="BC318" s="9">
        <v>158000</v>
      </c>
      <c r="BD318" s="9">
        <v>480</v>
      </c>
      <c r="BE318" s="9">
        <v>70</v>
      </c>
      <c r="BF318" s="9"/>
      <c r="BG318" s="9"/>
      <c r="BH318" s="9"/>
      <c r="BI318" s="9"/>
      <c r="BJ318" s="9"/>
      <c r="BK318" s="9"/>
      <c r="BL318" s="9"/>
      <c r="BM318" s="9"/>
      <c r="BN318" s="9">
        <v>5630</v>
      </c>
      <c r="BO318" s="9">
        <v>3710</v>
      </c>
      <c r="BP318" s="9">
        <v>1230</v>
      </c>
      <c r="BQ318" s="9">
        <v>157000</v>
      </c>
      <c r="BR318" s="9">
        <v>510</v>
      </c>
      <c r="BS318" s="9">
        <v>120</v>
      </c>
      <c r="BT318" s="9"/>
      <c r="BU318" s="9"/>
      <c r="BV318" s="9"/>
      <c r="BW318" s="9"/>
      <c r="BX318" s="9"/>
      <c r="BY318" s="9"/>
      <c r="BZ318" s="10" t="s">
        <v>401</v>
      </c>
      <c r="CA318" s="9"/>
      <c r="CB318" s="9"/>
      <c r="CC318" s="10">
        <f t="shared" si="101"/>
        <v>2.6576570731152622</v>
      </c>
      <c r="CD318" s="10">
        <f t="shared" si="102"/>
        <v>142.34231103464793</v>
      </c>
      <c r="CE318" s="10">
        <f t="shared" ref="CE318:CE347" si="119">BC318*CC318</f>
        <v>419909.8175522114</v>
      </c>
      <c r="CF318" s="10">
        <f t="shared" si="115"/>
        <v>1</v>
      </c>
      <c r="CG318" s="10">
        <f t="shared" si="96"/>
        <v>1</v>
      </c>
      <c r="CH318" s="10">
        <f t="shared" si="97"/>
        <v>44</v>
      </c>
      <c r="CI318" s="9">
        <f t="shared" si="103"/>
        <v>0</v>
      </c>
      <c r="CJ318" s="10">
        <f t="shared" si="98"/>
        <v>48</v>
      </c>
      <c r="CK318" s="10" t="b">
        <f t="shared" si="104"/>
        <v>1</v>
      </c>
      <c r="CL318" s="10" t="b">
        <f t="shared" si="105"/>
        <v>1</v>
      </c>
      <c r="CM318" s="10" t="b">
        <f t="shared" si="106"/>
        <v>1</v>
      </c>
      <c r="CN318" s="9">
        <f t="shared" si="107"/>
        <v>0</v>
      </c>
      <c r="CO318" s="10">
        <f t="shared" ref="CO318:CO319" si="120">CJ318</f>
        <v>48</v>
      </c>
      <c r="CP318" s="10" t="b">
        <f t="shared" si="108"/>
        <v>1</v>
      </c>
      <c r="CQ318" s="10" t="b">
        <f t="shared" si="109"/>
        <v>1</v>
      </c>
      <c r="CR318" s="10" cm="1">
        <f t="array" ref="CR318">_xlfn.IFS(AND($CI318=0, CK318=FALSE), NA(), AND($CI318=1, CK318=FALSE), 0, CK318=TRUE, 1)</f>
        <v>1</v>
      </c>
      <c r="CS318" s="10" cm="1">
        <f t="array" ref="CS318">_xlfn.IFS(AND($CI318=0, CL318=FALSE), NA(), AND($CI318=1, CL318=FALSE), 0, CL318=TRUE, 1)</f>
        <v>1</v>
      </c>
      <c r="CT318" s="10" cm="1">
        <f t="array" ref="CT318">_xlfn.IFS(AND($CI318=0, CM318=FALSE), NA(), AND($CI318=1, CM318=FALSE), 0, CM318=TRUE, 1)</f>
        <v>1</v>
      </c>
      <c r="CU318" s="10" cm="1">
        <f t="array" ref="CU318">_xlfn.IFS(AND($CN318=0, CP318=FALSE), NA(), AND($CN318=1, CP318=FALSE), 0, CP318=TRUE, 1)</f>
        <v>1</v>
      </c>
      <c r="CV318" s="10" cm="1">
        <f t="array" ref="CV318">_xlfn.IFS(AND($CN318=0, CQ318=FALSE), NA(), AND($CN318=1, CQ318=FALSE), 0, CQ318=TRUE, 1)</f>
        <v>1</v>
      </c>
    </row>
    <row r="319" spans="1:100" ht="15.75" x14ac:dyDescent="0.25">
      <c r="A319" s="8">
        <v>318</v>
      </c>
      <c r="B319" s="9">
        <v>10</v>
      </c>
      <c r="C319" s="10" t="s">
        <v>3</v>
      </c>
      <c r="D319" s="11" t="s">
        <v>47</v>
      </c>
      <c r="E319" s="12">
        <v>14597</v>
      </c>
      <c r="F319" s="13">
        <v>1</v>
      </c>
      <c r="G319" s="9">
        <v>74.997947692871094</v>
      </c>
      <c r="H319" s="12">
        <v>41990</v>
      </c>
      <c r="I319" s="9">
        <v>1</v>
      </c>
      <c r="J319" s="12">
        <v>42186</v>
      </c>
      <c r="K319" s="9">
        <v>0</v>
      </c>
      <c r="L319" s="9">
        <v>1</v>
      </c>
      <c r="M319" s="10" t="s">
        <v>401</v>
      </c>
      <c r="N319" s="9">
        <v>2</v>
      </c>
      <c r="O319" s="10" t="s">
        <v>145</v>
      </c>
      <c r="P319" s="9">
        <v>2</v>
      </c>
      <c r="Q319" s="10" t="s">
        <v>145</v>
      </c>
      <c r="R319" s="12">
        <v>42186</v>
      </c>
      <c r="S319" s="10" t="s">
        <v>145</v>
      </c>
      <c r="T319" s="9"/>
      <c r="U319" s="10" t="s">
        <v>401</v>
      </c>
      <c r="V319" s="10" t="s">
        <v>401</v>
      </c>
      <c r="W319" s="9"/>
      <c r="X319" s="9"/>
      <c r="Y319" s="9">
        <v>2</v>
      </c>
      <c r="Z319" s="14">
        <v>1</v>
      </c>
      <c r="AA319" s="15">
        <v>12.6</v>
      </c>
      <c r="AB319" s="16">
        <v>11.5</v>
      </c>
      <c r="AC319" s="9"/>
      <c r="AD319" s="9">
        <v>2</v>
      </c>
      <c r="AE319" s="9">
        <v>2</v>
      </c>
      <c r="AF319" s="9">
        <v>1</v>
      </c>
      <c r="AG319" s="9">
        <v>0</v>
      </c>
      <c r="AH319" s="9">
        <v>1</v>
      </c>
      <c r="AI319" s="9">
        <v>0</v>
      </c>
      <c r="AJ319" s="12">
        <v>43539</v>
      </c>
      <c r="AK319" s="9">
        <v>2</v>
      </c>
      <c r="AL319" s="12">
        <v>43875</v>
      </c>
      <c r="AM319" s="9">
        <v>2</v>
      </c>
      <c r="AN319" s="12">
        <v>43661</v>
      </c>
      <c r="AO319" s="12"/>
      <c r="AP319" s="12"/>
      <c r="AQ319" s="9">
        <v>2</v>
      </c>
      <c r="AR319" s="9">
        <f t="shared" si="99"/>
        <v>0</v>
      </c>
      <c r="AS319" s="9">
        <v>2</v>
      </c>
      <c r="AT319" s="9"/>
      <c r="AU319" s="9">
        <v>1</v>
      </c>
      <c r="AV319" s="9">
        <f t="shared" si="100"/>
        <v>0</v>
      </c>
      <c r="AW319" s="12">
        <v>43941</v>
      </c>
      <c r="AX319" s="9">
        <v>6700</v>
      </c>
      <c r="AY319" s="9">
        <v>4130</v>
      </c>
      <c r="AZ319" s="9">
        <v>1820</v>
      </c>
      <c r="BA319" s="9">
        <v>4130</v>
      </c>
      <c r="BB319" s="9">
        <v>1820</v>
      </c>
      <c r="BC319" s="9">
        <v>177000</v>
      </c>
      <c r="BD319" s="9">
        <v>690</v>
      </c>
      <c r="BE319" s="9">
        <v>40</v>
      </c>
      <c r="BF319" s="9"/>
      <c r="BG319" s="9">
        <v>10140</v>
      </c>
      <c r="BH319" s="9">
        <v>7060</v>
      </c>
      <c r="BI319" s="9">
        <v>1888</v>
      </c>
      <c r="BJ319" s="9">
        <v>228000</v>
      </c>
      <c r="BK319" s="9">
        <v>1090</v>
      </c>
      <c r="BL319" s="9">
        <v>100</v>
      </c>
      <c r="BM319" s="9"/>
      <c r="BN319" s="9">
        <v>7650</v>
      </c>
      <c r="BO319" s="9">
        <v>5300</v>
      </c>
      <c r="BP319" s="9">
        <v>1490</v>
      </c>
      <c r="BQ319" s="9">
        <v>186000</v>
      </c>
      <c r="BR319" s="9">
        <v>720</v>
      </c>
      <c r="BS319" s="9">
        <v>130</v>
      </c>
      <c r="BT319" s="9"/>
      <c r="BU319" s="9">
        <v>6990</v>
      </c>
      <c r="BV319" s="9">
        <v>4180</v>
      </c>
      <c r="BW319" s="9">
        <v>1840</v>
      </c>
      <c r="BX319" s="9">
        <v>182000</v>
      </c>
      <c r="BY319" s="9">
        <v>710</v>
      </c>
      <c r="BZ319" s="10" t="s">
        <v>550</v>
      </c>
      <c r="CA319" s="9">
        <v>240</v>
      </c>
      <c r="CB319" s="9"/>
      <c r="CC319" s="10">
        <f t="shared" si="101"/>
        <v>2.2692307692307692</v>
      </c>
      <c r="CD319" s="10">
        <f t="shared" si="102"/>
        <v>97.252747252747255</v>
      </c>
      <c r="CE319" s="10">
        <f t="shared" si="119"/>
        <v>401653.84615384613</v>
      </c>
      <c r="CF319" s="10">
        <f t="shared" si="115"/>
        <v>1</v>
      </c>
      <c r="CG319" s="10">
        <f t="shared" si="96"/>
        <v>1</v>
      </c>
      <c r="CH319" s="10">
        <f t="shared" si="97"/>
        <v>11</v>
      </c>
      <c r="CI319" s="9">
        <f t="shared" si="103"/>
        <v>0</v>
      </c>
      <c r="CJ319" s="10">
        <f t="shared" si="98"/>
        <v>13</v>
      </c>
      <c r="CK319" s="10" t="b">
        <f t="shared" si="104"/>
        <v>1</v>
      </c>
      <c r="CL319" s="10" t="b">
        <f t="shared" si="105"/>
        <v>0</v>
      </c>
      <c r="CM319" s="10" t="b">
        <f t="shared" si="106"/>
        <v>0</v>
      </c>
      <c r="CN319" s="9">
        <f t="shared" si="107"/>
        <v>0</v>
      </c>
      <c r="CO319" s="10">
        <f t="shared" si="120"/>
        <v>13</v>
      </c>
      <c r="CP319" s="10" t="b">
        <f t="shared" si="108"/>
        <v>1</v>
      </c>
      <c r="CQ319" s="10" t="b">
        <f t="shared" si="109"/>
        <v>1</v>
      </c>
      <c r="CR319" s="10" cm="1">
        <f t="array" ref="CR319">_xlfn.IFS(AND($CI319=0, CK319=FALSE), NA(), AND($CI319=1, CK319=FALSE), 0, CK319=TRUE, 1)</f>
        <v>1</v>
      </c>
      <c r="CS319" s="10" t="e" cm="1">
        <f t="array" ref="CS319">_xlfn.IFS(AND($CI319=0, CL319=FALSE), NA(), AND($CI319=1, CL319=FALSE), 0, CL319=TRUE, 1)</f>
        <v>#N/A</v>
      </c>
      <c r="CT319" s="10" t="e" cm="1">
        <f t="array" ref="CT319">_xlfn.IFS(AND($CI319=0, CM319=FALSE), NA(), AND($CI319=1, CM319=FALSE), 0, CM319=TRUE, 1)</f>
        <v>#N/A</v>
      </c>
      <c r="CU319" s="10" cm="1">
        <f t="array" ref="CU319">_xlfn.IFS(AND($CN319=0, CP319=FALSE), NA(), AND($CN319=1, CP319=FALSE), 0, CP319=TRUE, 1)</f>
        <v>1</v>
      </c>
      <c r="CV319" s="10" cm="1">
        <f t="array" ref="CV319">_xlfn.IFS(AND($CN319=0, CQ319=FALSE), NA(), AND($CN319=1, CQ319=FALSE), 0, CQ319=TRUE, 1)</f>
        <v>1</v>
      </c>
    </row>
    <row r="320" spans="1:100" ht="15.75" x14ac:dyDescent="0.25">
      <c r="A320" s="8">
        <v>319</v>
      </c>
      <c r="B320" s="9">
        <v>250</v>
      </c>
      <c r="C320" s="10" t="s">
        <v>20</v>
      </c>
      <c r="D320" s="11" t="s">
        <v>46</v>
      </c>
      <c r="E320" s="12">
        <v>25810</v>
      </c>
      <c r="F320" s="13">
        <v>1</v>
      </c>
      <c r="G320" s="9">
        <v>44.314853668212891</v>
      </c>
      <c r="H320" s="12">
        <v>41996</v>
      </c>
      <c r="I320" s="9">
        <v>1</v>
      </c>
      <c r="J320" s="12">
        <v>42536</v>
      </c>
      <c r="K320" s="9">
        <v>1</v>
      </c>
      <c r="L320" s="9">
        <v>1</v>
      </c>
      <c r="M320" s="10" t="s">
        <v>401</v>
      </c>
      <c r="N320" s="9">
        <v>2</v>
      </c>
      <c r="O320" s="10" t="s">
        <v>409</v>
      </c>
      <c r="P320" s="9">
        <v>2</v>
      </c>
      <c r="Q320" s="10" t="s">
        <v>409</v>
      </c>
      <c r="R320" s="12">
        <v>41996</v>
      </c>
      <c r="S320" s="10">
        <v>1</v>
      </c>
      <c r="T320" s="9">
        <v>5</v>
      </c>
      <c r="U320" s="10">
        <v>4</v>
      </c>
      <c r="V320" s="10" t="s">
        <v>401</v>
      </c>
      <c r="W320" s="9"/>
      <c r="X320" s="9"/>
      <c r="Y320" s="9">
        <v>4</v>
      </c>
      <c r="Z320" s="14">
        <v>1</v>
      </c>
      <c r="AB320" s="9"/>
      <c r="AC320" s="9"/>
      <c r="AD320" s="9"/>
      <c r="AE320" s="9"/>
      <c r="AF320" s="9"/>
      <c r="AG320" s="9">
        <v>1</v>
      </c>
      <c r="AH320" s="9">
        <v>1</v>
      </c>
      <c r="AI320" s="9">
        <v>1</v>
      </c>
      <c r="AJ320" s="12">
        <v>43542</v>
      </c>
      <c r="AK320" s="9">
        <v>2</v>
      </c>
      <c r="AL320" s="12">
        <v>43742</v>
      </c>
      <c r="AM320" s="9">
        <v>2</v>
      </c>
      <c r="AN320" s="12">
        <v>43641</v>
      </c>
      <c r="AO320" s="12">
        <v>43742</v>
      </c>
      <c r="AP320" s="12">
        <v>43742</v>
      </c>
      <c r="AQ320" s="9">
        <v>1</v>
      </c>
      <c r="AR320" s="9">
        <f t="shared" si="99"/>
        <v>1</v>
      </c>
      <c r="AS320" s="9">
        <v>1</v>
      </c>
      <c r="AT320" s="9">
        <v>2</v>
      </c>
      <c r="AU320" s="9">
        <v>1</v>
      </c>
      <c r="AV320" s="9">
        <f t="shared" si="100"/>
        <v>0</v>
      </c>
      <c r="AW320" s="12">
        <v>43742</v>
      </c>
      <c r="AX320" s="9">
        <v>5810</v>
      </c>
      <c r="AY320" s="9">
        <v>3430</v>
      </c>
      <c r="AZ320" s="9"/>
      <c r="BA320" s="9">
        <v>3430</v>
      </c>
      <c r="BB320" s="9">
        <v>1603.7115478515625</v>
      </c>
      <c r="BC320" s="9">
        <v>410000</v>
      </c>
      <c r="BD320" s="9"/>
      <c r="BE320" s="9"/>
      <c r="BF320" s="9"/>
      <c r="BG320" s="9">
        <v>4830</v>
      </c>
      <c r="BH320" s="9">
        <v>2559</v>
      </c>
      <c r="BI320" s="9"/>
      <c r="BJ320" s="9">
        <v>257000</v>
      </c>
      <c r="BK320" s="9"/>
      <c r="BL320" s="9"/>
      <c r="BM320" s="9"/>
      <c r="BN320" s="9">
        <v>5040</v>
      </c>
      <c r="BO320" s="9">
        <v>2420</v>
      </c>
      <c r="BP320" s="9">
        <v>1880</v>
      </c>
      <c r="BQ320" s="9">
        <v>298000</v>
      </c>
      <c r="BR320" s="9"/>
      <c r="BS320" s="9"/>
      <c r="BT320" s="9"/>
      <c r="BU320" s="9">
        <v>5100</v>
      </c>
      <c r="BV320" s="9">
        <v>2770</v>
      </c>
      <c r="BW320" s="9"/>
      <c r="BX320" s="9">
        <v>213000</v>
      </c>
      <c r="BY320" s="9"/>
      <c r="BZ320" s="10" t="s">
        <v>401</v>
      </c>
      <c r="CA320" s="9"/>
      <c r="CB320" s="9"/>
      <c r="CC320" s="10">
        <f t="shared" si="101"/>
        <v>2.1387886148198243</v>
      </c>
      <c r="CD320" s="10">
        <f t="shared" si="102"/>
        <v>255.65694812715103</v>
      </c>
      <c r="CE320" s="10">
        <f t="shared" si="119"/>
        <v>876903.33207612799</v>
      </c>
      <c r="CF320" s="10">
        <f t="shared" si="115"/>
        <v>1</v>
      </c>
      <c r="CG320" s="10">
        <f t="shared" si="96"/>
        <v>1</v>
      </c>
      <c r="CH320" s="10">
        <f t="shared" si="97"/>
        <v>7</v>
      </c>
      <c r="CI320" s="9">
        <f t="shared" si="103"/>
        <v>0</v>
      </c>
      <c r="CJ320" s="10">
        <f t="shared" si="98"/>
        <v>7</v>
      </c>
      <c r="CK320" s="10" t="b">
        <f t="shared" si="104"/>
        <v>1</v>
      </c>
      <c r="CL320" s="10" t="b">
        <f t="shared" si="105"/>
        <v>0</v>
      </c>
      <c r="CM320" s="10" t="b">
        <f t="shared" si="106"/>
        <v>0</v>
      </c>
      <c r="CN320" s="9">
        <f t="shared" si="107"/>
        <v>1</v>
      </c>
      <c r="CO320" s="10">
        <f t="shared" ref="CO320:CO326" si="121">(YEAR(AO320)-YEAR(AJ320))*12+MONTH(AO320)-MONTH(AJ320)</f>
        <v>7</v>
      </c>
      <c r="CP320" s="10" t="b">
        <f t="shared" si="108"/>
        <v>1</v>
      </c>
      <c r="CQ320" s="10" t="b">
        <f t="shared" si="109"/>
        <v>0</v>
      </c>
      <c r="CR320" s="10" cm="1">
        <f t="array" ref="CR320">_xlfn.IFS(AND($CI320=0, CK320=FALSE), NA(), AND($CI320=1, CK320=FALSE), 0, CK320=TRUE, 1)</f>
        <v>1</v>
      </c>
      <c r="CS320" s="10" t="e" cm="1">
        <f t="array" ref="CS320">_xlfn.IFS(AND($CI320=0, CL320=FALSE), NA(), AND($CI320=1, CL320=FALSE), 0, CL320=TRUE, 1)</f>
        <v>#N/A</v>
      </c>
      <c r="CT320" s="10" t="e" cm="1">
        <f t="array" ref="CT320">_xlfn.IFS(AND($CI320=0, CM320=FALSE), NA(), AND($CI320=1, CM320=FALSE), 0, CM320=TRUE, 1)</f>
        <v>#N/A</v>
      </c>
      <c r="CU320" s="10" cm="1">
        <f t="array" ref="CU320">_xlfn.IFS(AND($CN320=0, CP320=FALSE), NA(), AND($CN320=1, CP320=FALSE), 0, CP320=TRUE, 1)</f>
        <v>1</v>
      </c>
      <c r="CV320" s="10" cm="1">
        <f t="array" ref="CV320">_xlfn.IFS(AND($CN320=0, CQ320=FALSE), NA(), AND($CN320=1, CQ320=FALSE), 0, CQ320=TRUE, 1)</f>
        <v>0</v>
      </c>
    </row>
    <row r="321" spans="1:100" ht="15.75" x14ac:dyDescent="0.25">
      <c r="A321" s="8">
        <v>320</v>
      </c>
      <c r="B321" s="9">
        <v>211</v>
      </c>
      <c r="C321" s="10" t="s">
        <v>19</v>
      </c>
      <c r="D321" s="11" t="s">
        <v>211</v>
      </c>
      <c r="E321" s="12">
        <v>15133</v>
      </c>
      <c r="F321" s="13">
        <v>2</v>
      </c>
      <c r="G321" s="9">
        <v>73.54962158203125</v>
      </c>
      <c r="H321" s="12">
        <v>41997</v>
      </c>
      <c r="I321" s="9">
        <v>1</v>
      </c>
      <c r="J321" s="12">
        <v>41997</v>
      </c>
      <c r="K321" s="9">
        <v>0</v>
      </c>
      <c r="L321" s="9">
        <v>1</v>
      </c>
      <c r="M321" s="10" t="s">
        <v>401</v>
      </c>
      <c r="N321" s="9">
        <v>2</v>
      </c>
      <c r="O321" s="10" t="s">
        <v>145</v>
      </c>
      <c r="P321" s="9">
        <v>2</v>
      </c>
      <c r="Q321" s="10" t="s">
        <v>145</v>
      </c>
      <c r="R321" s="12">
        <v>42167</v>
      </c>
      <c r="S321" s="10" t="s">
        <v>145</v>
      </c>
      <c r="T321" s="9"/>
      <c r="U321" s="10" t="s">
        <v>401</v>
      </c>
      <c r="V321" s="10" t="s">
        <v>401</v>
      </c>
      <c r="W321" s="9"/>
      <c r="X321" s="9"/>
      <c r="Y321" s="9">
        <v>2</v>
      </c>
      <c r="Z321" s="14">
        <v>1</v>
      </c>
      <c r="AA321" s="34">
        <v>11.2</v>
      </c>
      <c r="AB321" s="14">
        <v>101</v>
      </c>
      <c r="AC321" s="14">
        <v>13</v>
      </c>
      <c r="AD321" s="9">
        <v>2</v>
      </c>
      <c r="AE321" s="9">
        <v>2</v>
      </c>
      <c r="AF321" s="9">
        <v>1</v>
      </c>
      <c r="AG321" s="9">
        <v>1</v>
      </c>
      <c r="AH321" s="9">
        <v>1</v>
      </c>
      <c r="AI321" s="9">
        <v>0</v>
      </c>
      <c r="AJ321" s="12">
        <v>43388</v>
      </c>
      <c r="AK321" s="9">
        <v>2</v>
      </c>
      <c r="AL321" s="12">
        <v>43469</v>
      </c>
      <c r="AM321" s="9">
        <v>4</v>
      </c>
      <c r="AN321" s="12">
        <v>43472</v>
      </c>
      <c r="AO321" s="12">
        <v>43472</v>
      </c>
      <c r="AP321" s="12">
        <v>43472</v>
      </c>
      <c r="AQ321" s="9">
        <v>1</v>
      </c>
      <c r="AR321" s="9">
        <f t="shared" si="99"/>
        <v>1</v>
      </c>
      <c r="AS321" s="9">
        <v>1</v>
      </c>
      <c r="AT321" s="9">
        <v>2</v>
      </c>
      <c r="AU321" s="9">
        <v>2</v>
      </c>
      <c r="AV321" s="9">
        <f t="shared" si="100"/>
        <v>1</v>
      </c>
      <c r="AW321" s="12">
        <v>44374</v>
      </c>
      <c r="AX321" s="9">
        <v>4190</v>
      </c>
      <c r="AY321" s="9">
        <v>2400</v>
      </c>
      <c r="AZ321" s="9">
        <v>1000</v>
      </c>
      <c r="BA321" s="9">
        <v>2400</v>
      </c>
      <c r="BB321" s="9">
        <v>1000.0001220703125</v>
      </c>
      <c r="BC321" s="9">
        <v>223000</v>
      </c>
      <c r="BD321" s="9">
        <v>300</v>
      </c>
      <c r="BE321" s="9">
        <v>400</v>
      </c>
      <c r="BF321" s="9">
        <v>435</v>
      </c>
      <c r="BG321" s="9">
        <v>5240</v>
      </c>
      <c r="BH321" s="9">
        <v>2800</v>
      </c>
      <c r="BI321" s="9">
        <v>1200</v>
      </c>
      <c r="BJ321" s="9">
        <v>259000</v>
      </c>
      <c r="BK321" s="9">
        <v>600</v>
      </c>
      <c r="BL321" s="9">
        <v>500</v>
      </c>
      <c r="BM321" s="9">
        <v>467</v>
      </c>
      <c r="BN321" s="9">
        <v>5460</v>
      </c>
      <c r="BO321" s="9">
        <v>2700</v>
      </c>
      <c r="BP321" s="9">
        <v>1100</v>
      </c>
      <c r="BQ321" s="9">
        <v>238000</v>
      </c>
      <c r="BR321" s="9">
        <v>400</v>
      </c>
      <c r="BS321" s="9">
        <v>300</v>
      </c>
      <c r="BT321" s="9">
        <v>489</v>
      </c>
      <c r="BU321" s="9">
        <v>4540</v>
      </c>
      <c r="BV321" s="9">
        <v>1700</v>
      </c>
      <c r="BW321" s="9">
        <v>1100</v>
      </c>
      <c r="BX321" s="9">
        <v>223000</v>
      </c>
      <c r="BY321" s="9">
        <v>300</v>
      </c>
      <c r="BZ321" s="10" t="s">
        <v>542</v>
      </c>
      <c r="CA321" s="9">
        <v>300</v>
      </c>
      <c r="CB321" s="9">
        <v>533</v>
      </c>
      <c r="CC321" s="10">
        <f t="shared" si="101"/>
        <v>2.3999997070312857</v>
      </c>
      <c r="CD321" s="10">
        <f t="shared" si="102"/>
        <v>222.99997277832364</v>
      </c>
      <c r="CE321" s="10">
        <f t="shared" si="119"/>
        <v>535199.93466797669</v>
      </c>
      <c r="CF321" s="10">
        <f t="shared" si="115"/>
        <v>0</v>
      </c>
      <c r="CG321" s="10">
        <f t="shared" si="96"/>
        <v>0</v>
      </c>
      <c r="CH321" s="10">
        <f t="shared" si="97"/>
        <v>3</v>
      </c>
      <c r="CI321" s="9">
        <f t="shared" si="103"/>
        <v>1</v>
      </c>
      <c r="CJ321" s="10">
        <f t="shared" si="98"/>
        <v>32</v>
      </c>
      <c r="CK321" s="10" t="b">
        <f t="shared" si="104"/>
        <v>1</v>
      </c>
      <c r="CL321" s="10" t="b">
        <f t="shared" si="105"/>
        <v>1</v>
      </c>
      <c r="CM321" s="10" t="b">
        <f t="shared" si="106"/>
        <v>1</v>
      </c>
      <c r="CN321" s="9">
        <f t="shared" si="107"/>
        <v>1</v>
      </c>
      <c r="CO321" s="10">
        <f t="shared" si="121"/>
        <v>3</v>
      </c>
      <c r="CP321" s="10" t="b">
        <f t="shared" si="108"/>
        <v>1</v>
      </c>
      <c r="CQ321" s="10" t="b">
        <f t="shared" si="109"/>
        <v>0</v>
      </c>
      <c r="CR321" s="10" cm="1">
        <f t="array" ref="CR321">_xlfn.IFS(AND($CI321=0, CK321=FALSE), NA(), AND($CI321=1, CK321=FALSE), 0, CK321=TRUE, 1)</f>
        <v>1</v>
      </c>
      <c r="CS321" s="10" cm="1">
        <f t="array" ref="CS321">_xlfn.IFS(AND($CI321=0, CL321=FALSE), NA(), AND($CI321=1, CL321=FALSE), 0, CL321=TRUE, 1)</f>
        <v>1</v>
      </c>
      <c r="CT321" s="10" cm="1">
        <f t="array" ref="CT321">_xlfn.IFS(AND($CI321=0, CM321=FALSE), NA(), AND($CI321=1, CM321=FALSE), 0, CM321=TRUE, 1)</f>
        <v>1</v>
      </c>
      <c r="CU321" s="10" cm="1">
        <f t="array" ref="CU321">_xlfn.IFS(AND($CN321=0, CP321=FALSE), NA(), AND($CN321=1, CP321=FALSE), 0, CP321=TRUE, 1)</f>
        <v>1</v>
      </c>
      <c r="CV321" s="10" cm="1">
        <f t="array" ref="CV321">_xlfn.IFS(AND($CN321=0, CQ321=FALSE), NA(), AND($CN321=1, CQ321=FALSE), 0, CQ321=TRUE, 1)</f>
        <v>0</v>
      </c>
    </row>
    <row r="322" spans="1:100" ht="15.75" x14ac:dyDescent="0.25">
      <c r="A322" s="8">
        <v>321</v>
      </c>
      <c r="B322" s="9">
        <v>269</v>
      </c>
      <c r="C322" s="10" t="s">
        <v>21</v>
      </c>
      <c r="D322" s="11" t="s">
        <v>243</v>
      </c>
      <c r="E322" s="12">
        <v>15089</v>
      </c>
      <c r="F322" s="13">
        <v>2</v>
      </c>
      <c r="G322" s="9">
        <v>73.713897705078125</v>
      </c>
      <c r="H322" s="12">
        <v>42013</v>
      </c>
      <c r="I322" s="9">
        <v>1</v>
      </c>
      <c r="J322" s="12">
        <v>42013</v>
      </c>
      <c r="K322" s="9">
        <v>0</v>
      </c>
      <c r="L322" s="9">
        <v>1</v>
      </c>
      <c r="M322" s="10" t="s">
        <v>401</v>
      </c>
      <c r="N322" s="9">
        <v>2</v>
      </c>
      <c r="O322" s="10" t="s">
        <v>147</v>
      </c>
      <c r="P322" s="9">
        <v>2</v>
      </c>
      <c r="Q322" s="10" t="s">
        <v>147</v>
      </c>
      <c r="R322" s="12">
        <v>42536</v>
      </c>
      <c r="S322" s="10" t="s">
        <v>145</v>
      </c>
      <c r="T322" s="9"/>
      <c r="U322" s="10" t="s">
        <v>401</v>
      </c>
      <c r="V322" s="10" t="s">
        <v>401</v>
      </c>
      <c r="W322" s="9"/>
      <c r="X322" s="9"/>
      <c r="Y322" s="9">
        <v>2</v>
      </c>
      <c r="Z322" s="14">
        <v>1</v>
      </c>
      <c r="AA322" s="15">
        <v>9.6</v>
      </c>
      <c r="AB322" s="16">
        <v>72</v>
      </c>
      <c r="AC322" s="16">
        <v>16</v>
      </c>
      <c r="AD322" s="9">
        <v>2</v>
      </c>
      <c r="AE322" s="9">
        <v>2</v>
      </c>
      <c r="AF322" s="9">
        <v>1</v>
      </c>
      <c r="AG322" s="9">
        <v>0</v>
      </c>
      <c r="AH322" s="9">
        <v>1</v>
      </c>
      <c r="AI322" s="9">
        <v>0</v>
      </c>
      <c r="AJ322" s="12">
        <v>42459</v>
      </c>
      <c r="AK322" s="9">
        <v>2</v>
      </c>
      <c r="AL322" s="12">
        <v>43738</v>
      </c>
      <c r="AM322" s="9">
        <v>2</v>
      </c>
      <c r="AN322" s="12">
        <v>42677</v>
      </c>
      <c r="AO322" s="12">
        <v>43748</v>
      </c>
      <c r="AP322" s="12">
        <v>43748</v>
      </c>
      <c r="AQ322" s="9">
        <v>1</v>
      </c>
      <c r="AR322" s="9">
        <f t="shared" si="99"/>
        <v>1</v>
      </c>
      <c r="AS322" s="9">
        <v>1</v>
      </c>
      <c r="AT322" s="9">
        <v>2</v>
      </c>
      <c r="AU322" s="9">
        <v>2</v>
      </c>
      <c r="AV322" s="9">
        <f t="shared" si="100"/>
        <v>1</v>
      </c>
      <c r="AW322" s="12">
        <v>43888</v>
      </c>
      <c r="AX322" s="9">
        <v>8200</v>
      </c>
      <c r="AY322" s="9">
        <v>5820</v>
      </c>
      <c r="AZ322" s="9">
        <v>1410</v>
      </c>
      <c r="BA322" s="9">
        <v>5820</v>
      </c>
      <c r="BB322" s="9">
        <v>1410.000244140625</v>
      </c>
      <c r="BC322" s="9">
        <v>249000</v>
      </c>
      <c r="BD322" s="9">
        <v>860</v>
      </c>
      <c r="BE322" s="9">
        <v>90</v>
      </c>
      <c r="BF322" s="9">
        <v>166</v>
      </c>
      <c r="BG322" s="9">
        <v>7940</v>
      </c>
      <c r="BH322" s="9">
        <v>5520</v>
      </c>
      <c r="BI322" s="9">
        <v>1250</v>
      </c>
      <c r="BJ322" s="9">
        <v>239000</v>
      </c>
      <c r="BK322" s="9">
        <v>1010</v>
      </c>
      <c r="BL322" s="9">
        <v>110</v>
      </c>
      <c r="BM322" s="9">
        <v>156</v>
      </c>
      <c r="BN322" s="9">
        <v>7720</v>
      </c>
      <c r="BO322" s="9">
        <v>5610</v>
      </c>
      <c r="BP322" s="9">
        <v>1170</v>
      </c>
      <c r="BQ322" s="9">
        <v>256000</v>
      </c>
      <c r="BR322" s="9">
        <v>830</v>
      </c>
      <c r="BS322" s="9">
        <v>90</v>
      </c>
      <c r="BT322" s="9">
        <v>151</v>
      </c>
      <c r="BU322" s="9">
        <v>7490</v>
      </c>
      <c r="BV322" s="9">
        <v>5320</v>
      </c>
      <c r="BW322" s="9">
        <v>1250</v>
      </c>
      <c r="BX322" s="9">
        <v>237000</v>
      </c>
      <c r="BY322" s="9">
        <v>790</v>
      </c>
      <c r="BZ322" s="10" t="s">
        <v>558</v>
      </c>
      <c r="CA322" s="9">
        <v>80</v>
      </c>
      <c r="CB322" s="9">
        <v>164</v>
      </c>
      <c r="CC322" s="10">
        <f t="shared" si="101"/>
        <v>4.1276588597665151</v>
      </c>
      <c r="CD322" s="10">
        <f t="shared" si="102"/>
        <v>176.59571410341275</v>
      </c>
      <c r="CE322" s="10">
        <f t="shared" si="119"/>
        <v>1027787.0560818623</v>
      </c>
      <c r="CF322" s="10">
        <f t="shared" si="115"/>
        <v>1</v>
      </c>
      <c r="CG322" s="10">
        <f t="shared" ref="CG322:CG385" si="122">IF(OR(AM322=4,AM322=3), 0,1)</f>
        <v>1</v>
      </c>
      <c r="CH322" s="10">
        <f t="shared" ref="CH322:CH385" si="123">(YEAR(AL322)-YEAR(AJ322))*12+MONTH(AL322)-MONTH(AJ322)</f>
        <v>42</v>
      </c>
      <c r="CI322" s="9">
        <f t="shared" si="103"/>
        <v>1</v>
      </c>
      <c r="CJ322" s="10">
        <f t="shared" ref="CJ322:CJ385" si="124">(YEAR(AW322)-YEAR(AJ322))*12+MONTH(AW322)-MONTH(AJ322)</f>
        <v>47</v>
      </c>
      <c r="CK322" s="10" t="b">
        <f t="shared" si="104"/>
        <v>1</v>
      </c>
      <c r="CL322" s="10" t="b">
        <f t="shared" si="105"/>
        <v>1</v>
      </c>
      <c r="CM322" s="10" t="b">
        <f t="shared" si="106"/>
        <v>1</v>
      </c>
      <c r="CN322" s="9">
        <f t="shared" si="107"/>
        <v>1</v>
      </c>
      <c r="CO322" s="10">
        <f t="shared" si="121"/>
        <v>43</v>
      </c>
      <c r="CP322" s="10" t="b">
        <f t="shared" si="108"/>
        <v>1</v>
      </c>
      <c r="CQ322" s="10" t="b">
        <f t="shared" si="109"/>
        <v>1</v>
      </c>
      <c r="CR322" s="10" cm="1">
        <f t="array" ref="CR322">_xlfn.IFS(AND($CI322=0, CK322=FALSE), NA(), AND($CI322=1, CK322=FALSE), 0, CK322=TRUE, 1)</f>
        <v>1</v>
      </c>
      <c r="CS322" s="10" cm="1">
        <f t="array" ref="CS322">_xlfn.IFS(AND($CI322=0, CL322=FALSE), NA(), AND($CI322=1, CL322=FALSE), 0, CL322=TRUE, 1)</f>
        <v>1</v>
      </c>
      <c r="CT322" s="10" cm="1">
        <f t="array" ref="CT322">_xlfn.IFS(AND($CI322=0, CM322=FALSE), NA(), AND($CI322=1, CM322=FALSE), 0, CM322=TRUE, 1)</f>
        <v>1</v>
      </c>
      <c r="CU322" s="10" cm="1">
        <f t="array" ref="CU322">_xlfn.IFS(AND($CN322=0, CP322=FALSE), NA(), AND($CN322=1, CP322=FALSE), 0, CP322=TRUE, 1)</f>
        <v>1</v>
      </c>
      <c r="CV322" s="10" cm="1">
        <f t="array" ref="CV322">_xlfn.IFS(AND($CN322=0, CQ322=FALSE), NA(), AND($CN322=1, CQ322=FALSE), 0, CQ322=TRUE, 1)</f>
        <v>1</v>
      </c>
    </row>
    <row r="323" spans="1:100" x14ac:dyDescent="0.25">
      <c r="A323" s="8">
        <v>322</v>
      </c>
      <c r="B323" s="9">
        <v>118</v>
      </c>
      <c r="C323" s="10" t="s">
        <v>12</v>
      </c>
      <c r="D323" s="11" t="s">
        <v>65</v>
      </c>
      <c r="E323" s="12">
        <v>17586</v>
      </c>
      <c r="F323" s="13">
        <v>1</v>
      </c>
      <c r="G323" s="9">
        <v>66.880218505859375</v>
      </c>
      <c r="H323" s="12">
        <v>42014</v>
      </c>
      <c r="I323" s="9">
        <v>1</v>
      </c>
      <c r="J323" s="12">
        <v>42029</v>
      </c>
      <c r="K323" s="9">
        <v>0</v>
      </c>
      <c r="L323" s="9">
        <v>2</v>
      </c>
      <c r="M323" s="10" t="s">
        <v>401</v>
      </c>
      <c r="N323" s="9">
        <v>1</v>
      </c>
      <c r="O323" s="10" t="s">
        <v>401</v>
      </c>
      <c r="P323" s="9">
        <v>1</v>
      </c>
      <c r="Q323" s="10" t="s">
        <v>401</v>
      </c>
      <c r="R323" s="12">
        <v>42779</v>
      </c>
      <c r="S323" s="10" t="s">
        <v>145</v>
      </c>
      <c r="T323" s="9"/>
      <c r="U323" s="10" t="s">
        <v>401</v>
      </c>
      <c r="V323" s="10" t="s">
        <v>401</v>
      </c>
      <c r="W323" s="9"/>
      <c r="X323" s="9"/>
      <c r="Y323" s="9">
        <v>2</v>
      </c>
      <c r="Z323" s="19">
        <v>1</v>
      </c>
      <c r="AB323" s="9"/>
      <c r="AC323" s="9"/>
      <c r="AD323" s="9">
        <v>1</v>
      </c>
      <c r="AE323" s="9">
        <v>1</v>
      </c>
      <c r="AF323" s="9">
        <v>1</v>
      </c>
      <c r="AG323" s="9">
        <v>0</v>
      </c>
      <c r="AH323" s="9">
        <v>1</v>
      </c>
      <c r="AI323" s="9">
        <v>0</v>
      </c>
      <c r="AJ323" s="12">
        <v>43443</v>
      </c>
      <c r="AK323" s="9">
        <v>2</v>
      </c>
      <c r="AL323" s="12">
        <v>43458</v>
      </c>
      <c r="AM323" s="9">
        <v>3</v>
      </c>
      <c r="AN323" s="12">
        <v>43515</v>
      </c>
      <c r="AO323" s="12">
        <v>43776</v>
      </c>
      <c r="AP323" s="12">
        <v>43776</v>
      </c>
      <c r="AQ323" s="9">
        <v>1</v>
      </c>
      <c r="AR323" s="9">
        <f t="shared" ref="AR323:AR386" si="125">IF(AQ323=1,1,0)</f>
        <v>1</v>
      </c>
      <c r="AS323" s="9">
        <v>1</v>
      </c>
      <c r="AT323" s="9">
        <v>2</v>
      </c>
      <c r="AU323" s="9">
        <v>1</v>
      </c>
      <c r="AV323" s="9">
        <f t="shared" ref="AV323:AV386" si="126">IF(AU323=2,1,0)</f>
        <v>0</v>
      </c>
      <c r="AW323" s="12">
        <v>43908</v>
      </c>
      <c r="AX323" s="9">
        <v>6390</v>
      </c>
      <c r="AY323" s="9">
        <v>4410</v>
      </c>
      <c r="AZ323" s="9">
        <v>1280</v>
      </c>
      <c r="BA323" s="9">
        <v>4410</v>
      </c>
      <c r="BB323" s="9">
        <v>1280</v>
      </c>
      <c r="BC323" s="9">
        <v>231000</v>
      </c>
      <c r="BD323" s="9">
        <v>550</v>
      </c>
      <c r="BE323" s="9">
        <v>110</v>
      </c>
      <c r="BF323" s="9"/>
      <c r="BG323" s="9">
        <v>7460</v>
      </c>
      <c r="BH323" s="9">
        <v>5740</v>
      </c>
      <c r="BI323" s="9">
        <v>920</v>
      </c>
      <c r="BJ323" s="9">
        <v>230000</v>
      </c>
      <c r="BK323" s="9">
        <v>690</v>
      </c>
      <c r="BL323" s="9">
        <v>90</v>
      </c>
      <c r="BM323" s="9"/>
      <c r="BN323" s="9">
        <v>9650</v>
      </c>
      <c r="BO323" s="9">
        <v>7530</v>
      </c>
      <c r="BP323" s="9">
        <v>1010</v>
      </c>
      <c r="BQ323" s="9">
        <v>296000</v>
      </c>
      <c r="BR323" s="9">
        <v>1040</v>
      </c>
      <c r="BS323" s="9">
        <v>40</v>
      </c>
      <c r="BT323" s="9"/>
      <c r="BU323" s="9"/>
      <c r="BV323" s="9"/>
      <c r="BW323" s="9"/>
      <c r="BX323" s="9"/>
      <c r="BY323" s="9"/>
      <c r="BZ323" s="10" t="s">
        <v>401</v>
      </c>
      <c r="CA323" s="9"/>
      <c r="CB323" s="9"/>
      <c r="CC323" s="10">
        <f t="shared" ref="CC323:CC386" si="127">BA323/BB323</f>
        <v>3.4453125</v>
      </c>
      <c r="CD323" s="10">
        <f t="shared" ref="CD323:CD386" si="128">BC323/BB323</f>
        <v>180.46875</v>
      </c>
      <c r="CE323" s="10">
        <f t="shared" si="119"/>
        <v>795867.1875</v>
      </c>
      <c r="CF323" s="10">
        <f t="shared" si="115"/>
        <v>1</v>
      </c>
      <c r="CG323" s="10">
        <f t="shared" si="122"/>
        <v>0</v>
      </c>
      <c r="CH323" s="10">
        <f t="shared" si="123"/>
        <v>0</v>
      </c>
      <c r="CI323" s="9">
        <f t="shared" ref="CI323:CI386" si="129">AV323</f>
        <v>0</v>
      </c>
      <c r="CJ323" s="10">
        <f t="shared" si="124"/>
        <v>15</v>
      </c>
      <c r="CK323" s="10" t="b">
        <f t="shared" ref="CK323:CK386" si="130">IF(CJ323&gt;=6, TRUE, FALSE)</f>
        <v>1</v>
      </c>
      <c r="CL323" s="10" t="b">
        <f t="shared" ref="CL323:CL386" si="131">IF(CJ323&gt;=18, TRUE, FALSE)</f>
        <v>0</v>
      </c>
      <c r="CM323" s="10" t="b">
        <f t="shared" ref="CM323:CM386" si="132">IF(CJ323&gt;=24, TRUE, FALSE)</f>
        <v>0</v>
      </c>
      <c r="CN323" s="9">
        <f t="shared" ref="CN323:CN386" si="133">AR323</f>
        <v>1</v>
      </c>
      <c r="CO323" s="10">
        <f t="shared" si="121"/>
        <v>11</v>
      </c>
      <c r="CP323" s="10" t="b">
        <f t="shared" ref="CP323:CP386" si="134">IF(CO323&gt;=3, TRUE, FALSE)</f>
        <v>1</v>
      </c>
      <c r="CQ323" s="10" t="b">
        <f t="shared" ref="CQ323:CQ386" si="135">IF(CO323&gt;=9, TRUE, FALSE)</f>
        <v>1</v>
      </c>
      <c r="CR323" s="10" cm="1">
        <f t="array" ref="CR323">_xlfn.IFS(AND($CI323=0, CK323=FALSE), NA(), AND($CI323=1, CK323=FALSE), 0, CK323=TRUE, 1)</f>
        <v>1</v>
      </c>
      <c r="CS323" s="10" t="e" cm="1">
        <f t="array" ref="CS323">_xlfn.IFS(AND($CI323=0, CL323=FALSE), NA(), AND($CI323=1, CL323=FALSE), 0, CL323=TRUE, 1)</f>
        <v>#N/A</v>
      </c>
      <c r="CT323" s="10" t="e" cm="1">
        <f t="array" ref="CT323">_xlfn.IFS(AND($CI323=0, CM323=FALSE), NA(), AND($CI323=1, CM323=FALSE), 0, CM323=TRUE, 1)</f>
        <v>#N/A</v>
      </c>
      <c r="CU323" s="10" cm="1">
        <f t="array" ref="CU323">_xlfn.IFS(AND($CN323=0, CP323=FALSE), NA(), AND($CN323=1, CP323=FALSE), 0, CP323=TRUE, 1)</f>
        <v>1</v>
      </c>
      <c r="CV323" s="10" cm="1">
        <f t="array" ref="CV323">_xlfn.IFS(AND($CN323=0, CQ323=FALSE), NA(), AND($CN323=1, CQ323=FALSE), 0, CQ323=TRUE, 1)</f>
        <v>1</v>
      </c>
    </row>
    <row r="324" spans="1:100" ht="15.75" x14ac:dyDescent="0.25">
      <c r="A324" s="8">
        <v>323</v>
      </c>
      <c r="B324" s="9">
        <v>349</v>
      </c>
      <c r="C324" s="10" t="s">
        <v>28</v>
      </c>
      <c r="D324" s="11" t="s">
        <v>78</v>
      </c>
      <c r="E324" s="12">
        <v>12298</v>
      </c>
      <c r="F324" s="13">
        <v>2</v>
      </c>
      <c r="G324" s="9">
        <v>81.363449096679688</v>
      </c>
      <c r="H324" s="12">
        <v>42016</v>
      </c>
      <c r="I324" s="9">
        <v>0</v>
      </c>
      <c r="J324" s="12"/>
      <c r="K324" s="9">
        <v>1</v>
      </c>
      <c r="L324" s="9">
        <v>1</v>
      </c>
      <c r="M324" s="10" t="s">
        <v>401</v>
      </c>
      <c r="N324" s="9">
        <v>3</v>
      </c>
      <c r="O324" s="10" t="s">
        <v>417</v>
      </c>
      <c r="P324" s="9">
        <v>3</v>
      </c>
      <c r="Q324" s="10" t="s">
        <v>417</v>
      </c>
      <c r="R324" s="12">
        <v>42003</v>
      </c>
      <c r="S324" s="10" t="s">
        <v>145</v>
      </c>
      <c r="T324" s="9"/>
      <c r="U324" s="10" t="s">
        <v>401</v>
      </c>
      <c r="V324" s="10" t="s">
        <v>401</v>
      </c>
      <c r="W324" s="9"/>
      <c r="X324" s="9"/>
      <c r="Y324" s="9">
        <v>2</v>
      </c>
      <c r="Z324" s="14">
        <v>1</v>
      </c>
      <c r="AA324" s="21">
        <v>9.5</v>
      </c>
      <c r="AB324" s="22">
        <v>93</v>
      </c>
      <c r="AC324" s="22">
        <v>16</v>
      </c>
      <c r="AD324" s="9">
        <v>2</v>
      </c>
      <c r="AE324" s="9">
        <v>2</v>
      </c>
      <c r="AF324" s="9">
        <v>1</v>
      </c>
      <c r="AG324" s="9">
        <v>1</v>
      </c>
      <c r="AH324" s="9">
        <v>1</v>
      </c>
      <c r="AI324" s="9">
        <v>1</v>
      </c>
      <c r="AJ324" s="12">
        <v>42499</v>
      </c>
      <c r="AK324" s="9">
        <v>2</v>
      </c>
      <c r="AL324" s="12">
        <v>42702</v>
      </c>
      <c r="AM324" s="9">
        <v>3</v>
      </c>
      <c r="AN324" s="12">
        <v>42548</v>
      </c>
      <c r="AO324" s="12">
        <v>42695</v>
      </c>
      <c r="AP324" s="12">
        <v>42695</v>
      </c>
      <c r="AQ324" s="9">
        <v>1</v>
      </c>
      <c r="AR324" s="9">
        <f t="shared" si="125"/>
        <v>1</v>
      </c>
      <c r="AS324" s="9">
        <v>1</v>
      </c>
      <c r="AT324" s="9">
        <v>2</v>
      </c>
      <c r="AU324" s="9">
        <v>2</v>
      </c>
      <c r="AV324" s="9">
        <f t="shared" si="126"/>
        <v>1</v>
      </c>
      <c r="AW324" s="12">
        <v>42971</v>
      </c>
      <c r="AX324" s="9">
        <v>7510</v>
      </c>
      <c r="AY324" s="9">
        <v>6410</v>
      </c>
      <c r="AZ324" s="9">
        <v>450</v>
      </c>
      <c r="BA324" s="9">
        <v>6410</v>
      </c>
      <c r="BB324" s="9">
        <v>450.00003051757813</v>
      </c>
      <c r="BC324" s="9">
        <v>354000</v>
      </c>
      <c r="BD324" s="9">
        <v>480</v>
      </c>
      <c r="BE324" s="9">
        <v>70</v>
      </c>
      <c r="BF324" s="9">
        <v>567</v>
      </c>
      <c r="BG324" s="9">
        <v>7030</v>
      </c>
      <c r="BH324" s="9">
        <v>5570</v>
      </c>
      <c r="BI324" s="9">
        <v>820</v>
      </c>
      <c r="BJ324" s="9">
        <v>325000</v>
      </c>
      <c r="BK324" s="9">
        <v>460</v>
      </c>
      <c r="BL324" s="9">
        <v>40</v>
      </c>
      <c r="BM324" s="9">
        <v>401</v>
      </c>
      <c r="BN324" s="9">
        <v>6210</v>
      </c>
      <c r="BO324" s="9">
        <v>4550</v>
      </c>
      <c r="BP324" s="9">
        <v>980</v>
      </c>
      <c r="BQ324" s="9">
        <v>320000</v>
      </c>
      <c r="BR324" s="9">
        <v>400</v>
      </c>
      <c r="BS324" s="9">
        <v>140</v>
      </c>
      <c r="BT324" s="9">
        <v>381</v>
      </c>
      <c r="BU324" s="9">
        <v>6130</v>
      </c>
      <c r="BV324" s="9">
        <v>4170</v>
      </c>
      <c r="BW324" s="9">
        <v>1160</v>
      </c>
      <c r="BX324" s="9">
        <v>275000</v>
      </c>
      <c r="BY324" s="9">
        <v>600</v>
      </c>
      <c r="BZ324" s="10" t="s">
        <v>558</v>
      </c>
      <c r="CA324" s="9">
        <v>80</v>
      </c>
      <c r="CB324" s="9">
        <v>473</v>
      </c>
      <c r="CC324" s="10">
        <f t="shared" si="127"/>
        <v>14.244443478431297</v>
      </c>
      <c r="CD324" s="10">
        <f t="shared" si="128"/>
        <v>786.66661331742262</v>
      </c>
      <c r="CE324" s="10">
        <f t="shared" si="119"/>
        <v>5042532.9913646793</v>
      </c>
      <c r="CF324" s="10">
        <f t="shared" si="115"/>
        <v>1</v>
      </c>
      <c r="CG324" s="10">
        <f t="shared" si="122"/>
        <v>0</v>
      </c>
      <c r="CH324" s="10">
        <f t="shared" si="123"/>
        <v>6</v>
      </c>
      <c r="CI324" s="9">
        <f t="shared" si="129"/>
        <v>1</v>
      </c>
      <c r="CJ324" s="10">
        <f t="shared" si="124"/>
        <v>15</v>
      </c>
      <c r="CK324" s="10" t="b">
        <f t="shared" si="130"/>
        <v>1</v>
      </c>
      <c r="CL324" s="10" t="b">
        <f t="shared" si="131"/>
        <v>0</v>
      </c>
      <c r="CM324" s="10" t="b">
        <f t="shared" si="132"/>
        <v>0</v>
      </c>
      <c r="CN324" s="9">
        <f t="shared" si="133"/>
        <v>1</v>
      </c>
      <c r="CO324" s="10">
        <f t="shared" si="121"/>
        <v>6</v>
      </c>
      <c r="CP324" s="10" t="b">
        <f t="shared" si="134"/>
        <v>1</v>
      </c>
      <c r="CQ324" s="10" t="b">
        <f t="shared" si="135"/>
        <v>0</v>
      </c>
      <c r="CR324" s="10" cm="1">
        <f t="array" ref="CR324">_xlfn.IFS(AND($CI324=0, CK324=FALSE), NA(), AND($CI324=1, CK324=FALSE), 0, CK324=TRUE, 1)</f>
        <v>1</v>
      </c>
      <c r="CS324" s="10" cm="1">
        <f t="array" ref="CS324">_xlfn.IFS(AND($CI324=0, CL324=FALSE), NA(), AND($CI324=1, CL324=FALSE), 0, CL324=TRUE, 1)</f>
        <v>0</v>
      </c>
      <c r="CT324" s="10" cm="1">
        <f t="array" ref="CT324">_xlfn.IFS(AND($CI324=0, CM324=FALSE), NA(), AND($CI324=1, CM324=FALSE), 0, CM324=TRUE, 1)</f>
        <v>0</v>
      </c>
      <c r="CU324" s="10" cm="1">
        <f t="array" ref="CU324">_xlfn.IFS(AND($CN324=0, CP324=FALSE), NA(), AND($CN324=1, CP324=FALSE), 0, CP324=TRUE, 1)</f>
        <v>1</v>
      </c>
      <c r="CV324" s="10" cm="1">
        <f t="array" ref="CV324">_xlfn.IFS(AND($CN324=0, CQ324=FALSE), NA(), AND($CN324=1, CQ324=FALSE), 0, CQ324=TRUE, 1)</f>
        <v>0</v>
      </c>
    </row>
    <row r="325" spans="1:100" x14ac:dyDescent="0.25">
      <c r="A325" s="8">
        <v>324</v>
      </c>
      <c r="B325" s="9">
        <v>233</v>
      </c>
      <c r="C325" s="10" t="s">
        <v>20</v>
      </c>
      <c r="D325" s="11" t="s">
        <v>169</v>
      </c>
      <c r="E325" s="12">
        <v>13316</v>
      </c>
      <c r="F325" s="13">
        <v>2</v>
      </c>
      <c r="G325" s="9">
        <v>78.579055786132813</v>
      </c>
      <c r="H325" s="12">
        <v>42017</v>
      </c>
      <c r="I325" s="9">
        <v>1</v>
      </c>
      <c r="J325" s="12">
        <v>42017</v>
      </c>
      <c r="K325" s="9">
        <v>0</v>
      </c>
      <c r="L325" s="9">
        <v>3</v>
      </c>
      <c r="M325" s="10" t="s">
        <v>401</v>
      </c>
      <c r="N325" s="9">
        <v>2</v>
      </c>
      <c r="O325" s="10" t="s">
        <v>147</v>
      </c>
      <c r="P325" s="9">
        <v>2</v>
      </c>
      <c r="Q325" s="10" t="s">
        <v>147</v>
      </c>
      <c r="R325" s="12">
        <v>43011</v>
      </c>
      <c r="S325" s="10" t="s">
        <v>145</v>
      </c>
      <c r="T325" s="9"/>
      <c r="U325" s="10" t="s">
        <v>401</v>
      </c>
      <c r="V325" s="10" t="s">
        <v>401</v>
      </c>
      <c r="W325" s="9"/>
      <c r="X325" s="9"/>
      <c r="Y325" s="9">
        <v>2</v>
      </c>
      <c r="Z325" s="19">
        <v>1</v>
      </c>
      <c r="AB325" s="9"/>
      <c r="AC325" s="9"/>
      <c r="AD325" s="9">
        <v>1</v>
      </c>
      <c r="AE325" s="9">
        <v>1</v>
      </c>
      <c r="AF325" s="9">
        <v>1</v>
      </c>
      <c r="AG325" s="9">
        <v>0</v>
      </c>
      <c r="AH325" s="9">
        <v>1</v>
      </c>
      <c r="AI325" s="9">
        <v>0</v>
      </c>
      <c r="AJ325" s="12">
        <v>43362</v>
      </c>
      <c r="AK325" s="9">
        <v>2</v>
      </c>
      <c r="AL325" s="12">
        <v>44200</v>
      </c>
      <c r="AM325" s="9">
        <v>3</v>
      </c>
      <c r="AN325" s="12">
        <v>44020</v>
      </c>
      <c r="AO325" s="12">
        <v>44153</v>
      </c>
      <c r="AP325" s="12">
        <v>44228</v>
      </c>
      <c r="AQ325" s="9">
        <v>1</v>
      </c>
      <c r="AR325" s="9">
        <f t="shared" si="125"/>
        <v>1</v>
      </c>
      <c r="AS325" s="9">
        <v>1</v>
      </c>
      <c r="AT325" s="9">
        <v>1</v>
      </c>
      <c r="AU325" s="9">
        <v>1</v>
      </c>
      <c r="AV325" s="9">
        <f t="shared" si="126"/>
        <v>0</v>
      </c>
      <c r="AW325" s="12">
        <v>44960</v>
      </c>
      <c r="AX325" s="9">
        <v>4117</v>
      </c>
      <c r="AY325" s="9">
        <v>1646</v>
      </c>
      <c r="AZ325" s="9">
        <v>1934</v>
      </c>
      <c r="BA325" s="9">
        <v>1646</v>
      </c>
      <c r="BB325" s="9">
        <v>1933.9998779296875</v>
      </c>
      <c r="BC325" s="9">
        <v>231000</v>
      </c>
      <c r="BD325" s="9"/>
      <c r="BE325" s="9"/>
      <c r="BF325" s="9"/>
      <c r="BG325" s="9">
        <v>5500</v>
      </c>
      <c r="BH325" s="9">
        <v>2255</v>
      </c>
      <c r="BI325" s="9"/>
      <c r="BJ325" s="9">
        <v>252000</v>
      </c>
      <c r="BK325" s="9"/>
      <c r="BL325" s="9"/>
      <c r="BM325" s="9"/>
      <c r="BN325" s="9">
        <v>5380</v>
      </c>
      <c r="BO325" s="9">
        <v>2367</v>
      </c>
      <c r="BP325" s="9"/>
      <c r="BQ325" s="9">
        <v>218000</v>
      </c>
      <c r="BR325" s="9"/>
      <c r="BS325" s="9"/>
      <c r="BT325" s="9"/>
      <c r="BU325" s="9">
        <v>5200</v>
      </c>
      <c r="BV325" s="9">
        <v>2080</v>
      </c>
      <c r="BW325" s="9">
        <v>2236</v>
      </c>
      <c r="BX325" s="9">
        <v>264000</v>
      </c>
      <c r="BY325" s="9"/>
      <c r="BZ325" s="10" t="s">
        <v>401</v>
      </c>
      <c r="CA325" s="9"/>
      <c r="CB325" s="9"/>
      <c r="CC325" s="10">
        <f t="shared" si="127"/>
        <v>0.85108588619044467</v>
      </c>
      <c r="CD325" s="10">
        <f t="shared" si="128"/>
        <v>119.44157941068818</v>
      </c>
      <c r="CE325" s="10">
        <f t="shared" si="119"/>
        <v>196600.83970999272</v>
      </c>
      <c r="CF325" s="10">
        <f t="shared" si="115"/>
        <v>1</v>
      </c>
      <c r="CG325" s="10">
        <f t="shared" si="122"/>
        <v>0</v>
      </c>
      <c r="CH325" s="10">
        <f t="shared" si="123"/>
        <v>28</v>
      </c>
      <c r="CI325" s="9">
        <f t="shared" si="129"/>
        <v>0</v>
      </c>
      <c r="CJ325" s="10">
        <f t="shared" si="124"/>
        <v>53</v>
      </c>
      <c r="CK325" s="10" t="b">
        <f t="shared" si="130"/>
        <v>1</v>
      </c>
      <c r="CL325" s="10" t="b">
        <f t="shared" si="131"/>
        <v>1</v>
      </c>
      <c r="CM325" s="10" t="b">
        <f t="shared" si="132"/>
        <v>1</v>
      </c>
      <c r="CN325" s="9">
        <f t="shared" si="133"/>
        <v>1</v>
      </c>
      <c r="CO325" s="10">
        <f t="shared" si="121"/>
        <v>26</v>
      </c>
      <c r="CP325" s="10" t="b">
        <f t="shared" si="134"/>
        <v>1</v>
      </c>
      <c r="CQ325" s="10" t="b">
        <f t="shared" si="135"/>
        <v>1</v>
      </c>
      <c r="CR325" s="10" cm="1">
        <f t="array" ref="CR325">_xlfn.IFS(AND($CI325=0, CK325=FALSE), NA(), AND($CI325=1, CK325=FALSE), 0, CK325=TRUE, 1)</f>
        <v>1</v>
      </c>
      <c r="CS325" s="10" cm="1">
        <f t="array" ref="CS325">_xlfn.IFS(AND($CI325=0, CL325=FALSE), NA(), AND($CI325=1, CL325=FALSE), 0, CL325=TRUE, 1)</f>
        <v>1</v>
      </c>
      <c r="CT325" s="10" cm="1">
        <f t="array" ref="CT325">_xlfn.IFS(AND($CI325=0, CM325=FALSE), NA(), AND($CI325=1, CM325=FALSE), 0, CM325=TRUE, 1)</f>
        <v>1</v>
      </c>
      <c r="CU325" s="10" cm="1">
        <f t="array" ref="CU325">_xlfn.IFS(AND($CN325=0, CP325=FALSE), NA(), AND($CN325=1, CP325=FALSE), 0, CP325=TRUE, 1)</f>
        <v>1</v>
      </c>
      <c r="CV325" s="10" cm="1">
        <f t="array" ref="CV325">_xlfn.IFS(AND($CN325=0, CQ325=FALSE), NA(), AND($CN325=1, CQ325=FALSE), 0, CQ325=TRUE, 1)</f>
        <v>1</v>
      </c>
    </row>
    <row r="326" spans="1:100" ht="15.75" x14ac:dyDescent="0.25">
      <c r="A326" s="8">
        <v>325</v>
      </c>
      <c r="B326" s="9">
        <v>338</v>
      </c>
      <c r="C326" s="10" t="s">
        <v>26</v>
      </c>
      <c r="D326" s="11" t="s">
        <v>181</v>
      </c>
      <c r="E326" s="12">
        <v>13675</v>
      </c>
      <c r="F326" s="13">
        <v>2</v>
      </c>
      <c r="G326" s="9">
        <v>77.601646423339844</v>
      </c>
      <c r="H326" s="12">
        <v>42019</v>
      </c>
      <c r="I326" s="9">
        <v>0</v>
      </c>
      <c r="J326" s="12"/>
      <c r="K326" s="9">
        <v>1</v>
      </c>
      <c r="L326" s="9">
        <v>1</v>
      </c>
      <c r="M326" s="10" t="s">
        <v>401</v>
      </c>
      <c r="N326" s="9">
        <v>2</v>
      </c>
      <c r="O326" s="10" t="s">
        <v>145</v>
      </c>
      <c r="P326" s="9">
        <v>2</v>
      </c>
      <c r="Q326" s="10" t="s">
        <v>145</v>
      </c>
      <c r="R326" s="12">
        <v>42005</v>
      </c>
      <c r="S326" s="10" t="s">
        <v>146</v>
      </c>
      <c r="T326" s="9">
        <v>3</v>
      </c>
      <c r="U326" s="10" t="s">
        <v>401</v>
      </c>
      <c r="V326" s="10" t="s">
        <v>401</v>
      </c>
      <c r="W326" s="9"/>
      <c r="X326" s="9"/>
      <c r="Y326" s="9">
        <v>3</v>
      </c>
      <c r="Z326" s="14">
        <v>2</v>
      </c>
      <c r="AA326" s="32">
        <v>14.3</v>
      </c>
      <c r="AB326" s="33" t="s">
        <v>494</v>
      </c>
      <c r="AC326" s="33" t="s">
        <v>483</v>
      </c>
      <c r="AD326" s="9">
        <v>1</v>
      </c>
      <c r="AE326" s="9">
        <v>1</v>
      </c>
      <c r="AF326" s="9">
        <v>1</v>
      </c>
      <c r="AG326" s="9">
        <v>1</v>
      </c>
      <c r="AH326" s="9">
        <v>1</v>
      </c>
      <c r="AI326" s="9">
        <v>0</v>
      </c>
      <c r="AJ326" s="12">
        <v>42900</v>
      </c>
      <c r="AK326" s="9">
        <v>2</v>
      </c>
      <c r="AL326" s="12">
        <v>44278</v>
      </c>
      <c r="AM326" s="9">
        <v>2</v>
      </c>
      <c r="AN326" s="12">
        <v>43112</v>
      </c>
      <c r="AO326" s="12">
        <v>44643</v>
      </c>
      <c r="AP326" s="12">
        <v>44643</v>
      </c>
      <c r="AQ326" s="9">
        <v>1</v>
      </c>
      <c r="AR326" s="9">
        <f t="shared" si="125"/>
        <v>1</v>
      </c>
      <c r="AS326" s="9">
        <v>1</v>
      </c>
      <c r="AT326" s="9">
        <v>2</v>
      </c>
      <c r="AU326" s="9">
        <v>1</v>
      </c>
      <c r="AV326" s="9">
        <f t="shared" si="126"/>
        <v>0</v>
      </c>
      <c r="AW326" s="12">
        <v>44683</v>
      </c>
      <c r="AX326" s="9">
        <v>7770</v>
      </c>
      <c r="AY326" s="9">
        <v>4520</v>
      </c>
      <c r="AZ326" s="9">
        <v>1720</v>
      </c>
      <c r="BA326" s="9">
        <v>4520</v>
      </c>
      <c r="BB326" s="9">
        <v>1719.999755859375</v>
      </c>
      <c r="BC326" s="9">
        <v>231000</v>
      </c>
      <c r="BD326" s="9">
        <v>1140</v>
      </c>
      <c r="BE326" s="9">
        <v>350</v>
      </c>
      <c r="BF326" s="9"/>
      <c r="BG326" s="9">
        <v>7480</v>
      </c>
      <c r="BH326" s="9">
        <v>4220</v>
      </c>
      <c r="BI326" s="9">
        <v>1670</v>
      </c>
      <c r="BJ326" s="9">
        <v>254000</v>
      </c>
      <c r="BK326" s="9">
        <v>1160</v>
      </c>
      <c r="BL326" s="9">
        <v>380</v>
      </c>
      <c r="BM326" s="9"/>
      <c r="BN326" s="9">
        <v>8600</v>
      </c>
      <c r="BO326" s="9">
        <v>4950</v>
      </c>
      <c r="BP326" s="9">
        <v>1930</v>
      </c>
      <c r="BQ326" s="9">
        <v>219000</v>
      </c>
      <c r="BR326" s="9">
        <v>1120</v>
      </c>
      <c r="BS326" s="9">
        <v>550</v>
      </c>
      <c r="BT326" s="9"/>
      <c r="BU326" s="9">
        <v>8740</v>
      </c>
      <c r="BV326" s="9">
        <v>4850</v>
      </c>
      <c r="BW326" s="9">
        <v>1900</v>
      </c>
      <c r="BX326" s="9">
        <v>254000</v>
      </c>
      <c r="BY326" s="9">
        <v>1420</v>
      </c>
      <c r="BZ326" s="10" t="s">
        <v>546</v>
      </c>
      <c r="CA326" s="9">
        <v>510</v>
      </c>
      <c r="CB326" s="9"/>
      <c r="CC326" s="10">
        <f t="shared" si="127"/>
        <v>2.6279073497551995</v>
      </c>
      <c r="CD326" s="10">
        <f t="shared" si="128"/>
        <v>134.30234464456882</v>
      </c>
      <c r="CE326" s="10">
        <f t="shared" si="119"/>
        <v>607046.59779345104</v>
      </c>
      <c r="CF326" s="10">
        <f t="shared" si="115"/>
        <v>1</v>
      </c>
      <c r="CG326" s="10">
        <f t="shared" si="122"/>
        <v>1</v>
      </c>
      <c r="CH326" s="10">
        <f t="shared" si="123"/>
        <v>45</v>
      </c>
      <c r="CI326" s="9">
        <f t="shared" si="129"/>
        <v>0</v>
      </c>
      <c r="CJ326" s="10">
        <f t="shared" si="124"/>
        <v>59</v>
      </c>
      <c r="CK326" s="10" t="b">
        <f t="shared" si="130"/>
        <v>1</v>
      </c>
      <c r="CL326" s="10" t="b">
        <f t="shared" si="131"/>
        <v>1</v>
      </c>
      <c r="CM326" s="10" t="b">
        <f t="shared" si="132"/>
        <v>1</v>
      </c>
      <c r="CN326" s="9">
        <f t="shared" si="133"/>
        <v>1</v>
      </c>
      <c r="CO326" s="10">
        <f t="shared" si="121"/>
        <v>57</v>
      </c>
      <c r="CP326" s="10" t="b">
        <f t="shared" si="134"/>
        <v>1</v>
      </c>
      <c r="CQ326" s="10" t="b">
        <f t="shared" si="135"/>
        <v>1</v>
      </c>
      <c r="CR326" s="10" cm="1">
        <f t="array" ref="CR326">_xlfn.IFS(AND($CI326=0, CK326=FALSE), NA(), AND($CI326=1, CK326=FALSE), 0, CK326=TRUE, 1)</f>
        <v>1</v>
      </c>
      <c r="CS326" s="10" cm="1">
        <f t="array" ref="CS326">_xlfn.IFS(AND($CI326=0, CL326=FALSE), NA(), AND($CI326=1, CL326=FALSE), 0, CL326=TRUE, 1)</f>
        <v>1</v>
      </c>
      <c r="CT326" s="10" cm="1">
        <f t="array" ref="CT326">_xlfn.IFS(AND($CI326=0, CM326=FALSE), NA(), AND($CI326=1, CM326=FALSE), 0, CM326=TRUE, 1)</f>
        <v>1</v>
      </c>
      <c r="CU326" s="10" cm="1">
        <f t="array" ref="CU326">_xlfn.IFS(AND($CN326=0, CP326=FALSE), NA(), AND($CN326=1, CP326=FALSE), 0, CP326=TRUE, 1)</f>
        <v>1</v>
      </c>
      <c r="CV326" s="10" cm="1">
        <f t="array" ref="CV326">_xlfn.IFS(AND($CN326=0, CQ326=FALSE), NA(), AND($CN326=1, CQ326=FALSE), 0, CQ326=TRUE, 1)</f>
        <v>1</v>
      </c>
    </row>
    <row r="327" spans="1:100" ht="15.75" x14ac:dyDescent="0.25">
      <c r="A327" s="8">
        <v>326</v>
      </c>
      <c r="B327" s="9">
        <v>2</v>
      </c>
      <c r="C327" s="10" t="s">
        <v>3</v>
      </c>
      <c r="D327" s="11" t="s">
        <v>38</v>
      </c>
      <c r="E327" s="12">
        <v>20892</v>
      </c>
      <c r="F327" s="13">
        <v>1</v>
      </c>
      <c r="G327" s="9">
        <v>57.842575073242188</v>
      </c>
      <c r="H327" s="12">
        <v>42019</v>
      </c>
      <c r="I327" s="9">
        <v>1</v>
      </c>
      <c r="J327" s="12">
        <v>42019</v>
      </c>
      <c r="K327" s="9">
        <v>1</v>
      </c>
      <c r="L327" s="9">
        <v>1</v>
      </c>
      <c r="M327" s="10" t="s">
        <v>401</v>
      </c>
      <c r="N327" s="9">
        <v>2</v>
      </c>
      <c r="O327" s="10" t="s">
        <v>147</v>
      </c>
      <c r="P327" s="9">
        <v>2</v>
      </c>
      <c r="Q327" s="10" t="s">
        <v>147</v>
      </c>
      <c r="R327" s="12">
        <v>42838</v>
      </c>
      <c r="S327" s="10" t="s">
        <v>145</v>
      </c>
      <c r="T327" s="9">
        <v>5</v>
      </c>
      <c r="U327" s="10" t="s">
        <v>401</v>
      </c>
      <c r="V327" s="10" t="s">
        <v>401</v>
      </c>
      <c r="W327" s="9"/>
      <c r="X327" s="9"/>
      <c r="Y327" s="9">
        <v>3</v>
      </c>
      <c r="Z327" s="14">
        <v>1</v>
      </c>
      <c r="AA327" s="15">
        <v>13.5</v>
      </c>
      <c r="AB327" s="16">
        <v>90.7</v>
      </c>
      <c r="AC327" s="9"/>
      <c r="AD327" s="9">
        <v>2</v>
      </c>
      <c r="AE327" s="9">
        <v>2</v>
      </c>
      <c r="AF327" s="9">
        <v>1</v>
      </c>
      <c r="AG327" s="9">
        <v>0</v>
      </c>
      <c r="AH327" s="9">
        <v>1</v>
      </c>
      <c r="AI327" s="9">
        <v>0</v>
      </c>
      <c r="AJ327" s="12">
        <v>43264</v>
      </c>
      <c r="AK327" s="9">
        <v>1</v>
      </c>
      <c r="AL327" s="12">
        <v>45033</v>
      </c>
      <c r="AM327" s="9">
        <v>1</v>
      </c>
      <c r="AN327" s="12">
        <v>43449</v>
      </c>
      <c r="AO327" s="12"/>
      <c r="AP327" s="12"/>
      <c r="AQ327" s="9">
        <v>2</v>
      </c>
      <c r="AR327" s="9">
        <f t="shared" si="125"/>
        <v>0</v>
      </c>
      <c r="AS327" s="9">
        <v>2</v>
      </c>
      <c r="AT327" s="9"/>
      <c r="AU327" s="9">
        <v>1</v>
      </c>
      <c r="AV327" s="9">
        <f t="shared" si="126"/>
        <v>0</v>
      </c>
      <c r="AW327" s="12">
        <v>45033</v>
      </c>
      <c r="AX327" s="9">
        <v>6680</v>
      </c>
      <c r="AY327" s="9">
        <v>4440</v>
      </c>
      <c r="AZ327" s="9">
        <v>1430</v>
      </c>
      <c r="BA327" s="9">
        <v>4440</v>
      </c>
      <c r="BB327" s="9">
        <v>1429.9996337890625</v>
      </c>
      <c r="BC327" s="9">
        <v>265000</v>
      </c>
      <c r="BD327" s="9">
        <v>630</v>
      </c>
      <c r="BE327" s="9">
        <v>130</v>
      </c>
      <c r="BF327" s="9"/>
      <c r="BG327" s="9">
        <v>8450</v>
      </c>
      <c r="BH327" s="9">
        <v>6220</v>
      </c>
      <c r="BI327" s="9">
        <v>1060</v>
      </c>
      <c r="BJ327" s="9">
        <v>308000</v>
      </c>
      <c r="BK327" s="9">
        <v>540</v>
      </c>
      <c r="BL327" s="9">
        <v>590</v>
      </c>
      <c r="BM327" s="9">
        <v>149</v>
      </c>
      <c r="BN327" s="9">
        <v>5770</v>
      </c>
      <c r="BO327" s="9">
        <v>3400</v>
      </c>
      <c r="BP327" s="9">
        <v>1260</v>
      </c>
      <c r="BQ327" s="9">
        <v>295</v>
      </c>
      <c r="BR327" s="9">
        <v>51</v>
      </c>
      <c r="BS327" s="9">
        <v>55</v>
      </c>
      <c r="BT327" s="9">
        <v>126</v>
      </c>
      <c r="BU327" s="9">
        <v>5750</v>
      </c>
      <c r="BV327" s="9">
        <v>3430</v>
      </c>
      <c r="BW327" s="9">
        <v>1360</v>
      </c>
      <c r="BX327" s="9">
        <v>211000</v>
      </c>
      <c r="BY327" s="9">
        <v>500</v>
      </c>
      <c r="BZ327" s="10" t="s">
        <v>576</v>
      </c>
      <c r="CA327" s="9">
        <v>410</v>
      </c>
      <c r="CB327" s="9"/>
      <c r="CC327" s="10">
        <f t="shared" si="127"/>
        <v>3.1048959000327541</v>
      </c>
      <c r="CD327" s="10">
        <f t="shared" si="128"/>
        <v>185.3147327722252</v>
      </c>
      <c r="CE327" s="10">
        <f t="shared" si="119"/>
        <v>822797.41350867983</v>
      </c>
      <c r="CF327" s="10">
        <f t="shared" si="115"/>
        <v>1</v>
      </c>
      <c r="CG327" s="10">
        <f t="shared" si="122"/>
        <v>1</v>
      </c>
      <c r="CH327" s="10">
        <f t="shared" si="123"/>
        <v>58</v>
      </c>
      <c r="CI327" s="9">
        <f t="shared" si="129"/>
        <v>0</v>
      </c>
      <c r="CJ327" s="10">
        <f t="shared" si="124"/>
        <v>58</v>
      </c>
      <c r="CK327" s="10" t="b">
        <f t="shared" si="130"/>
        <v>1</v>
      </c>
      <c r="CL327" s="10" t="b">
        <f t="shared" si="131"/>
        <v>1</v>
      </c>
      <c r="CM327" s="10" t="b">
        <f t="shared" si="132"/>
        <v>1</v>
      </c>
      <c r="CN327" s="9">
        <f t="shared" si="133"/>
        <v>0</v>
      </c>
      <c r="CO327" s="10">
        <f>CJ327</f>
        <v>58</v>
      </c>
      <c r="CP327" s="10" t="b">
        <f t="shared" si="134"/>
        <v>1</v>
      </c>
      <c r="CQ327" s="10" t="b">
        <f t="shared" si="135"/>
        <v>1</v>
      </c>
      <c r="CR327" s="10" cm="1">
        <f t="array" ref="CR327">_xlfn.IFS(AND($CI327=0, CK327=FALSE), NA(), AND($CI327=1, CK327=FALSE), 0, CK327=TRUE, 1)</f>
        <v>1</v>
      </c>
      <c r="CS327" s="10" cm="1">
        <f t="array" ref="CS327">_xlfn.IFS(AND($CI327=0, CL327=FALSE), NA(), AND($CI327=1, CL327=FALSE), 0, CL327=TRUE, 1)</f>
        <v>1</v>
      </c>
      <c r="CT327" s="10" cm="1">
        <f t="array" ref="CT327">_xlfn.IFS(AND($CI327=0, CM327=FALSE), NA(), AND($CI327=1, CM327=FALSE), 0, CM327=TRUE, 1)</f>
        <v>1</v>
      </c>
      <c r="CU327" s="10" cm="1">
        <f t="array" ref="CU327">_xlfn.IFS(AND($CN327=0, CP327=FALSE), NA(), AND($CN327=1, CP327=FALSE), 0, CP327=TRUE, 1)</f>
        <v>1</v>
      </c>
      <c r="CV327" s="10" cm="1">
        <f t="array" ref="CV327">_xlfn.IFS(AND($CN327=0, CQ327=FALSE), NA(), AND($CN327=1, CQ327=FALSE), 0, CQ327=TRUE, 1)</f>
        <v>1</v>
      </c>
    </row>
    <row r="328" spans="1:100" ht="15.75" x14ac:dyDescent="0.25">
      <c r="A328" s="8">
        <v>327</v>
      </c>
      <c r="B328" s="9">
        <v>237</v>
      </c>
      <c r="C328" s="10" t="s">
        <v>20</v>
      </c>
      <c r="D328" s="11" t="s">
        <v>229</v>
      </c>
      <c r="E328" s="12">
        <v>27214</v>
      </c>
      <c r="F328" s="13">
        <v>1</v>
      </c>
      <c r="G328" s="9">
        <v>40.544834136962891</v>
      </c>
      <c r="H328" s="12">
        <v>42023</v>
      </c>
      <c r="I328" s="9">
        <v>1</v>
      </c>
      <c r="J328" s="12">
        <v>41977</v>
      </c>
      <c r="K328" s="9">
        <v>1</v>
      </c>
      <c r="L328" s="9">
        <v>1</v>
      </c>
      <c r="M328" s="10" t="s">
        <v>401</v>
      </c>
      <c r="N328" s="9">
        <v>2</v>
      </c>
      <c r="O328" s="10" t="s">
        <v>409</v>
      </c>
      <c r="P328" s="9">
        <v>2</v>
      </c>
      <c r="Q328" s="10" t="s">
        <v>409</v>
      </c>
      <c r="R328" s="12">
        <v>41965</v>
      </c>
      <c r="S328" s="10">
        <v>2</v>
      </c>
      <c r="T328" s="9">
        <v>1</v>
      </c>
      <c r="U328" s="10" t="s">
        <v>401</v>
      </c>
      <c r="V328" s="10" t="s">
        <v>401</v>
      </c>
      <c r="W328" s="9"/>
      <c r="X328" s="9"/>
      <c r="Y328" s="9">
        <v>3</v>
      </c>
      <c r="Z328" s="14"/>
      <c r="AB328" s="9"/>
      <c r="AC328" s="9"/>
      <c r="AD328" s="9">
        <v>2</v>
      </c>
      <c r="AE328" s="9">
        <v>2</v>
      </c>
      <c r="AF328" s="9">
        <v>1</v>
      </c>
      <c r="AG328" s="9">
        <v>0</v>
      </c>
      <c r="AH328" s="9">
        <v>1</v>
      </c>
      <c r="AI328" s="9">
        <v>1</v>
      </c>
      <c r="AJ328" s="12">
        <v>42797</v>
      </c>
      <c r="AK328" s="9">
        <v>2</v>
      </c>
      <c r="AL328" s="12">
        <v>43873</v>
      </c>
      <c r="AM328" s="9">
        <v>2</v>
      </c>
      <c r="AN328" s="12">
        <v>42894</v>
      </c>
      <c r="AO328" s="12">
        <v>43881</v>
      </c>
      <c r="AP328" s="12">
        <v>43881</v>
      </c>
      <c r="AQ328" s="9">
        <v>1</v>
      </c>
      <c r="AR328" s="9">
        <f t="shared" si="125"/>
        <v>1</v>
      </c>
      <c r="AS328" s="9">
        <v>1</v>
      </c>
      <c r="AT328" s="9">
        <v>2</v>
      </c>
      <c r="AU328" s="9">
        <v>2</v>
      </c>
      <c r="AV328" s="9">
        <f t="shared" si="126"/>
        <v>1</v>
      </c>
      <c r="AW328" s="12">
        <v>44742</v>
      </c>
      <c r="AX328" s="9">
        <v>4860</v>
      </c>
      <c r="AY328" s="9">
        <v>2430</v>
      </c>
      <c r="AZ328" s="9"/>
      <c r="BA328" s="9">
        <v>2430</v>
      </c>
      <c r="BB328" s="9">
        <v>1540.29736328125</v>
      </c>
      <c r="BC328" s="9">
        <v>218000</v>
      </c>
      <c r="BD328" s="9"/>
      <c r="BE328" s="9"/>
      <c r="BF328" s="9"/>
      <c r="BG328" s="9">
        <v>5050</v>
      </c>
      <c r="BH328" s="9">
        <v>2373</v>
      </c>
      <c r="BI328" s="9"/>
      <c r="BJ328" s="9">
        <v>247000</v>
      </c>
      <c r="BK328" s="9"/>
      <c r="BL328" s="9"/>
      <c r="BM328" s="9"/>
      <c r="BN328" s="9">
        <v>8140</v>
      </c>
      <c r="BO328" s="9">
        <v>5291</v>
      </c>
      <c r="BP328" s="9"/>
      <c r="BQ328" s="9">
        <v>317000</v>
      </c>
      <c r="BR328" s="9"/>
      <c r="BS328" s="9"/>
      <c r="BT328" s="9"/>
      <c r="BU328" s="9"/>
      <c r="BV328" s="9"/>
      <c r="BW328" s="9"/>
      <c r="BX328" s="9"/>
      <c r="BY328" s="9"/>
      <c r="BZ328" s="10" t="s">
        <v>401</v>
      </c>
      <c r="CA328" s="9"/>
      <c r="CB328" s="9"/>
      <c r="CC328" s="10">
        <f t="shared" si="127"/>
        <v>1.5776174509728711</v>
      </c>
      <c r="CD328" s="10">
        <f t="shared" si="128"/>
        <v>141.53111288563204</v>
      </c>
      <c r="CE328" s="10">
        <f t="shared" si="119"/>
        <v>343920.6043120859</v>
      </c>
      <c r="CF328" s="10">
        <f t="shared" ref="CF328:CF359" si="136">IF(AM328=4, 0,1)</f>
        <v>1</v>
      </c>
      <c r="CG328" s="10">
        <f t="shared" si="122"/>
        <v>1</v>
      </c>
      <c r="CH328" s="10">
        <f t="shared" si="123"/>
        <v>35</v>
      </c>
      <c r="CI328" s="9">
        <f t="shared" si="129"/>
        <v>1</v>
      </c>
      <c r="CJ328" s="10">
        <f t="shared" si="124"/>
        <v>63</v>
      </c>
      <c r="CK328" s="10" t="b">
        <f t="shared" si="130"/>
        <v>1</v>
      </c>
      <c r="CL328" s="10" t="b">
        <f t="shared" si="131"/>
        <v>1</v>
      </c>
      <c r="CM328" s="10" t="b">
        <f t="shared" si="132"/>
        <v>1</v>
      </c>
      <c r="CN328" s="9">
        <f t="shared" si="133"/>
        <v>1</v>
      </c>
      <c r="CO328" s="10">
        <f>(YEAR(AO328)-YEAR(AJ328))*12+MONTH(AO328)-MONTH(AJ328)</f>
        <v>35</v>
      </c>
      <c r="CP328" s="10" t="b">
        <f t="shared" si="134"/>
        <v>1</v>
      </c>
      <c r="CQ328" s="10" t="b">
        <f t="shared" si="135"/>
        <v>1</v>
      </c>
      <c r="CR328" s="10" cm="1">
        <f t="array" ref="CR328">_xlfn.IFS(AND($CI328=0, CK328=FALSE), NA(), AND($CI328=1, CK328=FALSE), 0, CK328=TRUE, 1)</f>
        <v>1</v>
      </c>
      <c r="CS328" s="10" cm="1">
        <f t="array" ref="CS328">_xlfn.IFS(AND($CI328=0, CL328=FALSE), NA(), AND($CI328=1, CL328=FALSE), 0, CL328=TRUE, 1)</f>
        <v>1</v>
      </c>
      <c r="CT328" s="10" cm="1">
        <f t="array" ref="CT328">_xlfn.IFS(AND($CI328=0, CM328=FALSE), NA(), AND($CI328=1, CM328=FALSE), 0, CM328=TRUE, 1)</f>
        <v>1</v>
      </c>
      <c r="CU328" s="10" cm="1">
        <f t="array" ref="CU328">_xlfn.IFS(AND($CN328=0, CP328=FALSE), NA(), AND($CN328=1, CP328=FALSE), 0, CP328=TRUE, 1)</f>
        <v>1</v>
      </c>
      <c r="CV328" s="10" cm="1">
        <f t="array" ref="CV328">_xlfn.IFS(AND($CN328=0, CQ328=FALSE), NA(), AND($CN328=1, CQ328=FALSE), 0, CQ328=TRUE, 1)</f>
        <v>1</v>
      </c>
    </row>
    <row r="329" spans="1:100" x14ac:dyDescent="0.25">
      <c r="A329" s="8">
        <v>328</v>
      </c>
      <c r="B329" s="9">
        <v>87</v>
      </c>
      <c r="C329" s="10" t="s">
        <v>10</v>
      </c>
      <c r="D329" s="11" t="s">
        <v>115</v>
      </c>
      <c r="E329" s="12">
        <v>22391</v>
      </c>
      <c r="F329" s="13">
        <v>1</v>
      </c>
      <c r="G329" s="9">
        <v>53.765914916992188</v>
      </c>
      <c r="H329" s="12">
        <v>42029</v>
      </c>
      <c r="I329" s="9">
        <v>1</v>
      </c>
      <c r="J329" s="12">
        <v>42522</v>
      </c>
      <c r="K329" s="9">
        <v>0</v>
      </c>
      <c r="L329" s="9">
        <v>1</v>
      </c>
      <c r="M329" s="10" t="s">
        <v>401</v>
      </c>
      <c r="N329" s="9">
        <v>1</v>
      </c>
      <c r="O329" s="10" t="s">
        <v>401</v>
      </c>
      <c r="P329" s="9">
        <v>1</v>
      </c>
      <c r="Q329" s="10" t="s">
        <v>401</v>
      </c>
      <c r="R329" s="12">
        <v>42689</v>
      </c>
      <c r="S329" s="10" t="s">
        <v>145</v>
      </c>
      <c r="T329" s="9"/>
      <c r="U329" s="10" t="s">
        <v>401</v>
      </c>
      <c r="V329" s="10" t="s">
        <v>401</v>
      </c>
      <c r="W329" s="9"/>
      <c r="X329" s="9"/>
      <c r="Y329" s="9">
        <v>2</v>
      </c>
      <c r="Z329" s="19">
        <v>1</v>
      </c>
      <c r="AB329" s="9"/>
      <c r="AC329" s="9"/>
      <c r="AD329" s="9">
        <v>2</v>
      </c>
      <c r="AE329" s="9">
        <v>2</v>
      </c>
      <c r="AF329" s="9">
        <v>1</v>
      </c>
      <c r="AG329" s="9">
        <v>0</v>
      </c>
      <c r="AH329" s="9">
        <v>1</v>
      </c>
      <c r="AI329" s="9">
        <v>0</v>
      </c>
      <c r="AJ329" s="12">
        <v>42985</v>
      </c>
      <c r="AK329" s="9">
        <v>2</v>
      </c>
      <c r="AL329" s="12">
        <v>43518</v>
      </c>
      <c r="AM329" s="9">
        <v>2</v>
      </c>
      <c r="AN329" s="12">
        <v>43350</v>
      </c>
      <c r="AO329" s="12">
        <v>43546</v>
      </c>
      <c r="AP329" s="12">
        <v>43546</v>
      </c>
      <c r="AQ329" s="9">
        <v>1</v>
      </c>
      <c r="AR329" s="9">
        <f t="shared" si="125"/>
        <v>1</v>
      </c>
      <c r="AS329" s="9">
        <v>1</v>
      </c>
      <c r="AT329" s="9">
        <v>2</v>
      </c>
      <c r="AU329" s="9">
        <v>1</v>
      </c>
      <c r="AV329" s="9">
        <f t="shared" si="126"/>
        <v>0</v>
      </c>
      <c r="AW329" s="12">
        <v>44937</v>
      </c>
      <c r="AX329" s="9"/>
      <c r="AY329" s="9">
        <v>880</v>
      </c>
      <c r="AZ329" s="9">
        <v>1000</v>
      </c>
      <c r="BA329" s="9">
        <v>880</v>
      </c>
      <c r="BB329" s="9">
        <v>1000.0001220703125</v>
      </c>
      <c r="BC329" s="9">
        <v>220000</v>
      </c>
      <c r="BD329" s="9">
        <v>600</v>
      </c>
      <c r="BE329" s="9">
        <v>100</v>
      </c>
      <c r="BF329" s="9">
        <v>250</v>
      </c>
      <c r="BG329" s="9"/>
      <c r="BH329" s="9">
        <v>1200</v>
      </c>
      <c r="BI329" s="9">
        <v>1100</v>
      </c>
      <c r="BJ329" s="9">
        <v>240000</v>
      </c>
      <c r="BK329" s="9">
        <v>500</v>
      </c>
      <c r="BL329" s="9">
        <v>0</v>
      </c>
      <c r="BM329" s="9">
        <v>235</v>
      </c>
      <c r="BN329" s="9"/>
      <c r="BO329" s="9">
        <v>1100</v>
      </c>
      <c r="BP329" s="9">
        <v>1200</v>
      </c>
      <c r="BQ329" s="9">
        <v>300000</v>
      </c>
      <c r="BR329" s="9">
        <v>300</v>
      </c>
      <c r="BS329" s="9">
        <v>0</v>
      </c>
      <c r="BT329" s="9">
        <v>240</v>
      </c>
      <c r="BU329" s="9"/>
      <c r="BV329" s="9">
        <v>1300</v>
      </c>
      <c r="BW329" s="9">
        <v>1200</v>
      </c>
      <c r="BX329" s="9">
        <v>280000</v>
      </c>
      <c r="BY329" s="9">
        <v>400</v>
      </c>
      <c r="BZ329" s="10" t="s">
        <v>442</v>
      </c>
      <c r="CA329" s="9">
        <v>0</v>
      </c>
      <c r="CB329" s="9">
        <v>220</v>
      </c>
      <c r="CC329" s="10">
        <f t="shared" si="127"/>
        <v>0.87999989257813815</v>
      </c>
      <c r="CD329" s="10">
        <f t="shared" si="128"/>
        <v>219.99997314453452</v>
      </c>
      <c r="CE329" s="10">
        <f t="shared" si="119"/>
        <v>193599.97636719039</v>
      </c>
      <c r="CF329" s="10">
        <f t="shared" si="136"/>
        <v>1</v>
      </c>
      <c r="CG329" s="10">
        <f t="shared" si="122"/>
        <v>1</v>
      </c>
      <c r="CH329" s="10">
        <f t="shared" si="123"/>
        <v>17</v>
      </c>
      <c r="CI329" s="9">
        <f t="shared" si="129"/>
        <v>0</v>
      </c>
      <c r="CJ329" s="10">
        <f t="shared" si="124"/>
        <v>64</v>
      </c>
      <c r="CK329" s="10" t="b">
        <f t="shared" si="130"/>
        <v>1</v>
      </c>
      <c r="CL329" s="10" t="b">
        <f t="shared" si="131"/>
        <v>1</v>
      </c>
      <c r="CM329" s="10" t="b">
        <f t="shared" si="132"/>
        <v>1</v>
      </c>
      <c r="CN329" s="9">
        <f t="shared" si="133"/>
        <v>1</v>
      </c>
      <c r="CO329" s="10">
        <f>(YEAR(AO329)-YEAR(AJ329))*12+MONTH(AO329)-MONTH(AJ329)</f>
        <v>18</v>
      </c>
      <c r="CP329" s="10" t="b">
        <f t="shared" si="134"/>
        <v>1</v>
      </c>
      <c r="CQ329" s="10" t="b">
        <f t="shared" si="135"/>
        <v>1</v>
      </c>
      <c r="CR329" s="10" cm="1">
        <f t="array" ref="CR329">_xlfn.IFS(AND($CI329=0, CK329=FALSE), NA(), AND($CI329=1, CK329=FALSE), 0, CK329=TRUE, 1)</f>
        <v>1</v>
      </c>
      <c r="CS329" s="10" cm="1">
        <f t="array" ref="CS329">_xlfn.IFS(AND($CI329=0, CL329=FALSE), NA(), AND($CI329=1, CL329=FALSE), 0, CL329=TRUE, 1)</f>
        <v>1</v>
      </c>
      <c r="CT329" s="10" cm="1">
        <f t="array" ref="CT329">_xlfn.IFS(AND($CI329=0, CM329=FALSE), NA(), AND($CI329=1, CM329=FALSE), 0, CM329=TRUE, 1)</f>
        <v>1</v>
      </c>
      <c r="CU329" s="10" cm="1">
        <f t="array" ref="CU329">_xlfn.IFS(AND($CN329=0, CP329=FALSE), NA(), AND($CN329=1, CP329=FALSE), 0, CP329=TRUE, 1)</f>
        <v>1</v>
      </c>
      <c r="CV329" s="10" cm="1">
        <f t="array" ref="CV329">_xlfn.IFS(AND($CN329=0, CQ329=FALSE), NA(), AND($CN329=1, CQ329=FALSE), 0, CQ329=TRUE, 1)</f>
        <v>1</v>
      </c>
    </row>
    <row r="330" spans="1:100" x14ac:dyDescent="0.25">
      <c r="A330" s="8">
        <v>329</v>
      </c>
      <c r="B330" s="9">
        <v>116</v>
      </c>
      <c r="C330" s="10" t="s">
        <v>12</v>
      </c>
      <c r="D330" s="11" t="s">
        <v>139</v>
      </c>
      <c r="E330" s="12">
        <v>24012</v>
      </c>
      <c r="F330" s="13">
        <v>2</v>
      </c>
      <c r="G330" s="9">
        <v>49.377140045166016</v>
      </c>
      <c r="H330" s="12">
        <v>42047</v>
      </c>
      <c r="I330" s="9">
        <v>1</v>
      </c>
      <c r="J330" s="12">
        <v>42086</v>
      </c>
      <c r="K330" s="9">
        <v>0</v>
      </c>
      <c r="L330" s="9">
        <v>1</v>
      </c>
      <c r="M330" s="10" t="s">
        <v>401</v>
      </c>
      <c r="N330" s="9">
        <v>2</v>
      </c>
      <c r="O330" s="10" t="s">
        <v>145</v>
      </c>
      <c r="P330" s="9">
        <v>2</v>
      </c>
      <c r="Q330" s="10" t="s">
        <v>145</v>
      </c>
      <c r="R330" s="12">
        <v>42373</v>
      </c>
      <c r="S330" s="10" t="s">
        <v>145</v>
      </c>
      <c r="T330" s="9"/>
      <c r="U330" s="10" t="s">
        <v>401</v>
      </c>
      <c r="V330" s="10" t="s">
        <v>401</v>
      </c>
      <c r="W330" s="9"/>
      <c r="X330" s="9"/>
      <c r="Y330" s="9">
        <v>2</v>
      </c>
      <c r="Z330" s="19">
        <v>1</v>
      </c>
      <c r="AB330" s="9"/>
      <c r="AC330" s="9"/>
      <c r="AD330" s="9">
        <v>2</v>
      </c>
      <c r="AE330" s="9">
        <v>2</v>
      </c>
      <c r="AF330" s="9">
        <v>1</v>
      </c>
      <c r="AG330" s="9">
        <v>0</v>
      </c>
      <c r="AH330" s="9">
        <v>1</v>
      </c>
      <c r="AI330" s="9">
        <v>0</v>
      </c>
      <c r="AJ330" s="12">
        <v>42835</v>
      </c>
      <c r="AK330" s="9">
        <v>1</v>
      </c>
      <c r="AL330" s="12">
        <v>43931</v>
      </c>
      <c r="AM330" s="9">
        <v>4</v>
      </c>
      <c r="AN330" s="12">
        <v>42929</v>
      </c>
      <c r="AO330" s="12">
        <v>42929</v>
      </c>
      <c r="AP330" s="12"/>
      <c r="AQ330" s="9">
        <v>1</v>
      </c>
      <c r="AR330" s="9">
        <f t="shared" si="125"/>
        <v>1</v>
      </c>
      <c r="AS330" s="9">
        <v>2</v>
      </c>
      <c r="AT330" s="9">
        <v>1</v>
      </c>
      <c r="AU330" s="9">
        <v>1</v>
      </c>
      <c r="AV330" s="9">
        <f t="shared" si="126"/>
        <v>0</v>
      </c>
      <c r="AW330" s="12">
        <v>43931</v>
      </c>
      <c r="AX330" s="9">
        <v>4270</v>
      </c>
      <c r="AY330" s="9">
        <v>2550</v>
      </c>
      <c r="AZ330" s="9">
        <v>1150</v>
      </c>
      <c r="BA330" s="9">
        <v>2550</v>
      </c>
      <c r="BB330" s="9">
        <v>1150.0001220703125</v>
      </c>
      <c r="BC330" s="9">
        <v>89000</v>
      </c>
      <c r="BD330" s="9">
        <v>560</v>
      </c>
      <c r="BE330" s="9">
        <v>0</v>
      </c>
      <c r="BF330" s="9"/>
      <c r="BG330" s="9">
        <v>7270</v>
      </c>
      <c r="BH330" s="9">
        <v>5240</v>
      </c>
      <c r="BI330" s="9">
        <v>1300</v>
      </c>
      <c r="BJ330" s="9">
        <v>181000</v>
      </c>
      <c r="BK330" s="9">
        <v>700</v>
      </c>
      <c r="BL330" s="9">
        <v>0</v>
      </c>
      <c r="BM330" s="9"/>
      <c r="BN330" s="9">
        <v>8250</v>
      </c>
      <c r="BO330" s="9">
        <v>5900</v>
      </c>
      <c r="BP330" s="9">
        <v>1510</v>
      </c>
      <c r="BQ330" s="9">
        <v>189000</v>
      </c>
      <c r="BR330" s="9">
        <v>80</v>
      </c>
      <c r="BS330" s="9">
        <v>0</v>
      </c>
      <c r="BT330" s="9"/>
      <c r="BU330" s="9">
        <v>8780</v>
      </c>
      <c r="BV330" s="9">
        <v>6710</v>
      </c>
      <c r="BW330" s="9">
        <v>1390</v>
      </c>
      <c r="BX330" s="9">
        <v>164000</v>
      </c>
      <c r="BY330" s="9">
        <v>650</v>
      </c>
      <c r="BZ330" s="10" t="s">
        <v>442</v>
      </c>
      <c r="CA330" s="9">
        <v>0</v>
      </c>
      <c r="CB330" s="9"/>
      <c r="CC330" s="10">
        <f t="shared" si="127"/>
        <v>2.2173910689759819</v>
      </c>
      <c r="CD330" s="10">
        <f t="shared" si="128"/>
        <v>77.39129613288722</v>
      </c>
      <c r="CE330" s="10">
        <f t="shared" si="119"/>
        <v>197347.8051388624</v>
      </c>
      <c r="CF330" s="10">
        <f t="shared" si="136"/>
        <v>0</v>
      </c>
      <c r="CG330" s="10">
        <f t="shared" si="122"/>
        <v>0</v>
      </c>
      <c r="CH330" s="10">
        <f t="shared" si="123"/>
        <v>36</v>
      </c>
      <c r="CI330" s="9">
        <f t="shared" si="129"/>
        <v>0</v>
      </c>
      <c r="CJ330" s="10">
        <f t="shared" si="124"/>
        <v>36</v>
      </c>
      <c r="CK330" s="10" t="b">
        <f t="shared" si="130"/>
        <v>1</v>
      </c>
      <c r="CL330" s="10" t="b">
        <f t="shared" si="131"/>
        <v>1</v>
      </c>
      <c r="CM330" s="10" t="b">
        <f t="shared" si="132"/>
        <v>1</v>
      </c>
      <c r="CN330" s="9">
        <f t="shared" si="133"/>
        <v>1</v>
      </c>
      <c r="CO330" s="10">
        <f>(YEAR(AO330)-YEAR(AJ330))*12+MONTH(AO330)-MONTH(AJ330)</f>
        <v>3</v>
      </c>
      <c r="CP330" s="10" t="b">
        <f t="shared" si="134"/>
        <v>1</v>
      </c>
      <c r="CQ330" s="10" t="b">
        <f t="shared" si="135"/>
        <v>0</v>
      </c>
      <c r="CR330" s="10" cm="1">
        <f t="array" ref="CR330">_xlfn.IFS(AND($CI330=0, CK330=FALSE), NA(), AND($CI330=1, CK330=FALSE), 0, CK330=TRUE, 1)</f>
        <v>1</v>
      </c>
      <c r="CS330" s="10" cm="1">
        <f t="array" ref="CS330">_xlfn.IFS(AND($CI330=0, CL330=FALSE), NA(), AND($CI330=1, CL330=FALSE), 0, CL330=TRUE, 1)</f>
        <v>1</v>
      </c>
      <c r="CT330" s="10" cm="1">
        <f t="array" ref="CT330">_xlfn.IFS(AND($CI330=0, CM330=FALSE), NA(), AND($CI330=1, CM330=FALSE), 0, CM330=TRUE, 1)</f>
        <v>1</v>
      </c>
      <c r="CU330" s="10" cm="1">
        <f t="array" ref="CU330">_xlfn.IFS(AND($CN330=0, CP330=FALSE), NA(), AND($CN330=1, CP330=FALSE), 0, CP330=TRUE, 1)</f>
        <v>1</v>
      </c>
      <c r="CV330" s="10" cm="1">
        <f t="array" ref="CV330">_xlfn.IFS(AND($CN330=0, CQ330=FALSE), NA(), AND($CN330=1, CQ330=FALSE), 0, CQ330=TRUE, 1)</f>
        <v>0</v>
      </c>
    </row>
    <row r="331" spans="1:100" x14ac:dyDescent="0.25">
      <c r="A331" s="8">
        <v>330</v>
      </c>
      <c r="B331" s="9">
        <v>480</v>
      </c>
      <c r="C331" s="10" t="s">
        <v>31</v>
      </c>
      <c r="D331" s="11" t="s">
        <v>374</v>
      </c>
      <c r="E331" s="12"/>
      <c r="F331" s="13">
        <v>1</v>
      </c>
      <c r="G331" s="9">
        <v>54</v>
      </c>
      <c r="H331" s="12">
        <v>42050</v>
      </c>
      <c r="I331" s="9">
        <v>1</v>
      </c>
      <c r="J331" s="12">
        <v>42050</v>
      </c>
      <c r="K331" s="9">
        <v>0</v>
      </c>
      <c r="L331" s="9">
        <v>1</v>
      </c>
      <c r="M331" s="10" t="s">
        <v>401</v>
      </c>
      <c r="N331" s="9">
        <v>1</v>
      </c>
      <c r="O331" s="10" t="s">
        <v>401</v>
      </c>
      <c r="P331" s="9">
        <v>1</v>
      </c>
      <c r="Q331" s="10" t="s">
        <v>401</v>
      </c>
      <c r="R331" s="12">
        <v>42750</v>
      </c>
      <c r="S331" s="10" t="s">
        <v>145</v>
      </c>
      <c r="T331" s="9"/>
      <c r="U331" s="10" t="s">
        <v>401</v>
      </c>
      <c r="V331" s="10" t="s">
        <v>401</v>
      </c>
      <c r="W331" s="9"/>
      <c r="X331" s="9"/>
      <c r="Y331" s="9">
        <v>2</v>
      </c>
      <c r="Z331" s="19">
        <v>1</v>
      </c>
      <c r="AB331" s="9"/>
      <c r="AC331" s="9"/>
      <c r="AD331" s="9">
        <v>2</v>
      </c>
      <c r="AE331" s="9">
        <v>2</v>
      </c>
      <c r="AF331" s="9">
        <v>1</v>
      </c>
      <c r="AG331" s="9">
        <v>0</v>
      </c>
      <c r="AH331" s="9">
        <v>1</v>
      </c>
      <c r="AI331" s="9">
        <v>0</v>
      </c>
      <c r="AJ331" s="12">
        <v>43362</v>
      </c>
      <c r="AK331" s="9">
        <v>2</v>
      </c>
      <c r="AL331" s="12">
        <v>43503</v>
      </c>
      <c r="AM331" s="9">
        <v>3</v>
      </c>
      <c r="AN331" s="12">
        <v>43452</v>
      </c>
      <c r="AO331" s="12">
        <v>43530</v>
      </c>
      <c r="AP331" s="12">
        <v>43530</v>
      </c>
      <c r="AQ331" s="9">
        <v>1</v>
      </c>
      <c r="AR331" s="9">
        <f t="shared" si="125"/>
        <v>1</v>
      </c>
      <c r="AS331" s="9">
        <v>1</v>
      </c>
      <c r="AT331" s="9">
        <v>2</v>
      </c>
      <c r="AU331" s="9">
        <v>2</v>
      </c>
      <c r="AV331" s="9">
        <f t="shared" si="126"/>
        <v>1</v>
      </c>
      <c r="AW331" s="12">
        <v>43973</v>
      </c>
      <c r="AX331" s="9">
        <v>4770</v>
      </c>
      <c r="AY331" s="9">
        <v>2690</v>
      </c>
      <c r="AZ331" s="9">
        <v>1160</v>
      </c>
      <c r="BA331" s="9">
        <v>2690</v>
      </c>
      <c r="BB331" s="9">
        <v>1160</v>
      </c>
      <c r="BC331" s="9">
        <v>333000</v>
      </c>
      <c r="BD331" s="9">
        <v>700</v>
      </c>
      <c r="BE331" s="9">
        <v>170</v>
      </c>
      <c r="BF331" s="9">
        <v>331</v>
      </c>
      <c r="BG331" s="9">
        <v>6400</v>
      </c>
      <c r="BH331" s="9">
        <v>3580</v>
      </c>
      <c r="BI331" s="9">
        <v>1360</v>
      </c>
      <c r="BJ331" s="9">
        <v>313000</v>
      </c>
      <c r="BK331" s="9">
        <v>990</v>
      </c>
      <c r="BL331" s="9">
        <v>390</v>
      </c>
      <c r="BM331" s="9">
        <v>365</v>
      </c>
      <c r="BN331" s="9">
        <v>4940</v>
      </c>
      <c r="BO331" s="9">
        <v>2610</v>
      </c>
      <c r="BP331" s="9">
        <v>1230</v>
      </c>
      <c r="BQ331" s="9">
        <v>294000</v>
      </c>
      <c r="BR331" s="9">
        <v>800</v>
      </c>
      <c r="BS331" s="9">
        <v>240</v>
      </c>
      <c r="BT331" s="9">
        <v>405</v>
      </c>
      <c r="BU331" s="9">
        <v>5590</v>
      </c>
      <c r="BV331" s="9">
        <v>3010</v>
      </c>
      <c r="BW331" s="9">
        <v>1290</v>
      </c>
      <c r="BX331" s="9">
        <v>520000</v>
      </c>
      <c r="BY331" s="9">
        <v>880</v>
      </c>
      <c r="BZ331" s="10" t="s">
        <v>539</v>
      </c>
      <c r="CA331" s="9">
        <v>350</v>
      </c>
      <c r="CB331" s="9">
        <v>356</v>
      </c>
      <c r="CC331" s="10">
        <f t="shared" si="127"/>
        <v>2.3189655172413794</v>
      </c>
      <c r="CD331" s="10">
        <f t="shared" si="128"/>
        <v>287.06896551724139</v>
      </c>
      <c r="CE331" s="10">
        <f t="shared" si="119"/>
        <v>772215.51724137936</v>
      </c>
      <c r="CF331" s="10">
        <f t="shared" si="136"/>
        <v>1</v>
      </c>
      <c r="CG331" s="10">
        <f t="shared" si="122"/>
        <v>0</v>
      </c>
      <c r="CH331" s="10">
        <f t="shared" si="123"/>
        <v>5</v>
      </c>
      <c r="CI331" s="9">
        <f t="shared" si="129"/>
        <v>1</v>
      </c>
      <c r="CJ331" s="10">
        <f t="shared" si="124"/>
        <v>20</v>
      </c>
      <c r="CK331" s="10" t="b">
        <f t="shared" si="130"/>
        <v>1</v>
      </c>
      <c r="CL331" s="10" t="b">
        <f t="shared" si="131"/>
        <v>1</v>
      </c>
      <c r="CM331" s="10" t="b">
        <f t="shared" si="132"/>
        <v>0</v>
      </c>
      <c r="CN331" s="9">
        <f t="shared" si="133"/>
        <v>1</v>
      </c>
      <c r="CO331" s="10">
        <f>(YEAR(AO331)-YEAR(AJ331))*12+MONTH(AO331)-MONTH(AJ331)</f>
        <v>6</v>
      </c>
      <c r="CP331" s="10" t="b">
        <f t="shared" si="134"/>
        <v>1</v>
      </c>
      <c r="CQ331" s="10" t="b">
        <f t="shared" si="135"/>
        <v>0</v>
      </c>
      <c r="CR331" s="10" cm="1">
        <f t="array" ref="CR331">_xlfn.IFS(AND($CI331=0, CK331=FALSE), NA(), AND($CI331=1, CK331=FALSE), 0, CK331=TRUE, 1)</f>
        <v>1</v>
      </c>
      <c r="CS331" s="10" cm="1">
        <f t="array" ref="CS331">_xlfn.IFS(AND($CI331=0, CL331=FALSE), NA(), AND($CI331=1, CL331=FALSE), 0, CL331=TRUE, 1)</f>
        <v>1</v>
      </c>
      <c r="CT331" s="10" cm="1">
        <f t="array" ref="CT331">_xlfn.IFS(AND($CI331=0, CM331=FALSE), NA(), AND($CI331=1, CM331=FALSE), 0, CM331=TRUE, 1)</f>
        <v>0</v>
      </c>
      <c r="CU331" s="10" cm="1">
        <f t="array" ref="CU331">_xlfn.IFS(AND($CN331=0, CP331=FALSE), NA(), AND($CN331=1, CP331=FALSE), 0, CP331=TRUE, 1)</f>
        <v>1</v>
      </c>
      <c r="CV331" s="10" cm="1">
        <f t="array" ref="CV331">_xlfn.IFS(AND($CN331=0, CQ331=FALSE), NA(), AND($CN331=1, CQ331=FALSE), 0, CQ331=TRUE, 1)</f>
        <v>0</v>
      </c>
    </row>
    <row r="332" spans="1:100" ht="15.75" x14ac:dyDescent="0.25">
      <c r="A332" s="8">
        <v>331</v>
      </c>
      <c r="B332" s="9">
        <v>336</v>
      </c>
      <c r="C332" s="10" t="s">
        <v>26</v>
      </c>
      <c r="D332" s="11" t="s">
        <v>85</v>
      </c>
      <c r="E332" s="12">
        <v>22284</v>
      </c>
      <c r="F332" s="13">
        <v>1</v>
      </c>
      <c r="G332" s="9">
        <v>54.154689788818359</v>
      </c>
      <c r="H332" s="12">
        <v>42064</v>
      </c>
      <c r="I332" s="9">
        <v>1</v>
      </c>
      <c r="J332" s="12">
        <v>42104</v>
      </c>
      <c r="K332" s="9">
        <v>1</v>
      </c>
      <c r="L332" s="9">
        <v>1</v>
      </c>
      <c r="M332" s="10" t="s">
        <v>401</v>
      </c>
      <c r="N332" s="9">
        <v>2</v>
      </c>
      <c r="O332" s="10" t="s">
        <v>409</v>
      </c>
      <c r="P332" s="9">
        <v>2</v>
      </c>
      <c r="Q332" s="10" t="s">
        <v>409</v>
      </c>
      <c r="R332" s="12">
        <v>42064</v>
      </c>
      <c r="S332" s="10" t="s">
        <v>146</v>
      </c>
      <c r="T332" s="9"/>
      <c r="U332" s="10" t="s">
        <v>401</v>
      </c>
      <c r="V332" s="10" t="s">
        <v>401</v>
      </c>
      <c r="W332" s="9"/>
      <c r="X332" s="9"/>
      <c r="Y332" s="9">
        <v>2</v>
      </c>
      <c r="Z332" s="14">
        <v>2</v>
      </c>
      <c r="AA332" s="32">
        <v>15</v>
      </c>
      <c r="AB332" s="33" t="s">
        <v>492</v>
      </c>
      <c r="AC332" s="33" t="s">
        <v>493</v>
      </c>
      <c r="AD332" s="9">
        <v>2</v>
      </c>
      <c r="AE332" s="9">
        <v>2</v>
      </c>
      <c r="AF332" s="9">
        <v>1</v>
      </c>
      <c r="AG332" s="9">
        <v>1</v>
      </c>
      <c r="AH332" s="9">
        <v>1</v>
      </c>
      <c r="AI332" s="9">
        <v>0</v>
      </c>
      <c r="AJ332" s="12">
        <v>43013</v>
      </c>
      <c r="AK332" s="9">
        <v>1</v>
      </c>
      <c r="AL332" s="12">
        <v>44971</v>
      </c>
      <c r="AM332" s="9">
        <v>1</v>
      </c>
      <c r="AN332" s="12">
        <v>43439</v>
      </c>
      <c r="AO332" s="12"/>
      <c r="AP332" s="12"/>
      <c r="AQ332" s="9">
        <v>2</v>
      </c>
      <c r="AR332" s="9">
        <f t="shared" si="125"/>
        <v>0</v>
      </c>
      <c r="AS332" s="9">
        <v>2</v>
      </c>
      <c r="AT332" s="9"/>
      <c r="AU332" s="9">
        <v>1</v>
      </c>
      <c r="AV332" s="9">
        <f t="shared" si="126"/>
        <v>0</v>
      </c>
      <c r="AW332" s="12">
        <v>44971</v>
      </c>
      <c r="AX332" s="9">
        <v>4940</v>
      </c>
      <c r="AY332" s="9">
        <v>2600</v>
      </c>
      <c r="AZ332" s="9">
        <v>1600</v>
      </c>
      <c r="BA332" s="9">
        <v>2600</v>
      </c>
      <c r="BB332" s="9">
        <v>1600.0001220703125</v>
      </c>
      <c r="BC332" s="9">
        <v>198000</v>
      </c>
      <c r="BD332" s="9">
        <v>530</v>
      </c>
      <c r="BE332" s="9">
        <v>200</v>
      </c>
      <c r="BF332" s="9">
        <v>177</v>
      </c>
      <c r="BG332" s="9">
        <v>6700</v>
      </c>
      <c r="BH332" s="9">
        <v>3980</v>
      </c>
      <c r="BI332" s="9">
        <v>1750</v>
      </c>
      <c r="BJ332" s="9">
        <v>268000</v>
      </c>
      <c r="BK332" s="9">
        <v>620</v>
      </c>
      <c r="BL332" s="9">
        <v>310</v>
      </c>
      <c r="BM332" s="9"/>
      <c r="BN332" s="9">
        <v>8050</v>
      </c>
      <c r="BO332" s="9">
        <v>4650</v>
      </c>
      <c r="BP332" s="9">
        <v>2170</v>
      </c>
      <c r="BQ332" s="9">
        <v>230000</v>
      </c>
      <c r="BR332" s="9">
        <v>840</v>
      </c>
      <c r="BS332" s="9">
        <v>360</v>
      </c>
      <c r="BT332" s="9"/>
      <c r="BU332" s="9">
        <v>7100</v>
      </c>
      <c r="BV332" s="9">
        <v>4160</v>
      </c>
      <c r="BW332" s="9">
        <v>1790</v>
      </c>
      <c r="BX332" s="9">
        <v>224000</v>
      </c>
      <c r="BY332" s="9">
        <v>800</v>
      </c>
      <c r="BZ332" s="10" t="s">
        <v>529</v>
      </c>
      <c r="CA332" s="9">
        <v>310</v>
      </c>
      <c r="CB332" s="9"/>
      <c r="CC332" s="10">
        <f t="shared" si="127"/>
        <v>1.6249998760223483</v>
      </c>
      <c r="CD332" s="10">
        <f t="shared" si="128"/>
        <v>123.74999055862499</v>
      </c>
      <c r="CE332" s="10">
        <f t="shared" si="119"/>
        <v>321749.97545242496</v>
      </c>
      <c r="CF332" s="10">
        <f t="shared" si="136"/>
        <v>1</v>
      </c>
      <c r="CG332" s="10">
        <f t="shared" si="122"/>
        <v>1</v>
      </c>
      <c r="CH332" s="10">
        <f t="shared" si="123"/>
        <v>64</v>
      </c>
      <c r="CI332" s="9">
        <f t="shared" si="129"/>
        <v>0</v>
      </c>
      <c r="CJ332" s="10">
        <f t="shared" si="124"/>
        <v>64</v>
      </c>
      <c r="CK332" s="10" t="b">
        <f t="shared" si="130"/>
        <v>1</v>
      </c>
      <c r="CL332" s="10" t="b">
        <f t="shared" si="131"/>
        <v>1</v>
      </c>
      <c r="CM332" s="10" t="b">
        <f t="shared" si="132"/>
        <v>1</v>
      </c>
      <c r="CN332" s="9">
        <f t="shared" si="133"/>
        <v>0</v>
      </c>
      <c r="CO332" s="10">
        <f>CJ332</f>
        <v>64</v>
      </c>
      <c r="CP332" s="10" t="b">
        <f t="shared" si="134"/>
        <v>1</v>
      </c>
      <c r="CQ332" s="10" t="b">
        <f t="shared" si="135"/>
        <v>1</v>
      </c>
      <c r="CR332" s="10" cm="1">
        <f t="array" ref="CR332">_xlfn.IFS(AND($CI332=0, CK332=FALSE), NA(), AND($CI332=1, CK332=FALSE), 0, CK332=TRUE, 1)</f>
        <v>1</v>
      </c>
      <c r="CS332" s="10" cm="1">
        <f t="array" ref="CS332">_xlfn.IFS(AND($CI332=0, CL332=FALSE), NA(), AND($CI332=1, CL332=FALSE), 0, CL332=TRUE, 1)</f>
        <v>1</v>
      </c>
      <c r="CT332" s="10" cm="1">
        <f t="array" ref="CT332">_xlfn.IFS(AND($CI332=0, CM332=FALSE), NA(), AND($CI332=1, CM332=FALSE), 0, CM332=TRUE, 1)</f>
        <v>1</v>
      </c>
      <c r="CU332" s="10" cm="1">
        <f t="array" ref="CU332">_xlfn.IFS(AND($CN332=0, CP332=FALSE), NA(), AND($CN332=1, CP332=FALSE), 0, CP332=TRUE, 1)</f>
        <v>1</v>
      </c>
      <c r="CV332" s="10" cm="1">
        <f t="array" ref="CV332">_xlfn.IFS(AND($CN332=0, CQ332=FALSE), NA(), AND($CN332=1, CQ332=FALSE), 0, CQ332=TRUE, 1)</f>
        <v>1</v>
      </c>
    </row>
    <row r="333" spans="1:100" ht="15.75" x14ac:dyDescent="0.25">
      <c r="A333" s="8">
        <v>332</v>
      </c>
      <c r="B333" s="9">
        <v>221</v>
      </c>
      <c r="C333" s="10" t="s">
        <v>19</v>
      </c>
      <c r="D333" s="11" t="s">
        <v>219</v>
      </c>
      <c r="E333" s="12">
        <v>30178</v>
      </c>
      <c r="F333" s="13">
        <v>1</v>
      </c>
      <c r="G333" s="9">
        <v>32.572212219238281</v>
      </c>
      <c r="H333" s="12">
        <v>42075</v>
      </c>
      <c r="I333" s="9">
        <v>1</v>
      </c>
      <c r="J333" s="12">
        <v>42075</v>
      </c>
      <c r="K333" s="9">
        <v>0</v>
      </c>
      <c r="L333" s="9">
        <v>1</v>
      </c>
      <c r="M333" s="10" t="s">
        <v>401</v>
      </c>
      <c r="N333" s="9">
        <v>1</v>
      </c>
      <c r="O333" s="10" t="s">
        <v>401</v>
      </c>
      <c r="P333" s="9">
        <v>1</v>
      </c>
      <c r="Q333" s="10" t="s">
        <v>401</v>
      </c>
      <c r="R333" s="12">
        <v>42447</v>
      </c>
      <c r="S333" s="10" t="s">
        <v>146</v>
      </c>
      <c r="T333" s="9"/>
      <c r="U333" s="10" t="s">
        <v>401</v>
      </c>
      <c r="V333" s="10" t="s">
        <v>401</v>
      </c>
      <c r="W333" s="9"/>
      <c r="X333" s="9"/>
      <c r="Y333" s="9">
        <v>2</v>
      </c>
      <c r="Z333" s="14">
        <v>2</v>
      </c>
      <c r="AA333" s="34">
        <v>13.3</v>
      </c>
      <c r="AB333" s="14">
        <v>110</v>
      </c>
      <c r="AC333" s="14">
        <v>13</v>
      </c>
      <c r="AD333" s="9">
        <v>1</v>
      </c>
      <c r="AE333" s="9">
        <v>1</v>
      </c>
      <c r="AF333" s="9">
        <v>1</v>
      </c>
      <c r="AG333" s="9">
        <v>1</v>
      </c>
      <c r="AH333" s="9">
        <v>1</v>
      </c>
      <c r="AI333" s="9">
        <v>0</v>
      </c>
      <c r="AJ333" s="12">
        <v>43173</v>
      </c>
      <c r="AK333" s="9">
        <v>2</v>
      </c>
      <c r="AL333" s="12">
        <v>43262</v>
      </c>
      <c r="AM333" s="9">
        <v>4</v>
      </c>
      <c r="AN333" s="12">
        <v>43315</v>
      </c>
      <c r="AO333" s="12">
        <v>43315</v>
      </c>
      <c r="AP333" s="12">
        <v>43315</v>
      </c>
      <c r="AQ333" s="9">
        <v>1</v>
      </c>
      <c r="AR333" s="9">
        <f t="shared" si="125"/>
        <v>1</v>
      </c>
      <c r="AS333" s="9">
        <v>1</v>
      </c>
      <c r="AT333" s="9">
        <v>2</v>
      </c>
      <c r="AU333" s="9">
        <v>2</v>
      </c>
      <c r="AV333" s="9">
        <f t="shared" si="126"/>
        <v>1</v>
      </c>
      <c r="AW333" s="12">
        <v>44316</v>
      </c>
      <c r="AX333" s="9">
        <v>5360</v>
      </c>
      <c r="AY333" s="9">
        <v>3600</v>
      </c>
      <c r="AZ333" s="9">
        <v>1200</v>
      </c>
      <c r="BA333" s="9">
        <v>3600</v>
      </c>
      <c r="BB333" s="9">
        <v>1200.0001220703125</v>
      </c>
      <c r="BC333" s="9">
        <v>201000</v>
      </c>
      <c r="BD333" s="9">
        <v>400</v>
      </c>
      <c r="BE333" s="9">
        <v>100</v>
      </c>
      <c r="BF333" s="9">
        <v>309</v>
      </c>
      <c r="BG333" s="9">
        <v>5480</v>
      </c>
      <c r="BH333" s="9">
        <v>3900</v>
      </c>
      <c r="BI333" s="9">
        <v>1000</v>
      </c>
      <c r="BJ333" s="9">
        <v>263000</v>
      </c>
      <c r="BK333" s="9">
        <v>300</v>
      </c>
      <c r="BL333" s="9">
        <v>100</v>
      </c>
      <c r="BM333" s="9">
        <v>416</v>
      </c>
      <c r="BN333" s="9">
        <v>6000</v>
      </c>
      <c r="BO333" s="9">
        <v>4700</v>
      </c>
      <c r="BP333" s="9">
        <v>1100</v>
      </c>
      <c r="BQ333" s="9">
        <v>238000</v>
      </c>
      <c r="BR333" s="9">
        <v>400</v>
      </c>
      <c r="BS333" s="9">
        <v>100</v>
      </c>
      <c r="BT333" s="9">
        <v>424</v>
      </c>
      <c r="BU333" s="9">
        <v>5590</v>
      </c>
      <c r="BV333" s="9">
        <v>3700</v>
      </c>
      <c r="BW333" s="9">
        <v>1000</v>
      </c>
      <c r="BX333" s="9">
        <v>220000</v>
      </c>
      <c r="BY333" s="9">
        <v>500</v>
      </c>
      <c r="BZ333" s="10" t="s">
        <v>524</v>
      </c>
      <c r="CA333" s="9">
        <v>200</v>
      </c>
      <c r="CB333" s="9">
        <v>406</v>
      </c>
      <c r="CC333" s="10">
        <f t="shared" si="127"/>
        <v>2.99999969482425</v>
      </c>
      <c r="CD333" s="10">
        <f t="shared" si="128"/>
        <v>167.49998296102061</v>
      </c>
      <c r="CE333" s="10">
        <f t="shared" si="119"/>
        <v>602999.93865967426</v>
      </c>
      <c r="CF333" s="10">
        <f t="shared" si="136"/>
        <v>0</v>
      </c>
      <c r="CG333" s="10">
        <f t="shared" si="122"/>
        <v>0</v>
      </c>
      <c r="CH333" s="10">
        <f t="shared" si="123"/>
        <v>3</v>
      </c>
      <c r="CI333" s="9">
        <f t="shared" si="129"/>
        <v>1</v>
      </c>
      <c r="CJ333" s="10">
        <f t="shared" si="124"/>
        <v>37</v>
      </c>
      <c r="CK333" s="10" t="b">
        <f t="shared" si="130"/>
        <v>1</v>
      </c>
      <c r="CL333" s="10" t="b">
        <f t="shared" si="131"/>
        <v>1</v>
      </c>
      <c r="CM333" s="10" t="b">
        <f t="shared" si="132"/>
        <v>1</v>
      </c>
      <c r="CN333" s="9">
        <f t="shared" si="133"/>
        <v>1</v>
      </c>
      <c r="CO333" s="10">
        <f>(YEAR(AO333)-YEAR(AJ333))*12+MONTH(AO333)-MONTH(AJ333)</f>
        <v>5</v>
      </c>
      <c r="CP333" s="10" t="b">
        <f t="shared" si="134"/>
        <v>1</v>
      </c>
      <c r="CQ333" s="10" t="b">
        <f t="shared" si="135"/>
        <v>0</v>
      </c>
      <c r="CR333" s="10" cm="1">
        <f t="array" ref="CR333">_xlfn.IFS(AND($CI333=0, CK333=FALSE), NA(), AND($CI333=1, CK333=FALSE), 0, CK333=TRUE, 1)</f>
        <v>1</v>
      </c>
      <c r="CS333" s="10" cm="1">
        <f t="array" ref="CS333">_xlfn.IFS(AND($CI333=0, CL333=FALSE), NA(), AND($CI333=1, CL333=FALSE), 0, CL333=TRUE, 1)</f>
        <v>1</v>
      </c>
      <c r="CT333" s="10" cm="1">
        <f t="array" ref="CT333">_xlfn.IFS(AND($CI333=0, CM333=FALSE), NA(), AND($CI333=1, CM333=FALSE), 0, CM333=TRUE, 1)</f>
        <v>1</v>
      </c>
      <c r="CU333" s="10" cm="1">
        <f t="array" ref="CU333">_xlfn.IFS(AND($CN333=0, CP333=FALSE), NA(), AND($CN333=1, CP333=FALSE), 0, CP333=TRUE, 1)</f>
        <v>1</v>
      </c>
      <c r="CV333" s="10" cm="1">
        <f t="array" ref="CV333">_xlfn.IFS(AND($CN333=0, CQ333=FALSE), NA(), AND($CN333=1, CQ333=FALSE), 0, CQ333=TRUE, 1)</f>
        <v>0</v>
      </c>
    </row>
    <row r="334" spans="1:100" ht="15.75" x14ac:dyDescent="0.25">
      <c r="A334" s="8">
        <v>333</v>
      </c>
      <c r="B334" s="9">
        <v>494</v>
      </c>
      <c r="C334" s="10" t="s">
        <v>32</v>
      </c>
      <c r="D334" s="11" t="s">
        <v>132</v>
      </c>
      <c r="E334" s="12">
        <v>25656</v>
      </c>
      <c r="F334" s="13">
        <v>2</v>
      </c>
      <c r="G334" s="9">
        <v>44.960987091064453</v>
      </c>
      <c r="H334" s="12">
        <v>42078</v>
      </c>
      <c r="I334" s="9">
        <v>1</v>
      </c>
      <c r="J334" s="12">
        <v>42099</v>
      </c>
      <c r="K334" s="9">
        <v>0</v>
      </c>
      <c r="L334" s="9">
        <v>1</v>
      </c>
      <c r="M334" s="10" t="s">
        <v>401</v>
      </c>
      <c r="N334" s="9">
        <v>2</v>
      </c>
      <c r="O334" s="10" t="s">
        <v>146</v>
      </c>
      <c r="P334" s="9">
        <v>2</v>
      </c>
      <c r="Q334" s="10" t="s">
        <v>146</v>
      </c>
      <c r="R334" s="12">
        <v>43202</v>
      </c>
      <c r="S334" s="10" t="s">
        <v>145</v>
      </c>
      <c r="T334" s="9"/>
      <c r="U334" s="10" t="s">
        <v>401</v>
      </c>
      <c r="V334" s="10" t="s">
        <v>401</v>
      </c>
      <c r="W334" s="9"/>
      <c r="X334" s="9"/>
      <c r="Y334" s="9">
        <v>2</v>
      </c>
      <c r="Z334" s="14">
        <v>1</v>
      </c>
      <c r="AA334" s="17">
        <v>11.3</v>
      </c>
      <c r="AB334" s="18">
        <v>103</v>
      </c>
      <c r="AC334" s="18">
        <v>14</v>
      </c>
      <c r="AD334" s="9">
        <v>2</v>
      </c>
      <c r="AE334" s="9">
        <v>2</v>
      </c>
      <c r="AF334" s="9">
        <v>2</v>
      </c>
      <c r="AG334" s="9">
        <v>1</v>
      </c>
      <c r="AH334" s="9">
        <v>1</v>
      </c>
      <c r="AI334" s="9">
        <v>1</v>
      </c>
      <c r="AJ334" s="12">
        <v>43439</v>
      </c>
      <c r="AK334" s="9">
        <v>2</v>
      </c>
      <c r="AL334" s="12">
        <v>43594</v>
      </c>
      <c r="AM334" s="9">
        <v>3</v>
      </c>
      <c r="AN334" s="12">
        <v>43526</v>
      </c>
      <c r="AO334" s="12">
        <v>43600</v>
      </c>
      <c r="AP334" s="12">
        <v>43600</v>
      </c>
      <c r="AQ334" s="9">
        <v>1</v>
      </c>
      <c r="AR334" s="9">
        <f t="shared" si="125"/>
        <v>1</v>
      </c>
      <c r="AS334" s="9">
        <v>1</v>
      </c>
      <c r="AT334" s="9">
        <v>2</v>
      </c>
      <c r="AU334" s="9">
        <v>2</v>
      </c>
      <c r="AV334" s="9">
        <f t="shared" si="126"/>
        <v>1</v>
      </c>
      <c r="AW334" s="12">
        <v>44084</v>
      </c>
      <c r="AX334" s="9">
        <v>8870</v>
      </c>
      <c r="AY334" s="9">
        <v>6450</v>
      </c>
      <c r="AZ334" s="9">
        <v>1380</v>
      </c>
      <c r="BA334" s="9">
        <v>6450</v>
      </c>
      <c r="BB334" s="9">
        <v>1380.0001220703125</v>
      </c>
      <c r="BC334" s="9">
        <v>262000</v>
      </c>
      <c r="BD334" s="9">
        <v>280</v>
      </c>
      <c r="BE334" s="9">
        <v>130</v>
      </c>
      <c r="BF334" s="9">
        <v>208</v>
      </c>
      <c r="BG334" s="9">
        <v>9190</v>
      </c>
      <c r="BH334" s="9">
        <v>6360</v>
      </c>
      <c r="BI334" s="9">
        <v>2060</v>
      </c>
      <c r="BJ334" s="9">
        <v>347000</v>
      </c>
      <c r="BK334" s="9">
        <v>460</v>
      </c>
      <c r="BL334" s="9">
        <v>140</v>
      </c>
      <c r="BM334" s="9">
        <v>228</v>
      </c>
      <c r="BN334" s="9">
        <v>7010</v>
      </c>
      <c r="BO334" s="9">
        <v>4200</v>
      </c>
      <c r="BP334" s="9">
        <v>2240</v>
      </c>
      <c r="BQ334" s="9">
        <v>312000</v>
      </c>
      <c r="BR334" s="9">
        <v>370</v>
      </c>
      <c r="BS334" s="9">
        <v>60</v>
      </c>
      <c r="BT334" s="9">
        <v>208</v>
      </c>
      <c r="BU334" s="9">
        <v>8200</v>
      </c>
      <c r="BV334" s="9">
        <v>5980</v>
      </c>
      <c r="BW334" s="9">
        <v>1660</v>
      </c>
      <c r="BX334" s="9">
        <v>320000</v>
      </c>
      <c r="BY334" s="9">
        <v>410</v>
      </c>
      <c r="BZ334" s="10" t="s">
        <v>530</v>
      </c>
      <c r="CA334" s="9">
        <v>140</v>
      </c>
      <c r="CB334" s="9">
        <v>230</v>
      </c>
      <c r="CC334" s="10">
        <f t="shared" si="127"/>
        <v>4.6739126300391485</v>
      </c>
      <c r="CD334" s="10">
        <f t="shared" si="128"/>
        <v>189.85505566980726</v>
      </c>
      <c r="CE334" s="10">
        <f t="shared" si="119"/>
        <v>1224565.1090702568</v>
      </c>
      <c r="CF334" s="10">
        <f t="shared" si="136"/>
        <v>1</v>
      </c>
      <c r="CG334" s="10">
        <f t="shared" si="122"/>
        <v>0</v>
      </c>
      <c r="CH334" s="10">
        <f t="shared" si="123"/>
        <v>5</v>
      </c>
      <c r="CI334" s="9">
        <f t="shared" si="129"/>
        <v>1</v>
      </c>
      <c r="CJ334" s="10">
        <f t="shared" si="124"/>
        <v>21</v>
      </c>
      <c r="CK334" s="10" t="b">
        <f t="shared" si="130"/>
        <v>1</v>
      </c>
      <c r="CL334" s="10" t="b">
        <f t="shared" si="131"/>
        <v>1</v>
      </c>
      <c r="CM334" s="10" t="b">
        <f t="shared" si="132"/>
        <v>0</v>
      </c>
      <c r="CN334" s="9">
        <f t="shared" si="133"/>
        <v>1</v>
      </c>
      <c r="CO334" s="10">
        <f>(YEAR(AO334)-YEAR(AJ334))*12+MONTH(AO334)-MONTH(AJ334)</f>
        <v>5</v>
      </c>
      <c r="CP334" s="10" t="b">
        <f t="shared" si="134"/>
        <v>1</v>
      </c>
      <c r="CQ334" s="10" t="b">
        <f t="shared" si="135"/>
        <v>0</v>
      </c>
      <c r="CR334" s="10" cm="1">
        <f t="array" ref="CR334">_xlfn.IFS(AND($CI334=0, CK334=FALSE), NA(), AND($CI334=1, CK334=FALSE), 0, CK334=TRUE, 1)</f>
        <v>1</v>
      </c>
      <c r="CS334" s="10" cm="1">
        <f t="array" ref="CS334">_xlfn.IFS(AND($CI334=0, CL334=FALSE), NA(), AND($CI334=1, CL334=FALSE), 0, CL334=TRUE, 1)</f>
        <v>1</v>
      </c>
      <c r="CT334" s="10" cm="1">
        <f t="array" ref="CT334">_xlfn.IFS(AND($CI334=0, CM334=FALSE), NA(), AND($CI334=1, CM334=FALSE), 0, CM334=TRUE, 1)</f>
        <v>0</v>
      </c>
      <c r="CU334" s="10" cm="1">
        <f t="array" ref="CU334">_xlfn.IFS(AND($CN334=0, CP334=FALSE), NA(), AND($CN334=1, CP334=FALSE), 0, CP334=TRUE, 1)</f>
        <v>1</v>
      </c>
      <c r="CV334" s="10" cm="1">
        <f t="array" ref="CV334">_xlfn.IFS(AND($CN334=0, CQ334=FALSE), NA(), AND($CN334=1, CQ334=FALSE), 0, CQ334=TRUE, 1)</f>
        <v>0</v>
      </c>
    </row>
    <row r="335" spans="1:100" x14ac:dyDescent="0.25">
      <c r="A335" s="8">
        <v>334</v>
      </c>
      <c r="B335" s="9">
        <v>24</v>
      </c>
      <c r="C335" s="10" t="s">
        <v>5</v>
      </c>
      <c r="D335" s="11" t="s">
        <v>59</v>
      </c>
      <c r="E335" s="12">
        <v>23981</v>
      </c>
      <c r="F335" s="13">
        <v>1</v>
      </c>
      <c r="G335" s="9">
        <v>49.560573577880859</v>
      </c>
      <c r="H335" s="12">
        <v>42083</v>
      </c>
      <c r="I335" s="9">
        <v>1</v>
      </c>
      <c r="J335" s="12">
        <v>42083</v>
      </c>
      <c r="K335" s="9">
        <v>1</v>
      </c>
      <c r="L335" s="9">
        <v>1</v>
      </c>
      <c r="M335" s="10" t="s">
        <v>401</v>
      </c>
      <c r="N335" s="9"/>
      <c r="O335" s="10" t="s">
        <v>401</v>
      </c>
      <c r="P335" s="9"/>
      <c r="Q335" s="10" t="s">
        <v>401</v>
      </c>
      <c r="R335" s="12">
        <v>42083</v>
      </c>
      <c r="S335" s="10" t="s">
        <v>145</v>
      </c>
      <c r="T335" s="9">
        <v>5</v>
      </c>
      <c r="U335" s="10" t="s">
        <v>150</v>
      </c>
      <c r="V335" s="10" t="s">
        <v>147</v>
      </c>
      <c r="W335" s="9"/>
      <c r="X335" s="9"/>
      <c r="Y335" s="9">
        <v>5</v>
      </c>
      <c r="Z335" s="19">
        <v>1</v>
      </c>
      <c r="AB335" s="9"/>
      <c r="AC335" s="9"/>
      <c r="AD335" s="9">
        <v>2</v>
      </c>
      <c r="AE335" s="9">
        <v>2</v>
      </c>
      <c r="AF335" s="9">
        <v>1</v>
      </c>
      <c r="AG335" s="9">
        <v>1</v>
      </c>
      <c r="AH335" s="9">
        <v>1</v>
      </c>
      <c r="AI335" s="9">
        <v>1</v>
      </c>
      <c r="AJ335" s="12">
        <v>42908</v>
      </c>
      <c r="AK335" s="9">
        <v>2</v>
      </c>
      <c r="AL335" s="12">
        <v>42965</v>
      </c>
      <c r="AM335" s="9">
        <v>4</v>
      </c>
      <c r="AN335" s="12">
        <v>43006</v>
      </c>
      <c r="AO335" s="12">
        <v>43006</v>
      </c>
      <c r="AP335" s="12">
        <v>43006</v>
      </c>
      <c r="AQ335" s="9">
        <v>1</v>
      </c>
      <c r="AR335" s="9">
        <f t="shared" si="125"/>
        <v>1</v>
      </c>
      <c r="AS335" s="9">
        <v>1</v>
      </c>
      <c r="AT335" s="9">
        <v>2</v>
      </c>
      <c r="AU335" s="9">
        <v>1</v>
      </c>
      <c r="AV335" s="9">
        <f t="shared" si="126"/>
        <v>0</v>
      </c>
      <c r="AW335" s="12">
        <v>43012</v>
      </c>
      <c r="AX335" s="9">
        <v>7610</v>
      </c>
      <c r="AY335" s="9">
        <v>5200</v>
      </c>
      <c r="AZ335" s="9">
        <v>1700</v>
      </c>
      <c r="BA335" s="9">
        <v>5200</v>
      </c>
      <c r="BB335" s="9">
        <v>1700.0001220703125</v>
      </c>
      <c r="BC335" s="9">
        <v>254000</v>
      </c>
      <c r="BD335" s="9">
        <v>500</v>
      </c>
      <c r="BE335" s="9">
        <v>100</v>
      </c>
      <c r="BF335" s="9">
        <v>402</v>
      </c>
      <c r="BG335" s="9">
        <v>8590</v>
      </c>
      <c r="BH335" s="9">
        <v>6600</v>
      </c>
      <c r="BI335" s="9">
        <v>1300</v>
      </c>
      <c r="BJ335" s="9">
        <v>243000</v>
      </c>
      <c r="BK335" s="9">
        <v>700</v>
      </c>
      <c r="BL335" s="9">
        <v>0</v>
      </c>
      <c r="BM335" s="9"/>
      <c r="BN335" s="9">
        <v>7360</v>
      </c>
      <c r="BO335" s="9">
        <v>5500</v>
      </c>
      <c r="BP335" s="9">
        <v>1300</v>
      </c>
      <c r="BQ335" s="9">
        <v>246000</v>
      </c>
      <c r="BR335" s="9">
        <v>500</v>
      </c>
      <c r="BS335" s="9">
        <v>100</v>
      </c>
      <c r="BT335" s="9"/>
      <c r="BU335" s="9">
        <v>7280</v>
      </c>
      <c r="BV335" s="9">
        <v>5200</v>
      </c>
      <c r="BW335" s="9">
        <v>1400</v>
      </c>
      <c r="BX335" s="9">
        <v>272000</v>
      </c>
      <c r="BY335" s="9">
        <v>600</v>
      </c>
      <c r="BZ335" s="10" t="s">
        <v>525</v>
      </c>
      <c r="CA335" s="9">
        <v>100</v>
      </c>
      <c r="CB335" s="9"/>
      <c r="CC335" s="10">
        <f t="shared" si="127"/>
        <v>3.0588233097696955</v>
      </c>
      <c r="CD335" s="10">
        <f t="shared" si="128"/>
        <v>149.41175397721207</v>
      </c>
      <c r="CE335" s="10">
        <f t="shared" si="119"/>
        <v>776941.12068150262</v>
      </c>
      <c r="CF335" s="10">
        <f t="shared" si="136"/>
        <v>0</v>
      </c>
      <c r="CG335" s="10">
        <f t="shared" si="122"/>
        <v>0</v>
      </c>
      <c r="CH335" s="10">
        <f t="shared" si="123"/>
        <v>2</v>
      </c>
      <c r="CI335" s="9">
        <f t="shared" si="129"/>
        <v>0</v>
      </c>
      <c r="CJ335" s="10">
        <f t="shared" si="124"/>
        <v>4</v>
      </c>
      <c r="CK335" s="10" t="b">
        <f t="shared" si="130"/>
        <v>0</v>
      </c>
      <c r="CL335" s="10" t="b">
        <f t="shared" si="131"/>
        <v>0</v>
      </c>
      <c r="CM335" s="10" t="b">
        <f t="shared" si="132"/>
        <v>0</v>
      </c>
      <c r="CN335" s="9">
        <f t="shared" si="133"/>
        <v>1</v>
      </c>
      <c r="CO335" s="10">
        <f>(YEAR(AO335)-YEAR(AJ335))*12+MONTH(AO335)-MONTH(AJ335)</f>
        <v>3</v>
      </c>
      <c r="CP335" s="10" t="b">
        <f t="shared" si="134"/>
        <v>1</v>
      </c>
      <c r="CQ335" s="10" t="b">
        <f t="shared" si="135"/>
        <v>0</v>
      </c>
      <c r="CR335" s="10" t="e" cm="1">
        <f t="array" ref="CR335">_xlfn.IFS(AND($CI335=0, CK335=FALSE), NA(), AND($CI335=1, CK335=FALSE), 0, CK335=TRUE, 1)</f>
        <v>#N/A</v>
      </c>
      <c r="CS335" s="10" t="e" cm="1">
        <f t="array" ref="CS335">_xlfn.IFS(AND($CI335=0, CL335=FALSE), NA(), AND($CI335=1, CL335=FALSE), 0, CL335=TRUE, 1)</f>
        <v>#N/A</v>
      </c>
      <c r="CT335" s="10" t="e" cm="1">
        <f t="array" ref="CT335">_xlfn.IFS(AND($CI335=0, CM335=FALSE), NA(), AND($CI335=1, CM335=FALSE), 0, CM335=TRUE, 1)</f>
        <v>#N/A</v>
      </c>
      <c r="CU335" s="10" cm="1">
        <f t="array" ref="CU335">_xlfn.IFS(AND($CN335=0, CP335=FALSE), NA(), AND($CN335=1, CP335=FALSE), 0, CP335=TRUE, 1)</f>
        <v>1</v>
      </c>
      <c r="CV335" s="10" cm="1">
        <f t="array" ref="CV335">_xlfn.IFS(AND($CN335=0, CQ335=FALSE), NA(), AND($CN335=1, CQ335=FALSE), 0, CQ335=TRUE, 1)</f>
        <v>0</v>
      </c>
    </row>
    <row r="336" spans="1:100" ht="15.75" x14ac:dyDescent="0.25">
      <c r="A336" s="8">
        <v>335</v>
      </c>
      <c r="B336" s="9">
        <v>442</v>
      </c>
      <c r="C336" s="10" t="s">
        <v>30</v>
      </c>
      <c r="D336" s="11" t="s">
        <v>211</v>
      </c>
      <c r="E336" s="12">
        <v>24176</v>
      </c>
      <c r="F336" s="13">
        <v>1</v>
      </c>
      <c r="G336" s="9">
        <v>49.037647247314453</v>
      </c>
      <c r="H336" s="12">
        <v>42087</v>
      </c>
      <c r="I336" s="9">
        <v>1</v>
      </c>
      <c r="J336" s="12">
        <v>42087</v>
      </c>
      <c r="K336" s="9">
        <v>1</v>
      </c>
      <c r="L336" s="9">
        <v>1</v>
      </c>
      <c r="M336" s="10" t="s">
        <v>401</v>
      </c>
      <c r="N336" s="9">
        <v>2</v>
      </c>
      <c r="O336" s="10" t="s">
        <v>145</v>
      </c>
      <c r="P336" s="9">
        <v>2</v>
      </c>
      <c r="Q336" s="10" t="s">
        <v>145</v>
      </c>
      <c r="R336" s="12">
        <v>42087</v>
      </c>
      <c r="S336" s="10" t="s">
        <v>145</v>
      </c>
      <c r="T336" s="9"/>
      <c r="U336" s="10" t="s">
        <v>401</v>
      </c>
      <c r="V336" s="10" t="s">
        <v>401</v>
      </c>
      <c r="W336" s="9"/>
      <c r="X336" s="9"/>
      <c r="Y336" s="9">
        <v>2</v>
      </c>
      <c r="Z336" s="14">
        <v>1</v>
      </c>
      <c r="AA336" s="17">
        <v>13.4</v>
      </c>
      <c r="AB336" s="18">
        <v>100</v>
      </c>
      <c r="AC336" s="18">
        <v>9</v>
      </c>
      <c r="AD336" s="9">
        <v>2</v>
      </c>
      <c r="AE336" s="9">
        <v>2</v>
      </c>
      <c r="AF336" s="9">
        <v>1</v>
      </c>
      <c r="AG336" s="9">
        <v>1</v>
      </c>
      <c r="AH336" s="9">
        <v>1</v>
      </c>
      <c r="AI336" s="9">
        <v>1</v>
      </c>
      <c r="AJ336" s="12">
        <v>43073</v>
      </c>
      <c r="AK336" s="9">
        <v>1</v>
      </c>
      <c r="AL336" s="12">
        <v>44953</v>
      </c>
      <c r="AM336" s="9">
        <v>3</v>
      </c>
      <c r="AN336" s="12">
        <v>43174</v>
      </c>
      <c r="AO336" s="12"/>
      <c r="AP336" s="12"/>
      <c r="AQ336" s="9">
        <v>2</v>
      </c>
      <c r="AR336" s="9">
        <f t="shared" si="125"/>
        <v>0</v>
      </c>
      <c r="AS336" s="9">
        <v>2</v>
      </c>
      <c r="AT336" s="9"/>
      <c r="AU336" s="9">
        <v>1</v>
      </c>
      <c r="AV336" s="9">
        <f t="shared" si="126"/>
        <v>0</v>
      </c>
      <c r="AW336" s="12">
        <v>44959</v>
      </c>
      <c r="AX336" s="9">
        <v>4300</v>
      </c>
      <c r="AY336" s="9">
        <v>2020</v>
      </c>
      <c r="AZ336" s="9">
        <v>1540</v>
      </c>
      <c r="BA336" s="9">
        <v>2020</v>
      </c>
      <c r="BB336" s="9">
        <v>1539.9998779296875</v>
      </c>
      <c r="BC336" s="9">
        <v>156000</v>
      </c>
      <c r="BD336" s="9">
        <v>480</v>
      </c>
      <c r="BE336" s="9">
        <v>120</v>
      </c>
      <c r="BF336" s="9">
        <v>162</v>
      </c>
      <c r="BG336" s="9">
        <v>4780</v>
      </c>
      <c r="BH336" s="9">
        <v>2470</v>
      </c>
      <c r="BI336" s="9">
        <v>1580</v>
      </c>
      <c r="BJ336" s="9">
        <v>168000</v>
      </c>
      <c r="BK336" s="9">
        <v>500</v>
      </c>
      <c r="BL336" s="9">
        <v>180</v>
      </c>
      <c r="BM336" s="9"/>
      <c r="BN336" s="9">
        <v>5390</v>
      </c>
      <c r="BO336" s="9">
        <v>3080</v>
      </c>
      <c r="BP336" s="9">
        <v>1670</v>
      </c>
      <c r="BQ336" s="9">
        <v>157000</v>
      </c>
      <c r="BR336" s="9">
        <v>480</v>
      </c>
      <c r="BS336" s="9">
        <v>150</v>
      </c>
      <c r="BT336" s="9"/>
      <c r="BU336" s="9">
        <v>5060</v>
      </c>
      <c r="BV336" s="9">
        <v>2790</v>
      </c>
      <c r="BW336" s="9">
        <v>1610</v>
      </c>
      <c r="BX336" s="9">
        <v>166000</v>
      </c>
      <c r="BY336" s="9">
        <v>420</v>
      </c>
      <c r="BZ336" s="10" t="s">
        <v>564</v>
      </c>
      <c r="CA336" s="9">
        <v>210</v>
      </c>
      <c r="CB336" s="9"/>
      <c r="CC336" s="10">
        <f t="shared" si="127"/>
        <v>1.3116884156611786</v>
      </c>
      <c r="CD336" s="10">
        <f t="shared" si="128"/>
        <v>101.29870932828902</v>
      </c>
      <c r="CE336" s="10">
        <f t="shared" si="119"/>
        <v>204623.39284314384</v>
      </c>
      <c r="CF336" s="10">
        <f t="shared" si="136"/>
        <v>1</v>
      </c>
      <c r="CG336" s="10">
        <f t="shared" si="122"/>
        <v>0</v>
      </c>
      <c r="CH336" s="10">
        <f t="shared" si="123"/>
        <v>61</v>
      </c>
      <c r="CI336" s="9">
        <f t="shared" si="129"/>
        <v>0</v>
      </c>
      <c r="CJ336" s="10">
        <f t="shared" si="124"/>
        <v>62</v>
      </c>
      <c r="CK336" s="10" t="b">
        <f t="shared" si="130"/>
        <v>1</v>
      </c>
      <c r="CL336" s="10" t="b">
        <f t="shared" si="131"/>
        <v>1</v>
      </c>
      <c r="CM336" s="10" t="b">
        <f t="shared" si="132"/>
        <v>1</v>
      </c>
      <c r="CN336" s="9">
        <f t="shared" si="133"/>
        <v>0</v>
      </c>
      <c r="CO336" s="10">
        <f t="shared" ref="CO336:CO338" si="137">CJ336</f>
        <v>62</v>
      </c>
      <c r="CP336" s="10" t="b">
        <f t="shared" si="134"/>
        <v>1</v>
      </c>
      <c r="CQ336" s="10" t="b">
        <f t="shared" si="135"/>
        <v>1</v>
      </c>
      <c r="CR336" s="10" cm="1">
        <f t="array" ref="CR336">_xlfn.IFS(AND($CI336=0, CK336=FALSE), NA(), AND($CI336=1, CK336=FALSE), 0, CK336=TRUE, 1)</f>
        <v>1</v>
      </c>
      <c r="CS336" s="10" cm="1">
        <f t="array" ref="CS336">_xlfn.IFS(AND($CI336=0, CL336=FALSE), NA(), AND($CI336=1, CL336=FALSE), 0, CL336=TRUE, 1)</f>
        <v>1</v>
      </c>
      <c r="CT336" s="10" cm="1">
        <f t="array" ref="CT336">_xlfn.IFS(AND($CI336=0, CM336=FALSE), NA(), AND($CI336=1, CM336=FALSE), 0, CM336=TRUE, 1)</f>
        <v>1</v>
      </c>
      <c r="CU336" s="10" cm="1">
        <f t="array" ref="CU336">_xlfn.IFS(AND($CN336=0, CP336=FALSE), NA(), AND($CN336=1, CP336=FALSE), 0, CP336=TRUE, 1)</f>
        <v>1</v>
      </c>
      <c r="CV336" s="10" cm="1">
        <f t="array" ref="CV336">_xlfn.IFS(AND($CN336=0, CQ336=FALSE), NA(), AND($CN336=1, CQ336=FALSE), 0, CQ336=TRUE, 1)</f>
        <v>1</v>
      </c>
    </row>
    <row r="337" spans="1:100" ht="15.75" x14ac:dyDescent="0.25">
      <c r="A337" s="8">
        <v>336</v>
      </c>
      <c r="B337" s="9">
        <v>393</v>
      </c>
      <c r="C337" s="10" t="s">
        <v>29</v>
      </c>
      <c r="D337" s="11" t="s">
        <v>307</v>
      </c>
      <c r="E337" s="12">
        <v>23836</v>
      </c>
      <c r="F337" s="13">
        <v>1</v>
      </c>
      <c r="G337" s="9">
        <v>50.042438507080078</v>
      </c>
      <c r="H337" s="12">
        <v>42114</v>
      </c>
      <c r="I337" s="9">
        <v>1</v>
      </c>
      <c r="J337" s="12">
        <v>42114</v>
      </c>
      <c r="K337" s="9">
        <v>0</v>
      </c>
      <c r="L337" s="9">
        <v>1</v>
      </c>
      <c r="M337" s="10" t="s">
        <v>401</v>
      </c>
      <c r="N337" s="9">
        <v>2</v>
      </c>
      <c r="O337" s="10" t="s">
        <v>411</v>
      </c>
      <c r="P337" s="9">
        <v>2</v>
      </c>
      <c r="Q337" s="10" t="s">
        <v>411</v>
      </c>
      <c r="R337" s="12">
        <v>42424</v>
      </c>
      <c r="S337" s="10" t="s">
        <v>145</v>
      </c>
      <c r="T337" s="9"/>
      <c r="U337" s="10" t="s">
        <v>401</v>
      </c>
      <c r="V337" s="10" t="s">
        <v>401</v>
      </c>
      <c r="W337" s="9"/>
      <c r="X337" s="9"/>
      <c r="Y337" s="9">
        <v>2</v>
      </c>
      <c r="Z337" s="14">
        <v>1</v>
      </c>
      <c r="AA337" s="17">
        <v>12.7</v>
      </c>
      <c r="AB337" s="18">
        <v>101</v>
      </c>
      <c r="AC337" s="18"/>
      <c r="AD337" s="9">
        <v>2</v>
      </c>
      <c r="AE337" s="9">
        <v>2</v>
      </c>
      <c r="AF337" s="9">
        <v>1</v>
      </c>
      <c r="AG337" s="9">
        <v>1</v>
      </c>
      <c r="AH337" s="9">
        <v>1</v>
      </c>
      <c r="AI337" s="9">
        <v>0</v>
      </c>
      <c r="AJ337" s="12">
        <v>43018</v>
      </c>
      <c r="AK337" s="9">
        <v>2</v>
      </c>
      <c r="AL337" s="12">
        <v>43978</v>
      </c>
      <c r="AM337" s="9">
        <v>2</v>
      </c>
      <c r="AN337" s="12">
        <v>43320</v>
      </c>
      <c r="AO337" s="12"/>
      <c r="AP337" s="12"/>
      <c r="AQ337" s="9">
        <v>2</v>
      </c>
      <c r="AR337" s="9">
        <f t="shared" si="125"/>
        <v>0</v>
      </c>
      <c r="AS337" s="9">
        <v>2</v>
      </c>
      <c r="AT337" s="9"/>
      <c r="AU337" s="9">
        <v>1</v>
      </c>
      <c r="AV337" s="9">
        <f t="shared" si="126"/>
        <v>0</v>
      </c>
      <c r="AW337" s="12">
        <v>44944</v>
      </c>
      <c r="AX337" s="9">
        <v>4820</v>
      </c>
      <c r="AY337" s="9">
        <v>2020</v>
      </c>
      <c r="AZ337" s="9">
        <v>2190</v>
      </c>
      <c r="BA337" s="9">
        <v>2020</v>
      </c>
      <c r="BB337" s="9">
        <v>2189.99951171875</v>
      </c>
      <c r="BC337" s="9">
        <v>176000</v>
      </c>
      <c r="BD337" s="9">
        <v>48</v>
      </c>
      <c r="BE337" s="9">
        <v>11</v>
      </c>
      <c r="BF337" s="9"/>
      <c r="BG337" s="9">
        <v>6390</v>
      </c>
      <c r="BH337" s="9">
        <v>3180</v>
      </c>
      <c r="BI337" s="9">
        <v>2540</v>
      </c>
      <c r="BJ337" s="9">
        <v>240000</v>
      </c>
      <c r="BK337" s="9">
        <v>55</v>
      </c>
      <c r="BL337" s="9">
        <v>11</v>
      </c>
      <c r="BM337" s="9"/>
      <c r="BN337" s="9">
        <v>6120</v>
      </c>
      <c r="BO337" s="9">
        <v>3320</v>
      </c>
      <c r="BP337" s="9">
        <v>2250</v>
      </c>
      <c r="BQ337" s="9">
        <v>279000</v>
      </c>
      <c r="BR337" s="9">
        <v>37</v>
      </c>
      <c r="BS337" s="9">
        <v>16</v>
      </c>
      <c r="BT337" s="9"/>
      <c r="BU337" s="9">
        <v>4420</v>
      </c>
      <c r="BV337" s="9">
        <v>2330</v>
      </c>
      <c r="BW337" s="9">
        <v>1550</v>
      </c>
      <c r="BX337" s="9">
        <v>204000</v>
      </c>
      <c r="BY337" s="9">
        <v>42</v>
      </c>
      <c r="BZ337" s="10" t="s">
        <v>297</v>
      </c>
      <c r="CA337" s="9">
        <v>10</v>
      </c>
      <c r="CB337" s="9"/>
      <c r="CC337" s="10">
        <f t="shared" si="127"/>
        <v>0.92237463487590854</v>
      </c>
      <c r="CD337" s="10">
        <f t="shared" si="128"/>
        <v>80.365314721861338</v>
      </c>
      <c r="CE337" s="10">
        <f t="shared" si="119"/>
        <v>162337.9357381599</v>
      </c>
      <c r="CF337" s="10">
        <f t="shared" si="136"/>
        <v>1</v>
      </c>
      <c r="CG337" s="10">
        <f t="shared" si="122"/>
        <v>1</v>
      </c>
      <c r="CH337" s="10">
        <f t="shared" si="123"/>
        <v>31</v>
      </c>
      <c r="CI337" s="9">
        <f t="shared" si="129"/>
        <v>0</v>
      </c>
      <c r="CJ337" s="10">
        <f t="shared" si="124"/>
        <v>63</v>
      </c>
      <c r="CK337" s="10" t="b">
        <f t="shared" si="130"/>
        <v>1</v>
      </c>
      <c r="CL337" s="10" t="b">
        <f t="shared" si="131"/>
        <v>1</v>
      </c>
      <c r="CM337" s="10" t="b">
        <f t="shared" si="132"/>
        <v>1</v>
      </c>
      <c r="CN337" s="9">
        <f t="shared" si="133"/>
        <v>0</v>
      </c>
      <c r="CO337" s="10">
        <f t="shared" si="137"/>
        <v>63</v>
      </c>
      <c r="CP337" s="10" t="b">
        <f t="shared" si="134"/>
        <v>1</v>
      </c>
      <c r="CQ337" s="10" t="b">
        <f t="shared" si="135"/>
        <v>1</v>
      </c>
      <c r="CR337" s="10" cm="1">
        <f t="array" ref="CR337">_xlfn.IFS(AND($CI337=0, CK337=FALSE), NA(), AND($CI337=1, CK337=FALSE), 0, CK337=TRUE, 1)</f>
        <v>1</v>
      </c>
      <c r="CS337" s="10" cm="1">
        <f t="array" ref="CS337">_xlfn.IFS(AND($CI337=0, CL337=FALSE), NA(), AND($CI337=1, CL337=FALSE), 0, CL337=TRUE, 1)</f>
        <v>1</v>
      </c>
      <c r="CT337" s="10" cm="1">
        <f t="array" ref="CT337">_xlfn.IFS(AND($CI337=0, CM337=FALSE), NA(), AND($CI337=1, CM337=FALSE), 0, CM337=TRUE, 1)</f>
        <v>1</v>
      </c>
      <c r="CU337" s="10" cm="1">
        <f t="array" ref="CU337">_xlfn.IFS(AND($CN337=0, CP337=FALSE), NA(), AND($CN337=1, CP337=FALSE), 0, CP337=TRUE, 1)</f>
        <v>1</v>
      </c>
      <c r="CV337" s="10" cm="1">
        <f t="array" ref="CV337">_xlfn.IFS(AND($CN337=0, CQ337=FALSE), NA(), AND($CN337=1, CQ337=FALSE), 0, CQ337=TRUE, 1)</f>
        <v>1</v>
      </c>
    </row>
    <row r="338" spans="1:100" ht="15.75" x14ac:dyDescent="0.25">
      <c r="A338" s="8">
        <v>337</v>
      </c>
      <c r="B338" s="9">
        <v>459</v>
      </c>
      <c r="C338" s="10" t="s">
        <v>30</v>
      </c>
      <c r="D338" s="11" t="s">
        <v>291</v>
      </c>
      <c r="E338" s="12">
        <v>14246</v>
      </c>
      <c r="F338" s="13">
        <v>1</v>
      </c>
      <c r="G338" s="9">
        <v>76.309379577636719</v>
      </c>
      <c r="H338" s="12">
        <v>42118</v>
      </c>
      <c r="I338" s="9">
        <v>1</v>
      </c>
      <c r="J338" s="12">
        <v>42118</v>
      </c>
      <c r="K338" s="9">
        <v>0</v>
      </c>
      <c r="L338" s="9">
        <v>1</v>
      </c>
      <c r="M338" s="10" t="s">
        <v>401</v>
      </c>
      <c r="N338" s="9">
        <v>1</v>
      </c>
      <c r="O338" s="10" t="s">
        <v>401</v>
      </c>
      <c r="P338" s="9">
        <v>1</v>
      </c>
      <c r="Q338" s="10" t="s">
        <v>401</v>
      </c>
      <c r="R338" s="12">
        <v>43019</v>
      </c>
      <c r="S338" s="10" t="s">
        <v>145</v>
      </c>
      <c r="T338" s="9"/>
      <c r="U338" s="10" t="s">
        <v>401</v>
      </c>
      <c r="V338" s="10" t="s">
        <v>401</v>
      </c>
      <c r="W338" s="9"/>
      <c r="X338" s="9"/>
      <c r="Y338" s="9">
        <v>2</v>
      </c>
      <c r="Z338" s="14">
        <v>1</v>
      </c>
      <c r="AA338" s="17">
        <v>10.9</v>
      </c>
      <c r="AB338" s="18">
        <v>105</v>
      </c>
      <c r="AC338" s="18">
        <v>11</v>
      </c>
      <c r="AD338" s="9">
        <v>1</v>
      </c>
      <c r="AE338" s="9">
        <v>1</v>
      </c>
      <c r="AF338" s="9">
        <v>1</v>
      </c>
      <c r="AG338" s="9">
        <v>1</v>
      </c>
      <c r="AH338" s="9">
        <v>1</v>
      </c>
      <c r="AI338" s="9">
        <v>0</v>
      </c>
      <c r="AJ338" s="12">
        <v>43315</v>
      </c>
      <c r="AK338" s="9">
        <v>2</v>
      </c>
      <c r="AL338" s="12">
        <v>43469</v>
      </c>
      <c r="AM338" s="9">
        <v>2</v>
      </c>
      <c r="AN338" s="12">
        <v>43426</v>
      </c>
      <c r="AO338" s="12"/>
      <c r="AP338" s="12"/>
      <c r="AQ338" s="9">
        <v>2</v>
      </c>
      <c r="AR338" s="9">
        <f t="shared" si="125"/>
        <v>0</v>
      </c>
      <c r="AS338" s="9">
        <v>2</v>
      </c>
      <c r="AT338" s="9"/>
      <c r="AU338" s="9">
        <v>1</v>
      </c>
      <c r="AV338" s="9">
        <f t="shared" si="126"/>
        <v>0</v>
      </c>
      <c r="AW338" s="12">
        <v>44959</v>
      </c>
      <c r="AX338" s="9">
        <v>5560</v>
      </c>
      <c r="AY338" s="9">
        <v>2650</v>
      </c>
      <c r="AZ338" s="9">
        <v>2060</v>
      </c>
      <c r="BA338" s="9">
        <v>2650</v>
      </c>
      <c r="BB338" s="9">
        <v>2060</v>
      </c>
      <c r="BC338" s="9">
        <v>224000</v>
      </c>
      <c r="BD338" s="9">
        <v>980</v>
      </c>
      <c r="BE338" s="9">
        <v>120</v>
      </c>
      <c r="BF338" s="9">
        <v>345</v>
      </c>
      <c r="BG338" s="9">
        <v>5840</v>
      </c>
      <c r="BH338" s="9">
        <v>3440</v>
      </c>
      <c r="BI338" s="9">
        <v>1550</v>
      </c>
      <c r="BJ338" s="9">
        <v>195000</v>
      </c>
      <c r="BK338" s="9">
        <v>740</v>
      </c>
      <c r="BL338" s="9">
        <v>100</v>
      </c>
      <c r="BM338" s="9">
        <v>322</v>
      </c>
      <c r="BN338" s="9">
        <v>6950</v>
      </c>
      <c r="BO338" s="9">
        <v>4180</v>
      </c>
      <c r="BP338" s="9">
        <v>1770</v>
      </c>
      <c r="BQ338" s="9">
        <v>239000</v>
      </c>
      <c r="BR338" s="9">
        <v>890</v>
      </c>
      <c r="BS338" s="9">
        <v>110</v>
      </c>
      <c r="BT338" s="9"/>
      <c r="BU338" s="9">
        <v>7800</v>
      </c>
      <c r="BV338" s="9">
        <v>4850</v>
      </c>
      <c r="BW338" s="9">
        <v>1830</v>
      </c>
      <c r="BX338" s="9">
        <v>292000</v>
      </c>
      <c r="BY338" s="9">
        <v>940</v>
      </c>
      <c r="BZ338" s="10" t="s">
        <v>527</v>
      </c>
      <c r="CA338" s="9">
        <v>120</v>
      </c>
      <c r="CB338" s="9">
        <v>280</v>
      </c>
      <c r="CC338" s="10">
        <f t="shared" si="127"/>
        <v>1.2864077669902914</v>
      </c>
      <c r="CD338" s="10">
        <f t="shared" si="128"/>
        <v>108.7378640776699</v>
      </c>
      <c r="CE338" s="10">
        <f t="shared" si="119"/>
        <v>288155.33980582526</v>
      </c>
      <c r="CF338" s="10">
        <f t="shared" si="136"/>
        <v>1</v>
      </c>
      <c r="CG338" s="10">
        <f t="shared" si="122"/>
        <v>1</v>
      </c>
      <c r="CH338" s="10">
        <f t="shared" si="123"/>
        <v>5</v>
      </c>
      <c r="CI338" s="9">
        <f t="shared" si="129"/>
        <v>0</v>
      </c>
      <c r="CJ338" s="10">
        <f t="shared" si="124"/>
        <v>54</v>
      </c>
      <c r="CK338" s="10" t="b">
        <f t="shared" si="130"/>
        <v>1</v>
      </c>
      <c r="CL338" s="10" t="b">
        <f t="shared" si="131"/>
        <v>1</v>
      </c>
      <c r="CM338" s="10" t="b">
        <f t="shared" si="132"/>
        <v>1</v>
      </c>
      <c r="CN338" s="9">
        <f t="shared" si="133"/>
        <v>0</v>
      </c>
      <c r="CO338" s="10">
        <f t="shared" si="137"/>
        <v>54</v>
      </c>
      <c r="CP338" s="10" t="b">
        <f t="shared" si="134"/>
        <v>1</v>
      </c>
      <c r="CQ338" s="10" t="b">
        <f t="shared" si="135"/>
        <v>1</v>
      </c>
      <c r="CR338" s="10" cm="1">
        <f t="array" ref="CR338">_xlfn.IFS(AND($CI338=0, CK338=FALSE), NA(), AND($CI338=1, CK338=FALSE), 0, CK338=TRUE, 1)</f>
        <v>1</v>
      </c>
      <c r="CS338" s="10" cm="1">
        <f t="array" ref="CS338">_xlfn.IFS(AND($CI338=0, CL338=FALSE), NA(), AND($CI338=1, CL338=FALSE), 0, CL338=TRUE, 1)</f>
        <v>1</v>
      </c>
      <c r="CT338" s="10" cm="1">
        <f t="array" ref="CT338">_xlfn.IFS(AND($CI338=0, CM338=FALSE), NA(), AND($CI338=1, CM338=FALSE), 0, CM338=TRUE, 1)</f>
        <v>1</v>
      </c>
      <c r="CU338" s="10" cm="1">
        <f t="array" ref="CU338">_xlfn.IFS(AND($CN338=0, CP338=FALSE), NA(), AND($CN338=1, CP338=FALSE), 0, CP338=TRUE, 1)</f>
        <v>1</v>
      </c>
      <c r="CV338" s="10" cm="1">
        <f t="array" ref="CV338">_xlfn.IFS(AND($CN338=0, CQ338=FALSE), NA(), AND($CN338=1, CQ338=FALSE), 0, CQ338=TRUE, 1)</f>
        <v>1</v>
      </c>
    </row>
    <row r="339" spans="1:100" x14ac:dyDescent="0.25">
      <c r="A339" s="8">
        <v>338</v>
      </c>
      <c r="B339" s="9">
        <v>23</v>
      </c>
      <c r="C339" s="10" t="s">
        <v>5</v>
      </c>
      <c r="D339" s="11" t="s">
        <v>58</v>
      </c>
      <c r="E339" s="12">
        <v>16978</v>
      </c>
      <c r="F339" s="13">
        <v>1</v>
      </c>
      <c r="G339" s="9">
        <v>68.867897033691406</v>
      </c>
      <c r="H339" s="12">
        <v>42132</v>
      </c>
      <c r="I339" s="9">
        <v>1</v>
      </c>
      <c r="J339" s="12">
        <v>42132</v>
      </c>
      <c r="K339" s="9">
        <v>1</v>
      </c>
      <c r="L339" s="9">
        <v>1</v>
      </c>
      <c r="M339" s="10" t="s">
        <v>401</v>
      </c>
      <c r="N339" s="9">
        <v>2</v>
      </c>
      <c r="O339" s="10" t="s">
        <v>145</v>
      </c>
      <c r="P339" s="9">
        <v>2</v>
      </c>
      <c r="Q339" s="10" t="s">
        <v>145</v>
      </c>
      <c r="R339" s="12">
        <v>42132</v>
      </c>
      <c r="S339" s="10" t="s">
        <v>146</v>
      </c>
      <c r="T339" s="9">
        <v>1</v>
      </c>
      <c r="U339" s="10" t="s">
        <v>150</v>
      </c>
      <c r="V339" s="10" t="s">
        <v>147</v>
      </c>
      <c r="W339" s="9"/>
      <c r="X339" s="9"/>
      <c r="Y339" s="9">
        <v>4</v>
      </c>
      <c r="Z339" s="19"/>
      <c r="AB339" s="9"/>
      <c r="AC339" s="9"/>
      <c r="AD339" s="9">
        <v>2</v>
      </c>
      <c r="AE339" s="9">
        <v>2</v>
      </c>
      <c r="AF339" s="9">
        <v>1</v>
      </c>
      <c r="AG339" s="9">
        <v>1</v>
      </c>
      <c r="AH339" s="9">
        <v>1</v>
      </c>
      <c r="AI339" s="9">
        <v>0</v>
      </c>
      <c r="AJ339" s="12">
        <v>42929</v>
      </c>
      <c r="AK339" s="9">
        <v>2</v>
      </c>
      <c r="AL339" s="12">
        <v>43083</v>
      </c>
      <c r="AM339" s="9">
        <v>4</v>
      </c>
      <c r="AN339" s="12">
        <v>43011</v>
      </c>
      <c r="AO339" s="12">
        <v>43011</v>
      </c>
      <c r="AP339" s="12">
        <v>43090</v>
      </c>
      <c r="AQ339" s="9">
        <v>1</v>
      </c>
      <c r="AR339" s="9">
        <f t="shared" si="125"/>
        <v>1</v>
      </c>
      <c r="AS339" s="9">
        <v>1</v>
      </c>
      <c r="AT339" s="9">
        <v>1</v>
      </c>
      <c r="AU339" s="9">
        <v>1</v>
      </c>
      <c r="AV339" s="9">
        <f t="shared" si="126"/>
        <v>0</v>
      </c>
      <c r="AW339" s="12">
        <v>43448</v>
      </c>
      <c r="AX339" s="9">
        <v>7080</v>
      </c>
      <c r="AY339" s="9">
        <v>3610</v>
      </c>
      <c r="AZ339" s="9">
        <v>2740</v>
      </c>
      <c r="BA339" s="9">
        <v>3610</v>
      </c>
      <c r="BB339" s="9">
        <v>2740.000244140625</v>
      </c>
      <c r="BC339" s="9">
        <v>188000</v>
      </c>
      <c r="BD339" s="9">
        <v>430</v>
      </c>
      <c r="BE339" s="9">
        <v>280</v>
      </c>
      <c r="BF339" s="9"/>
      <c r="BG339" s="9">
        <v>7370</v>
      </c>
      <c r="BH339" s="9">
        <v>4150</v>
      </c>
      <c r="BI339" s="9">
        <v>2400</v>
      </c>
      <c r="BJ339" s="9">
        <v>146000</v>
      </c>
      <c r="BK339" s="9">
        <v>520</v>
      </c>
      <c r="BL339" s="9">
        <v>260</v>
      </c>
      <c r="BM339" s="9"/>
      <c r="BN339" s="9">
        <v>7050</v>
      </c>
      <c r="BO339" s="9">
        <v>3720</v>
      </c>
      <c r="BP339" s="9">
        <v>2460</v>
      </c>
      <c r="BQ339" s="9">
        <v>1930</v>
      </c>
      <c r="BR339" s="9">
        <v>580</v>
      </c>
      <c r="BS339" s="9">
        <v>260</v>
      </c>
      <c r="BT339" s="9">
        <v>168</v>
      </c>
      <c r="BU339" s="9">
        <v>8650</v>
      </c>
      <c r="BV339" s="9">
        <v>4630</v>
      </c>
      <c r="BW339" s="9">
        <v>2980</v>
      </c>
      <c r="BX339" s="9">
        <v>182000</v>
      </c>
      <c r="BY339" s="9">
        <v>650</v>
      </c>
      <c r="BZ339" s="10" t="s">
        <v>551</v>
      </c>
      <c r="CA339" s="9">
        <v>360</v>
      </c>
      <c r="CB339" s="9">
        <v>145</v>
      </c>
      <c r="CC339" s="10">
        <f t="shared" si="127"/>
        <v>1.3175181307811314</v>
      </c>
      <c r="CD339" s="10">
        <f t="shared" si="128"/>
        <v>68.613132572535378</v>
      </c>
      <c r="CE339" s="10">
        <f t="shared" si="119"/>
        <v>247693.40858685272</v>
      </c>
      <c r="CF339" s="10">
        <f t="shared" si="136"/>
        <v>0</v>
      </c>
      <c r="CG339" s="10">
        <f t="shared" si="122"/>
        <v>0</v>
      </c>
      <c r="CH339" s="10">
        <f t="shared" si="123"/>
        <v>5</v>
      </c>
      <c r="CI339" s="9">
        <f t="shared" si="129"/>
        <v>0</v>
      </c>
      <c r="CJ339" s="10">
        <f t="shared" si="124"/>
        <v>17</v>
      </c>
      <c r="CK339" s="10" t="b">
        <f t="shared" si="130"/>
        <v>1</v>
      </c>
      <c r="CL339" s="10" t="b">
        <f t="shared" si="131"/>
        <v>0</v>
      </c>
      <c r="CM339" s="10" t="b">
        <f t="shared" si="132"/>
        <v>0</v>
      </c>
      <c r="CN339" s="9">
        <f t="shared" si="133"/>
        <v>1</v>
      </c>
      <c r="CO339" s="10">
        <f t="shared" ref="CO339:CO351" si="138">(YEAR(AO339)-YEAR(AJ339))*12+MONTH(AO339)-MONTH(AJ339)</f>
        <v>3</v>
      </c>
      <c r="CP339" s="10" t="b">
        <f t="shared" si="134"/>
        <v>1</v>
      </c>
      <c r="CQ339" s="10" t="b">
        <f t="shared" si="135"/>
        <v>0</v>
      </c>
      <c r="CR339" s="10" cm="1">
        <f t="array" ref="CR339">_xlfn.IFS(AND($CI339=0, CK339=FALSE), NA(), AND($CI339=1, CK339=FALSE), 0, CK339=TRUE, 1)</f>
        <v>1</v>
      </c>
      <c r="CS339" s="10" t="e" cm="1">
        <f t="array" ref="CS339">_xlfn.IFS(AND($CI339=0, CL339=FALSE), NA(), AND($CI339=1, CL339=FALSE), 0, CL339=TRUE, 1)</f>
        <v>#N/A</v>
      </c>
      <c r="CT339" s="10" t="e" cm="1">
        <f t="array" ref="CT339">_xlfn.IFS(AND($CI339=0, CM339=FALSE), NA(), AND($CI339=1, CM339=FALSE), 0, CM339=TRUE, 1)</f>
        <v>#N/A</v>
      </c>
      <c r="CU339" s="10" cm="1">
        <f t="array" ref="CU339">_xlfn.IFS(AND($CN339=0, CP339=FALSE), NA(), AND($CN339=1, CP339=FALSE), 0, CP339=TRUE, 1)</f>
        <v>1</v>
      </c>
      <c r="CV339" s="10" cm="1">
        <f t="array" ref="CV339">_xlfn.IFS(AND($CN339=0, CQ339=FALSE), NA(), AND($CN339=1, CQ339=FALSE), 0, CQ339=TRUE, 1)</f>
        <v>0</v>
      </c>
    </row>
    <row r="340" spans="1:100" ht="15.75" x14ac:dyDescent="0.25">
      <c r="A340" s="8">
        <v>339</v>
      </c>
      <c r="B340" s="9">
        <v>411</v>
      </c>
      <c r="C340" s="10" t="s">
        <v>29</v>
      </c>
      <c r="D340" s="11" t="s">
        <v>324</v>
      </c>
      <c r="E340" s="12">
        <v>23053</v>
      </c>
      <c r="F340" s="13">
        <v>1</v>
      </c>
      <c r="G340" s="9">
        <v>52.251880645751953</v>
      </c>
      <c r="H340" s="12">
        <v>42138</v>
      </c>
      <c r="I340" s="9">
        <v>1</v>
      </c>
      <c r="J340" s="12">
        <v>42138</v>
      </c>
      <c r="K340" s="9">
        <v>0</v>
      </c>
      <c r="L340" s="9">
        <v>4</v>
      </c>
      <c r="M340" s="10" t="s">
        <v>404</v>
      </c>
      <c r="N340" s="9">
        <v>1</v>
      </c>
      <c r="O340" s="10" t="s">
        <v>401</v>
      </c>
      <c r="P340" s="9">
        <v>1</v>
      </c>
      <c r="Q340" s="10" t="s">
        <v>401</v>
      </c>
      <c r="R340" s="12">
        <v>42649</v>
      </c>
      <c r="S340" s="10" t="s">
        <v>145</v>
      </c>
      <c r="T340" s="9"/>
      <c r="U340" s="10" t="s">
        <v>401</v>
      </c>
      <c r="V340" s="10" t="s">
        <v>401</v>
      </c>
      <c r="W340" s="9"/>
      <c r="X340" s="9"/>
      <c r="Y340" s="9">
        <v>2</v>
      </c>
      <c r="Z340" s="14">
        <v>1</v>
      </c>
      <c r="AA340" s="17">
        <v>13.2</v>
      </c>
      <c r="AB340" s="18">
        <v>100</v>
      </c>
      <c r="AC340" s="18">
        <v>15</v>
      </c>
      <c r="AD340" s="9">
        <v>2</v>
      </c>
      <c r="AE340" s="9">
        <v>2</v>
      </c>
      <c r="AF340" s="9">
        <v>1</v>
      </c>
      <c r="AG340" s="9">
        <v>0</v>
      </c>
      <c r="AH340" s="9">
        <v>1</v>
      </c>
      <c r="AI340" s="9">
        <v>0</v>
      </c>
      <c r="AJ340" s="12">
        <v>43047</v>
      </c>
      <c r="AK340" s="9">
        <v>2</v>
      </c>
      <c r="AL340" s="12">
        <v>43188</v>
      </c>
      <c r="AM340" s="9">
        <v>4</v>
      </c>
      <c r="AN340" s="12">
        <v>43202</v>
      </c>
      <c r="AO340" s="12">
        <v>43202</v>
      </c>
      <c r="AP340" s="12">
        <v>43202</v>
      </c>
      <c r="AQ340" s="9">
        <v>1</v>
      </c>
      <c r="AR340" s="9">
        <f t="shared" si="125"/>
        <v>1</v>
      </c>
      <c r="AS340" s="9">
        <v>1</v>
      </c>
      <c r="AT340" s="9">
        <v>2</v>
      </c>
      <c r="AU340" s="9">
        <v>1</v>
      </c>
      <c r="AV340" s="9">
        <f t="shared" si="126"/>
        <v>0</v>
      </c>
      <c r="AW340" s="12">
        <v>44926</v>
      </c>
      <c r="AX340" s="9">
        <v>7180</v>
      </c>
      <c r="AY340" s="9">
        <v>3990</v>
      </c>
      <c r="AZ340" s="9">
        <v>2380</v>
      </c>
      <c r="BA340" s="9">
        <v>3990</v>
      </c>
      <c r="BB340" s="9">
        <v>2379.999755859375</v>
      </c>
      <c r="BC340" s="9">
        <v>378000</v>
      </c>
      <c r="BD340" s="9">
        <v>580</v>
      </c>
      <c r="BE340" s="9">
        <v>60</v>
      </c>
      <c r="BF340" s="9"/>
      <c r="BG340" s="9">
        <v>11080</v>
      </c>
      <c r="BH340" s="9">
        <v>7268</v>
      </c>
      <c r="BI340" s="9">
        <v>2481</v>
      </c>
      <c r="BJ340" s="9">
        <v>269000</v>
      </c>
      <c r="BK340" s="9">
        <v>510</v>
      </c>
      <c r="BL340" s="9">
        <v>75</v>
      </c>
      <c r="BM340" s="9"/>
      <c r="BN340" s="9">
        <v>11410</v>
      </c>
      <c r="BO340" s="9">
        <v>7370</v>
      </c>
      <c r="BP340" s="9">
        <v>2640</v>
      </c>
      <c r="BQ340" s="9">
        <v>430000</v>
      </c>
      <c r="BR340" s="9">
        <v>640</v>
      </c>
      <c r="BS340" s="9">
        <v>570</v>
      </c>
      <c r="BT340" s="9"/>
      <c r="BU340" s="9">
        <v>8220</v>
      </c>
      <c r="BV340" s="9">
        <v>4685</v>
      </c>
      <c r="BW340" s="9">
        <v>1970</v>
      </c>
      <c r="BX340" s="9">
        <v>450000</v>
      </c>
      <c r="BY340" s="9">
        <v>600</v>
      </c>
      <c r="BZ340" s="10" t="s">
        <v>546</v>
      </c>
      <c r="CA340" s="9">
        <v>510</v>
      </c>
      <c r="CB340" s="9"/>
      <c r="CC340" s="10">
        <f t="shared" si="127"/>
        <v>1.6764707602078233</v>
      </c>
      <c r="CD340" s="10">
        <f t="shared" si="128"/>
        <v>158.82354570389904</v>
      </c>
      <c r="CE340" s="10">
        <f t="shared" si="119"/>
        <v>633705.94735855714</v>
      </c>
      <c r="CF340" s="10">
        <f t="shared" si="136"/>
        <v>0</v>
      </c>
      <c r="CG340" s="10">
        <f t="shared" si="122"/>
        <v>0</v>
      </c>
      <c r="CH340" s="10">
        <f t="shared" si="123"/>
        <v>4</v>
      </c>
      <c r="CI340" s="9">
        <f t="shared" si="129"/>
        <v>0</v>
      </c>
      <c r="CJ340" s="10">
        <f t="shared" si="124"/>
        <v>61</v>
      </c>
      <c r="CK340" s="10" t="b">
        <f t="shared" si="130"/>
        <v>1</v>
      </c>
      <c r="CL340" s="10" t="b">
        <f t="shared" si="131"/>
        <v>1</v>
      </c>
      <c r="CM340" s="10" t="b">
        <f t="shared" si="132"/>
        <v>1</v>
      </c>
      <c r="CN340" s="9">
        <f t="shared" si="133"/>
        <v>1</v>
      </c>
      <c r="CO340" s="10">
        <f t="shared" si="138"/>
        <v>5</v>
      </c>
      <c r="CP340" s="10" t="b">
        <f t="shared" si="134"/>
        <v>1</v>
      </c>
      <c r="CQ340" s="10" t="b">
        <f t="shared" si="135"/>
        <v>0</v>
      </c>
      <c r="CR340" s="10" cm="1">
        <f t="array" ref="CR340">_xlfn.IFS(AND($CI340=0, CK340=FALSE), NA(), AND($CI340=1, CK340=FALSE), 0, CK340=TRUE, 1)</f>
        <v>1</v>
      </c>
      <c r="CS340" s="10" cm="1">
        <f t="array" ref="CS340">_xlfn.IFS(AND($CI340=0, CL340=FALSE), NA(), AND($CI340=1, CL340=FALSE), 0, CL340=TRUE, 1)</f>
        <v>1</v>
      </c>
      <c r="CT340" s="10" cm="1">
        <f t="array" ref="CT340">_xlfn.IFS(AND($CI340=0, CM340=FALSE), NA(), AND($CI340=1, CM340=FALSE), 0, CM340=TRUE, 1)</f>
        <v>1</v>
      </c>
      <c r="CU340" s="10" cm="1">
        <f t="array" ref="CU340">_xlfn.IFS(AND($CN340=0, CP340=FALSE), NA(), AND($CN340=1, CP340=FALSE), 0, CP340=TRUE, 1)</f>
        <v>1</v>
      </c>
      <c r="CV340" s="10" cm="1">
        <f t="array" ref="CV340">_xlfn.IFS(AND($CN340=0, CQ340=FALSE), NA(), AND($CN340=1, CQ340=FALSE), 0, CQ340=TRUE, 1)</f>
        <v>0</v>
      </c>
    </row>
    <row r="341" spans="1:100" ht="15.75" x14ac:dyDescent="0.25">
      <c r="A341" s="8">
        <v>340</v>
      </c>
      <c r="B341" s="9">
        <v>227</v>
      </c>
      <c r="C341" s="10" t="s">
        <v>19</v>
      </c>
      <c r="D341" s="11" t="s">
        <v>223</v>
      </c>
      <c r="E341" s="12">
        <v>25669</v>
      </c>
      <c r="F341" s="13">
        <v>1</v>
      </c>
      <c r="G341" s="9">
        <v>45.089664459228516</v>
      </c>
      <c r="H341" s="12">
        <v>42138</v>
      </c>
      <c r="I341" s="9">
        <v>1</v>
      </c>
      <c r="J341" s="12">
        <v>42139</v>
      </c>
      <c r="K341" s="9">
        <v>0</v>
      </c>
      <c r="L341" s="9">
        <v>1</v>
      </c>
      <c r="M341" s="10" t="s">
        <v>401</v>
      </c>
      <c r="N341" s="9">
        <v>2</v>
      </c>
      <c r="O341" s="10" t="s">
        <v>145</v>
      </c>
      <c r="P341" s="9">
        <v>2</v>
      </c>
      <c r="Q341" s="10" t="s">
        <v>145</v>
      </c>
      <c r="R341" s="12">
        <v>42305</v>
      </c>
      <c r="S341" s="10" t="s">
        <v>146</v>
      </c>
      <c r="T341" s="9">
        <v>4</v>
      </c>
      <c r="U341" s="10" t="s">
        <v>401</v>
      </c>
      <c r="V341" s="10" t="s">
        <v>401</v>
      </c>
      <c r="W341" s="9"/>
      <c r="X341" s="9"/>
      <c r="Y341" s="9">
        <v>3</v>
      </c>
      <c r="Z341" s="14">
        <v>2</v>
      </c>
      <c r="AA341" s="31">
        <v>11.7</v>
      </c>
      <c r="AB341" s="37">
        <v>94</v>
      </c>
      <c r="AC341" s="37">
        <v>18</v>
      </c>
      <c r="AD341" s="9">
        <v>2</v>
      </c>
      <c r="AE341" s="9">
        <v>2</v>
      </c>
      <c r="AF341" s="9">
        <v>1</v>
      </c>
      <c r="AG341" s="9">
        <v>1</v>
      </c>
      <c r="AH341" s="9">
        <v>1</v>
      </c>
      <c r="AI341" s="9">
        <v>0</v>
      </c>
      <c r="AJ341" s="12">
        <v>43474</v>
      </c>
      <c r="AK341" s="9">
        <v>2</v>
      </c>
      <c r="AL341" s="12">
        <v>43734</v>
      </c>
      <c r="AM341" s="9">
        <v>2</v>
      </c>
      <c r="AN341" s="12">
        <v>43565</v>
      </c>
      <c r="AO341" s="12">
        <v>43756</v>
      </c>
      <c r="AP341" s="12">
        <v>43756</v>
      </c>
      <c r="AQ341" s="9">
        <v>1</v>
      </c>
      <c r="AR341" s="9">
        <f t="shared" si="125"/>
        <v>1</v>
      </c>
      <c r="AS341" s="9">
        <v>1</v>
      </c>
      <c r="AT341" s="9">
        <v>2</v>
      </c>
      <c r="AU341" s="9">
        <v>2</v>
      </c>
      <c r="AV341" s="9">
        <f t="shared" si="126"/>
        <v>1</v>
      </c>
      <c r="AW341" s="12">
        <v>43884</v>
      </c>
      <c r="AX341" s="9">
        <v>7500</v>
      </c>
      <c r="AY341" s="9">
        <v>3600</v>
      </c>
      <c r="AZ341" s="9">
        <v>3200</v>
      </c>
      <c r="BA341" s="9">
        <v>3600</v>
      </c>
      <c r="BB341" s="9">
        <v>3199.998779296875</v>
      </c>
      <c r="BC341" s="9">
        <v>374000</v>
      </c>
      <c r="BD341" s="9">
        <v>500</v>
      </c>
      <c r="BE341" s="9">
        <v>100</v>
      </c>
      <c r="BF341" s="9">
        <v>329</v>
      </c>
      <c r="BG341" s="9">
        <v>7380</v>
      </c>
      <c r="BH341" s="9">
        <v>4200</v>
      </c>
      <c r="BI341" s="9">
        <v>2300</v>
      </c>
      <c r="BJ341" s="9">
        <v>299000</v>
      </c>
      <c r="BK341" s="9">
        <v>500</v>
      </c>
      <c r="BL341" s="9">
        <v>100</v>
      </c>
      <c r="BM341" s="9">
        <v>306</v>
      </c>
      <c r="BN341" s="9">
        <v>7880</v>
      </c>
      <c r="BO341" s="9">
        <v>4700</v>
      </c>
      <c r="BP341" s="9">
        <v>2100</v>
      </c>
      <c r="BQ341" s="9">
        <v>427000</v>
      </c>
      <c r="BR341" s="9">
        <v>600</v>
      </c>
      <c r="BS341" s="9">
        <v>300</v>
      </c>
      <c r="BT341" s="9">
        <v>302</v>
      </c>
      <c r="BU341" s="9">
        <v>7520</v>
      </c>
      <c r="BV341" s="9">
        <v>4200</v>
      </c>
      <c r="BW341" s="9">
        <v>2300</v>
      </c>
      <c r="BX341" s="9">
        <v>330000</v>
      </c>
      <c r="BY341" s="9">
        <v>500</v>
      </c>
      <c r="BZ341" s="10" t="s">
        <v>524</v>
      </c>
      <c r="CA341" s="9">
        <v>200</v>
      </c>
      <c r="CB341" s="9">
        <v>257</v>
      </c>
      <c r="CC341" s="10">
        <f t="shared" si="127"/>
        <v>1.125000429153606</v>
      </c>
      <c r="CD341" s="10">
        <f t="shared" si="128"/>
        <v>116.8750445842913</v>
      </c>
      <c r="CE341" s="10">
        <f t="shared" si="119"/>
        <v>420750.16050344863</v>
      </c>
      <c r="CF341" s="10">
        <f t="shared" si="136"/>
        <v>1</v>
      </c>
      <c r="CG341" s="10">
        <f t="shared" si="122"/>
        <v>1</v>
      </c>
      <c r="CH341" s="10">
        <f t="shared" si="123"/>
        <v>8</v>
      </c>
      <c r="CI341" s="9">
        <f t="shared" si="129"/>
        <v>1</v>
      </c>
      <c r="CJ341" s="10">
        <f t="shared" si="124"/>
        <v>13</v>
      </c>
      <c r="CK341" s="10" t="b">
        <f t="shared" si="130"/>
        <v>1</v>
      </c>
      <c r="CL341" s="10" t="b">
        <f t="shared" si="131"/>
        <v>0</v>
      </c>
      <c r="CM341" s="10" t="b">
        <f t="shared" si="132"/>
        <v>0</v>
      </c>
      <c r="CN341" s="9">
        <f t="shared" si="133"/>
        <v>1</v>
      </c>
      <c r="CO341" s="10">
        <f t="shared" si="138"/>
        <v>9</v>
      </c>
      <c r="CP341" s="10" t="b">
        <f t="shared" si="134"/>
        <v>1</v>
      </c>
      <c r="CQ341" s="10" t="b">
        <f t="shared" si="135"/>
        <v>1</v>
      </c>
      <c r="CR341" s="10" cm="1">
        <f t="array" ref="CR341">_xlfn.IFS(AND($CI341=0, CK341=FALSE), NA(), AND($CI341=1, CK341=FALSE), 0, CK341=TRUE, 1)</f>
        <v>1</v>
      </c>
      <c r="CS341" s="10" cm="1">
        <f t="array" ref="CS341">_xlfn.IFS(AND($CI341=0, CL341=FALSE), NA(), AND($CI341=1, CL341=FALSE), 0, CL341=TRUE, 1)</f>
        <v>0</v>
      </c>
      <c r="CT341" s="10" cm="1">
        <f t="array" ref="CT341">_xlfn.IFS(AND($CI341=0, CM341=FALSE), NA(), AND($CI341=1, CM341=FALSE), 0, CM341=TRUE, 1)</f>
        <v>0</v>
      </c>
      <c r="CU341" s="10" cm="1">
        <f t="array" ref="CU341">_xlfn.IFS(AND($CN341=0, CP341=FALSE), NA(), AND($CN341=1, CP341=FALSE), 0, CP341=TRUE, 1)</f>
        <v>1</v>
      </c>
      <c r="CV341" s="10" cm="1">
        <f t="array" ref="CV341">_xlfn.IFS(AND($CN341=0, CQ341=FALSE), NA(), AND($CN341=1, CQ341=FALSE), 0, CQ341=TRUE, 1)</f>
        <v>1</v>
      </c>
    </row>
    <row r="342" spans="1:100" ht="15.75" x14ac:dyDescent="0.25">
      <c r="A342" s="8">
        <v>341</v>
      </c>
      <c r="B342" s="9">
        <v>423</v>
      </c>
      <c r="C342" s="10" t="s">
        <v>29</v>
      </c>
      <c r="D342" s="11" t="s">
        <v>335</v>
      </c>
      <c r="E342" s="12">
        <v>15123</v>
      </c>
      <c r="F342" s="13">
        <v>2</v>
      </c>
      <c r="G342" s="9">
        <v>73.976730346679688</v>
      </c>
      <c r="H342" s="12">
        <v>42143</v>
      </c>
      <c r="I342" s="9">
        <v>1</v>
      </c>
      <c r="J342" s="12">
        <v>42143</v>
      </c>
      <c r="K342" s="9">
        <v>1</v>
      </c>
      <c r="L342" s="9">
        <v>1</v>
      </c>
      <c r="M342" s="10" t="s">
        <v>401</v>
      </c>
      <c r="N342" s="9">
        <v>2</v>
      </c>
      <c r="O342" s="10" t="s">
        <v>145</v>
      </c>
      <c r="P342" s="9">
        <v>2</v>
      </c>
      <c r="Q342" s="10" t="s">
        <v>145</v>
      </c>
      <c r="R342" s="12">
        <v>42129</v>
      </c>
      <c r="S342" s="10" t="s">
        <v>145</v>
      </c>
      <c r="T342" s="9">
        <v>6</v>
      </c>
      <c r="U342" s="10" t="s">
        <v>401</v>
      </c>
      <c r="V342" s="10" t="s">
        <v>401</v>
      </c>
      <c r="W342" s="9"/>
      <c r="X342" s="9"/>
      <c r="Y342" s="9">
        <v>3</v>
      </c>
      <c r="Z342" s="14">
        <v>1</v>
      </c>
      <c r="AA342" s="17">
        <v>10.3</v>
      </c>
      <c r="AB342" s="18"/>
      <c r="AC342" s="18"/>
      <c r="AD342" s="9">
        <v>2</v>
      </c>
      <c r="AE342" s="9">
        <v>2</v>
      </c>
      <c r="AF342" s="9">
        <v>1</v>
      </c>
      <c r="AG342" s="9">
        <v>0</v>
      </c>
      <c r="AH342" s="9">
        <v>1</v>
      </c>
      <c r="AI342" s="9">
        <v>1</v>
      </c>
      <c r="AJ342" s="12">
        <v>42992</v>
      </c>
      <c r="AK342" s="9">
        <v>2</v>
      </c>
      <c r="AL342" s="12">
        <v>43150</v>
      </c>
      <c r="AM342" s="9">
        <v>3</v>
      </c>
      <c r="AN342" s="12">
        <v>43080</v>
      </c>
      <c r="AO342" s="12">
        <v>43178</v>
      </c>
      <c r="AP342" s="12">
        <v>43178</v>
      </c>
      <c r="AQ342" s="9">
        <v>1</v>
      </c>
      <c r="AR342" s="9">
        <f t="shared" si="125"/>
        <v>1</v>
      </c>
      <c r="AS342" s="9">
        <v>1</v>
      </c>
      <c r="AT342" s="9">
        <v>2</v>
      </c>
      <c r="AU342" s="9">
        <v>2</v>
      </c>
      <c r="AV342" s="9">
        <f t="shared" si="126"/>
        <v>1</v>
      </c>
      <c r="AW342" s="12">
        <v>43299</v>
      </c>
      <c r="AX342" s="9">
        <v>3480</v>
      </c>
      <c r="AY342" s="9">
        <v>1790</v>
      </c>
      <c r="AZ342" s="9">
        <v>1280</v>
      </c>
      <c r="BA342" s="9">
        <v>1790</v>
      </c>
      <c r="BB342" s="9">
        <v>1280</v>
      </c>
      <c r="BC342" s="9">
        <v>307000</v>
      </c>
      <c r="BD342" s="9">
        <v>240</v>
      </c>
      <c r="BE342" s="9">
        <v>120</v>
      </c>
      <c r="BF342" s="9"/>
      <c r="BG342" s="9">
        <v>7740</v>
      </c>
      <c r="BH342" s="9">
        <v>6740</v>
      </c>
      <c r="BI342" s="9">
        <v>1360</v>
      </c>
      <c r="BJ342" s="9">
        <v>289000</v>
      </c>
      <c r="BK342" s="9">
        <v>250</v>
      </c>
      <c r="BL342" s="9">
        <v>100</v>
      </c>
      <c r="BM342" s="9"/>
      <c r="BN342" s="9">
        <v>7040</v>
      </c>
      <c r="BO342" s="9">
        <v>4980</v>
      </c>
      <c r="BP342" s="9">
        <v>3980</v>
      </c>
      <c r="BQ342" s="9">
        <v>325000</v>
      </c>
      <c r="BR342" s="9">
        <v>230</v>
      </c>
      <c r="BS342" s="9">
        <v>160</v>
      </c>
      <c r="BT342" s="9"/>
      <c r="BU342" s="9">
        <v>7900</v>
      </c>
      <c r="BV342" s="9">
        <v>5980</v>
      </c>
      <c r="BW342" s="9">
        <v>1180</v>
      </c>
      <c r="BX342" s="9">
        <v>323000</v>
      </c>
      <c r="BY342" s="9">
        <v>650</v>
      </c>
      <c r="BZ342" s="10" t="s">
        <v>544</v>
      </c>
      <c r="CA342" s="9">
        <v>60</v>
      </c>
      <c r="CB342" s="9"/>
      <c r="CC342" s="10">
        <f t="shared" si="127"/>
        <v>1.3984375</v>
      </c>
      <c r="CD342" s="10">
        <f t="shared" si="128"/>
        <v>239.84375</v>
      </c>
      <c r="CE342" s="10">
        <f t="shared" si="119"/>
        <v>429320.3125</v>
      </c>
      <c r="CF342" s="10">
        <f t="shared" si="136"/>
        <v>1</v>
      </c>
      <c r="CG342" s="10">
        <f t="shared" si="122"/>
        <v>0</v>
      </c>
      <c r="CH342" s="10">
        <f t="shared" si="123"/>
        <v>5</v>
      </c>
      <c r="CI342" s="9">
        <f t="shared" si="129"/>
        <v>1</v>
      </c>
      <c r="CJ342" s="10">
        <f t="shared" si="124"/>
        <v>10</v>
      </c>
      <c r="CK342" s="10" t="b">
        <f t="shared" si="130"/>
        <v>1</v>
      </c>
      <c r="CL342" s="10" t="b">
        <f t="shared" si="131"/>
        <v>0</v>
      </c>
      <c r="CM342" s="10" t="b">
        <f t="shared" si="132"/>
        <v>0</v>
      </c>
      <c r="CN342" s="9">
        <f t="shared" si="133"/>
        <v>1</v>
      </c>
      <c r="CO342" s="10">
        <f t="shared" si="138"/>
        <v>6</v>
      </c>
      <c r="CP342" s="10" t="b">
        <f t="shared" si="134"/>
        <v>1</v>
      </c>
      <c r="CQ342" s="10" t="b">
        <f t="shared" si="135"/>
        <v>0</v>
      </c>
      <c r="CR342" s="10" cm="1">
        <f t="array" ref="CR342">_xlfn.IFS(AND($CI342=0, CK342=FALSE), NA(), AND($CI342=1, CK342=FALSE), 0, CK342=TRUE, 1)</f>
        <v>1</v>
      </c>
      <c r="CS342" s="10" cm="1">
        <f t="array" ref="CS342">_xlfn.IFS(AND($CI342=0, CL342=FALSE), NA(), AND($CI342=1, CL342=FALSE), 0, CL342=TRUE, 1)</f>
        <v>0</v>
      </c>
      <c r="CT342" s="10" cm="1">
        <f t="array" ref="CT342">_xlfn.IFS(AND($CI342=0, CM342=FALSE), NA(), AND($CI342=1, CM342=FALSE), 0, CM342=TRUE, 1)</f>
        <v>0</v>
      </c>
      <c r="CU342" s="10" cm="1">
        <f t="array" ref="CU342">_xlfn.IFS(AND($CN342=0, CP342=FALSE), NA(), AND($CN342=1, CP342=FALSE), 0, CP342=TRUE, 1)</f>
        <v>1</v>
      </c>
      <c r="CV342" s="10" cm="1">
        <f t="array" ref="CV342">_xlfn.IFS(AND($CN342=0, CQ342=FALSE), NA(), AND($CN342=1, CQ342=FALSE), 0, CQ342=TRUE, 1)</f>
        <v>0</v>
      </c>
    </row>
    <row r="343" spans="1:100" x14ac:dyDescent="0.25">
      <c r="A343" s="8">
        <v>342</v>
      </c>
      <c r="B343" s="9">
        <v>104</v>
      </c>
      <c r="C343" s="10" t="s">
        <v>11</v>
      </c>
      <c r="D343" s="11" t="s">
        <v>96</v>
      </c>
      <c r="E343" s="12">
        <v>15755</v>
      </c>
      <c r="F343" s="13">
        <v>2</v>
      </c>
      <c r="G343" s="9">
        <v>72.2491455078125</v>
      </c>
      <c r="H343" s="12">
        <v>42144</v>
      </c>
      <c r="I343" s="9">
        <v>1</v>
      </c>
      <c r="J343" s="12">
        <v>42160</v>
      </c>
      <c r="K343" s="9">
        <v>0</v>
      </c>
      <c r="L343" s="9">
        <v>1</v>
      </c>
      <c r="M343" s="10" t="s">
        <v>401</v>
      </c>
      <c r="N343" s="9">
        <v>1</v>
      </c>
      <c r="O343" s="10" t="s">
        <v>401</v>
      </c>
      <c r="P343" s="9">
        <v>1</v>
      </c>
      <c r="Q343" s="10" t="s">
        <v>401</v>
      </c>
      <c r="R343" s="12">
        <v>42641</v>
      </c>
      <c r="S343" s="10" t="s">
        <v>145</v>
      </c>
      <c r="T343" s="9"/>
      <c r="U343" s="10" t="s">
        <v>401</v>
      </c>
      <c r="V343" s="10" t="s">
        <v>401</v>
      </c>
      <c r="W343" s="9"/>
      <c r="X343" s="9"/>
      <c r="Y343" s="9">
        <v>2</v>
      </c>
      <c r="Z343" s="19">
        <v>1</v>
      </c>
      <c r="AB343" s="9"/>
      <c r="AC343" s="9"/>
      <c r="AD343" s="9">
        <v>1</v>
      </c>
      <c r="AE343" s="9">
        <v>1</v>
      </c>
      <c r="AF343" s="9">
        <v>1</v>
      </c>
      <c r="AG343" s="9">
        <v>1</v>
      </c>
      <c r="AH343" s="9">
        <v>1</v>
      </c>
      <c r="AI343" s="9">
        <v>0</v>
      </c>
      <c r="AJ343" s="12">
        <v>43119</v>
      </c>
      <c r="AK343" s="9">
        <v>2</v>
      </c>
      <c r="AL343" s="12">
        <v>44155</v>
      </c>
      <c r="AM343" s="9">
        <v>2</v>
      </c>
      <c r="AN343" s="12">
        <v>43299</v>
      </c>
      <c r="AO343" s="12">
        <v>44168</v>
      </c>
      <c r="AP343" s="12">
        <v>44168</v>
      </c>
      <c r="AQ343" s="9">
        <v>1</v>
      </c>
      <c r="AR343" s="9">
        <f t="shared" si="125"/>
        <v>1</v>
      </c>
      <c r="AS343" s="9">
        <v>1</v>
      </c>
      <c r="AT343" s="9">
        <v>2</v>
      </c>
      <c r="AU343" s="9">
        <v>2</v>
      </c>
      <c r="AV343" s="9">
        <f t="shared" si="126"/>
        <v>1</v>
      </c>
      <c r="AW343" s="12">
        <v>44237</v>
      </c>
      <c r="AX343" s="9">
        <v>6500</v>
      </c>
      <c r="AY343" s="9">
        <v>4300</v>
      </c>
      <c r="AZ343" s="9">
        <v>1300</v>
      </c>
      <c r="BA343" s="9">
        <v>4300</v>
      </c>
      <c r="BB343" s="9">
        <v>1300.000244140625</v>
      </c>
      <c r="BC343" s="9">
        <v>229000</v>
      </c>
      <c r="BD343" s="9">
        <v>900</v>
      </c>
      <c r="BE343" s="9">
        <v>200</v>
      </c>
      <c r="BF343" s="9"/>
      <c r="BG343" s="9">
        <v>6400</v>
      </c>
      <c r="BH343" s="9">
        <v>4400</v>
      </c>
      <c r="BI343" s="9">
        <v>1100</v>
      </c>
      <c r="BJ343" s="9">
        <v>232000</v>
      </c>
      <c r="BK343" s="9">
        <v>800</v>
      </c>
      <c r="BL343" s="9">
        <v>200</v>
      </c>
      <c r="BM343" s="9"/>
      <c r="BN343" s="9">
        <v>6000</v>
      </c>
      <c r="BO343" s="9">
        <v>4000</v>
      </c>
      <c r="BP343" s="9">
        <v>1200</v>
      </c>
      <c r="BQ343" s="9">
        <v>231000</v>
      </c>
      <c r="BR343" s="9">
        <v>700</v>
      </c>
      <c r="BS343" s="9">
        <v>100</v>
      </c>
      <c r="BT343" s="9"/>
      <c r="BU343" s="9">
        <v>5500</v>
      </c>
      <c r="BV343" s="9">
        <v>3700</v>
      </c>
      <c r="BW343" s="9">
        <v>1000</v>
      </c>
      <c r="BX343" s="9">
        <v>231000</v>
      </c>
      <c r="BY343" s="9">
        <v>600</v>
      </c>
      <c r="BZ343" s="10" t="s">
        <v>525</v>
      </c>
      <c r="CA343" s="9">
        <v>100</v>
      </c>
      <c r="CB343" s="9"/>
      <c r="CC343" s="10">
        <f t="shared" si="127"/>
        <v>3.3076916865062187</v>
      </c>
      <c r="CD343" s="10">
        <f t="shared" si="128"/>
        <v>176.15381307207537</v>
      </c>
      <c r="CE343" s="10">
        <f t="shared" si="119"/>
        <v>757461.39620992413</v>
      </c>
      <c r="CF343" s="10">
        <f t="shared" si="136"/>
        <v>1</v>
      </c>
      <c r="CG343" s="10">
        <f t="shared" si="122"/>
        <v>1</v>
      </c>
      <c r="CH343" s="10">
        <f t="shared" si="123"/>
        <v>34</v>
      </c>
      <c r="CI343" s="9">
        <f t="shared" si="129"/>
        <v>1</v>
      </c>
      <c r="CJ343" s="10">
        <f t="shared" si="124"/>
        <v>37</v>
      </c>
      <c r="CK343" s="10" t="b">
        <f t="shared" si="130"/>
        <v>1</v>
      </c>
      <c r="CL343" s="10" t="b">
        <f t="shared" si="131"/>
        <v>1</v>
      </c>
      <c r="CM343" s="10" t="b">
        <f t="shared" si="132"/>
        <v>1</v>
      </c>
      <c r="CN343" s="9">
        <f t="shared" si="133"/>
        <v>1</v>
      </c>
      <c r="CO343" s="10">
        <f t="shared" si="138"/>
        <v>35</v>
      </c>
      <c r="CP343" s="10" t="b">
        <f t="shared" si="134"/>
        <v>1</v>
      </c>
      <c r="CQ343" s="10" t="b">
        <f t="shared" si="135"/>
        <v>1</v>
      </c>
      <c r="CR343" s="10" cm="1">
        <f t="array" ref="CR343">_xlfn.IFS(AND($CI343=0, CK343=FALSE), NA(), AND($CI343=1, CK343=FALSE), 0, CK343=TRUE, 1)</f>
        <v>1</v>
      </c>
      <c r="CS343" s="10" cm="1">
        <f t="array" ref="CS343">_xlfn.IFS(AND($CI343=0, CL343=FALSE), NA(), AND($CI343=1, CL343=FALSE), 0, CL343=TRUE, 1)</f>
        <v>1</v>
      </c>
      <c r="CT343" s="10" cm="1">
        <f t="array" ref="CT343">_xlfn.IFS(AND($CI343=0, CM343=FALSE), NA(), AND($CI343=1, CM343=FALSE), 0, CM343=TRUE, 1)</f>
        <v>1</v>
      </c>
      <c r="CU343" s="10" cm="1">
        <f t="array" ref="CU343">_xlfn.IFS(AND($CN343=0, CP343=FALSE), NA(), AND($CN343=1, CP343=FALSE), 0, CP343=TRUE, 1)</f>
        <v>1</v>
      </c>
      <c r="CV343" s="10" cm="1">
        <f t="array" ref="CV343">_xlfn.IFS(AND($CN343=0, CQ343=FALSE), NA(), AND($CN343=1, CQ343=FALSE), 0, CQ343=TRUE, 1)</f>
        <v>1</v>
      </c>
    </row>
    <row r="344" spans="1:100" ht="15.75" x14ac:dyDescent="0.25">
      <c r="A344" s="8">
        <v>343</v>
      </c>
      <c r="B344" s="9">
        <v>284</v>
      </c>
      <c r="C344" s="10" t="s">
        <v>21</v>
      </c>
      <c r="D344" s="11" t="s">
        <v>251</v>
      </c>
      <c r="E344" s="12">
        <v>17971</v>
      </c>
      <c r="F344" s="13">
        <v>2</v>
      </c>
      <c r="G344" s="9">
        <v>66.198493957519531</v>
      </c>
      <c r="H344" s="12">
        <v>42150</v>
      </c>
      <c r="I344" s="9">
        <v>1</v>
      </c>
      <c r="J344" s="12">
        <v>42150</v>
      </c>
      <c r="K344" s="9">
        <v>1</v>
      </c>
      <c r="L344" s="9">
        <v>1</v>
      </c>
      <c r="M344" s="10" t="s">
        <v>401</v>
      </c>
      <c r="N344" s="9"/>
      <c r="O344" s="10" t="s">
        <v>401</v>
      </c>
      <c r="P344" s="9"/>
      <c r="Q344" s="10" t="s">
        <v>401</v>
      </c>
      <c r="R344" s="12">
        <v>42146</v>
      </c>
      <c r="S344" s="10" t="s">
        <v>145</v>
      </c>
      <c r="T344" s="9">
        <v>6</v>
      </c>
      <c r="U344" s="10" t="s">
        <v>401</v>
      </c>
      <c r="V344" s="10" t="s">
        <v>401</v>
      </c>
      <c r="W344" s="9"/>
      <c r="X344" s="9"/>
      <c r="Y344" s="9">
        <v>3</v>
      </c>
      <c r="Z344" s="14">
        <v>1</v>
      </c>
      <c r="AA344" s="15">
        <v>10.7</v>
      </c>
      <c r="AB344" s="16">
        <v>83</v>
      </c>
      <c r="AC344" s="16">
        <v>17</v>
      </c>
      <c r="AD344" s="9">
        <v>2</v>
      </c>
      <c r="AE344" s="9">
        <v>2</v>
      </c>
      <c r="AF344" s="9">
        <v>1</v>
      </c>
      <c r="AG344" s="9">
        <v>0</v>
      </c>
      <c r="AH344" s="9">
        <v>1</v>
      </c>
      <c r="AI344" s="9">
        <v>0</v>
      </c>
      <c r="AJ344" s="12">
        <v>42439</v>
      </c>
      <c r="AK344" s="9">
        <v>2</v>
      </c>
      <c r="AL344" s="12">
        <v>42552</v>
      </c>
      <c r="AM344" s="9">
        <v>4</v>
      </c>
      <c r="AN344" s="12">
        <v>42513</v>
      </c>
      <c r="AO344" s="12">
        <v>42583</v>
      </c>
      <c r="AP344" s="12">
        <v>42583</v>
      </c>
      <c r="AQ344" s="9">
        <v>1</v>
      </c>
      <c r="AR344" s="9">
        <f t="shared" si="125"/>
        <v>1</v>
      </c>
      <c r="AS344" s="9">
        <v>1</v>
      </c>
      <c r="AT344" s="9">
        <v>2</v>
      </c>
      <c r="AU344" s="9">
        <v>2</v>
      </c>
      <c r="AV344" s="9">
        <f t="shared" si="126"/>
        <v>1</v>
      </c>
      <c r="AW344" s="12">
        <v>42630</v>
      </c>
      <c r="AX344" s="9">
        <v>8930</v>
      </c>
      <c r="AY344" s="9">
        <v>5660</v>
      </c>
      <c r="AZ344" s="9">
        <v>1770</v>
      </c>
      <c r="BA344" s="9">
        <v>5660</v>
      </c>
      <c r="BB344" s="9">
        <v>1770.000244140625</v>
      </c>
      <c r="BC344" s="9">
        <v>335000</v>
      </c>
      <c r="BD344" s="9">
        <v>990</v>
      </c>
      <c r="BE344" s="9">
        <v>440</v>
      </c>
      <c r="BF344" s="9">
        <v>150</v>
      </c>
      <c r="BG344" s="9">
        <v>9440</v>
      </c>
      <c r="BH344" s="9">
        <v>6070</v>
      </c>
      <c r="BI344" s="9">
        <v>1760</v>
      </c>
      <c r="BJ344" s="9">
        <v>357000</v>
      </c>
      <c r="BK344" s="9">
        <v>1160</v>
      </c>
      <c r="BL344" s="9">
        <v>350</v>
      </c>
      <c r="BM344" s="9">
        <v>159</v>
      </c>
      <c r="BN344" s="9">
        <v>9410</v>
      </c>
      <c r="BO344" s="9">
        <v>6360</v>
      </c>
      <c r="BP344" s="9">
        <v>1640</v>
      </c>
      <c r="BQ344" s="9">
        <v>318000</v>
      </c>
      <c r="BR344" s="9">
        <v>1000</v>
      </c>
      <c r="BS344" s="9">
        <v>340</v>
      </c>
      <c r="BT344" s="9">
        <v>154</v>
      </c>
      <c r="BU344" s="9">
        <v>10510</v>
      </c>
      <c r="BV344" s="9">
        <v>7110</v>
      </c>
      <c r="BW344" s="9">
        <v>1810</v>
      </c>
      <c r="BX344" s="9">
        <v>304000</v>
      </c>
      <c r="BY344" s="9">
        <v>1090</v>
      </c>
      <c r="BZ344" s="10" t="s">
        <v>577</v>
      </c>
      <c r="CA344" s="9">
        <v>440</v>
      </c>
      <c r="CB344" s="9">
        <v>161</v>
      </c>
      <c r="CC344" s="10">
        <f t="shared" si="127"/>
        <v>3.1977396719219424</v>
      </c>
      <c r="CD344" s="10">
        <f t="shared" si="128"/>
        <v>189.2655106172881</v>
      </c>
      <c r="CE344" s="10">
        <f t="shared" si="119"/>
        <v>1071242.7900938508</v>
      </c>
      <c r="CF344" s="10">
        <f t="shared" si="136"/>
        <v>0</v>
      </c>
      <c r="CG344" s="10">
        <f t="shared" si="122"/>
        <v>0</v>
      </c>
      <c r="CH344" s="10">
        <f t="shared" si="123"/>
        <v>4</v>
      </c>
      <c r="CI344" s="9">
        <f t="shared" si="129"/>
        <v>1</v>
      </c>
      <c r="CJ344" s="10">
        <f t="shared" si="124"/>
        <v>6</v>
      </c>
      <c r="CK344" s="10" t="b">
        <f t="shared" si="130"/>
        <v>1</v>
      </c>
      <c r="CL344" s="10" t="b">
        <f t="shared" si="131"/>
        <v>0</v>
      </c>
      <c r="CM344" s="10" t="b">
        <f t="shared" si="132"/>
        <v>0</v>
      </c>
      <c r="CN344" s="9">
        <f t="shared" si="133"/>
        <v>1</v>
      </c>
      <c r="CO344" s="10">
        <f t="shared" si="138"/>
        <v>5</v>
      </c>
      <c r="CP344" s="10" t="b">
        <f t="shared" si="134"/>
        <v>1</v>
      </c>
      <c r="CQ344" s="10" t="b">
        <f t="shared" si="135"/>
        <v>0</v>
      </c>
      <c r="CR344" s="10" cm="1">
        <f t="array" ref="CR344">_xlfn.IFS(AND($CI344=0, CK344=FALSE), NA(), AND($CI344=1, CK344=FALSE), 0, CK344=TRUE, 1)</f>
        <v>1</v>
      </c>
      <c r="CS344" s="10" cm="1">
        <f t="array" ref="CS344">_xlfn.IFS(AND($CI344=0, CL344=FALSE), NA(), AND($CI344=1, CL344=FALSE), 0, CL344=TRUE, 1)</f>
        <v>0</v>
      </c>
      <c r="CT344" s="10" cm="1">
        <f t="array" ref="CT344">_xlfn.IFS(AND($CI344=0, CM344=FALSE), NA(), AND($CI344=1, CM344=FALSE), 0, CM344=TRUE, 1)</f>
        <v>0</v>
      </c>
      <c r="CU344" s="10" cm="1">
        <f t="array" ref="CU344">_xlfn.IFS(AND($CN344=0, CP344=FALSE), NA(), AND($CN344=1, CP344=FALSE), 0, CP344=TRUE, 1)</f>
        <v>1</v>
      </c>
      <c r="CV344" s="10" cm="1">
        <f t="array" ref="CV344">_xlfn.IFS(AND($CN344=0, CQ344=FALSE), NA(), AND($CN344=1, CQ344=FALSE), 0, CQ344=TRUE, 1)</f>
        <v>0</v>
      </c>
    </row>
    <row r="345" spans="1:100" ht="15.75" x14ac:dyDescent="0.25">
      <c r="A345" s="8">
        <v>344</v>
      </c>
      <c r="B345" s="9">
        <v>1</v>
      </c>
      <c r="C345" s="10" t="s">
        <v>23</v>
      </c>
      <c r="D345" s="11" t="s">
        <v>258</v>
      </c>
      <c r="E345" s="12">
        <v>15484</v>
      </c>
      <c r="F345" s="13">
        <v>1</v>
      </c>
      <c r="G345" s="9">
        <v>73.010269165039063</v>
      </c>
      <c r="H345" s="12">
        <v>42151</v>
      </c>
      <c r="I345" s="9">
        <v>1</v>
      </c>
      <c r="J345" s="12">
        <v>42151</v>
      </c>
      <c r="K345" s="9">
        <v>1</v>
      </c>
      <c r="L345" s="9">
        <v>4</v>
      </c>
      <c r="M345" s="10" t="s">
        <v>404</v>
      </c>
      <c r="N345" s="9">
        <v>2</v>
      </c>
      <c r="O345" s="10" t="s">
        <v>147</v>
      </c>
      <c r="P345" s="9">
        <v>2</v>
      </c>
      <c r="Q345" s="10" t="s">
        <v>147</v>
      </c>
      <c r="R345" s="12">
        <v>42151</v>
      </c>
      <c r="S345" s="10" t="s">
        <v>146</v>
      </c>
      <c r="T345" s="9"/>
      <c r="U345" s="10" t="s">
        <v>401</v>
      </c>
      <c r="V345" s="10" t="s">
        <v>401</v>
      </c>
      <c r="W345" s="9"/>
      <c r="X345" s="9"/>
      <c r="Y345" s="9">
        <v>2</v>
      </c>
      <c r="Z345" s="14">
        <v>2</v>
      </c>
      <c r="AA345" s="38">
        <v>11.7</v>
      </c>
      <c r="AB345" s="39">
        <v>114</v>
      </c>
      <c r="AC345" s="39">
        <v>14</v>
      </c>
      <c r="AD345" s="9">
        <v>2</v>
      </c>
      <c r="AE345" s="9">
        <v>2</v>
      </c>
      <c r="AF345" s="9">
        <v>1</v>
      </c>
      <c r="AG345" s="9">
        <v>0</v>
      </c>
      <c r="AH345" s="9">
        <v>1</v>
      </c>
      <c r="AI345" s="9">
        <v>0</v>
      </c>
      <c r="AJ345" s="12">
        <v>43522</v>
      </c>
      <c r="AK345" s="9">
        <v>2</v>
      </c>
      <c r="AL345" s="12">
        <v>43683</v>
      </c>
      <c r="AM345" s="9">
        <v>4</v>
      </c>
      <c r="AN345" s="12">
        <v>43644</v>
      </c>
      <c r="AO345" s="12">
        <v>43644</v>
      </c>
      <c r="AP345" s="12">
        <v>43693</v>
      </c>
      <c r="AQ345" s="9">
        <v>1</v>
      </c>
      <c r="AR345" s="9">
        <f t="shared" si="125"/>
        <v>1</v>
      </c>
      <c r="AS345" s="9">
        <v>1</v>
      </c>
      <c r="AT345" s="9">
        <v>1</v>
      </c>
      <c r="AU345" s="9">
        <v>2</v>
      </c>
      <c r="AV345" s="9">
        <f t="shared" si="126"/>
        <v>1</v>
      </c>
      <c r="AW345" s="12">
        <v>44084</v>
      </c>
      <c r="AX345" s="9">
        <v>5820</v>
      </c>
      <c r="AY345" s="9">
        <v>3100</v>
      </c>
      <c r="AZ345" s="9">
        <v>1900</v>
      </c>
      <c r="BA345" s="9">
        <v>3100</v>
      </c>
      <c r="BB345" s="9">
        <v>1900</v>
      </c>
      <c r="BC345" s="9">
        <v>218000</v>
      </c>
      <c r="BD345" s="9">
        <v>500</v>
      </c>
      <c r="BE345" s="9">
        <v>200</v>
      </c>
      <c r="BF345" s="9">
        <v>199</v>
      </c>
      <c r="BG345" s="9">
        <v>6360</v>
      </c>
      <c r="BH345" s="9">
        <v>3900</v>
      </c>
      <c r="BI345" s="9">
        <v>1600</v>
      </c>
      <c r="BJ345" s="9">
        <v>225000</v>
      </c>
      <c r="BK345" s="9">
        <v>600</v>
      </c>
      <c r="BL345" s="9">
        <v>200</v>
      </c>
      <c r="BM345" s="9">
        <v>187</v>
      </c>
      <c r="BN345" s="9">
        <v>6480</v>
      </c>
      <c r="BO345" s="9">
        <v>3800</v>
      </c>
      <c r="BP345" s="9">
        <v>1600</v>
      </c>
      <c r="BQ345" s="9">
        <v>217000</v>
      </c>
      <c r="BR345" s="9">
        <v>900</v>
      </c>
      <c r="BS345" s="9">
        <v>0</v>
      </c>
      <c r="BT345" s="9">
        <v>217</v>
      </c>
      <c r="BU345" s="9">
        <v>7860</v>
      </c>
      <c r="BV345" s="9">
        <v>5100</v>
      </c>
      <c r="BW345" s="9">
        <v>1900</v>
      </c>
      <c r="BX345" s="9">
        <v>286000</v>
      </c>
      <c r="BY345" s="9">
        <v>700</v>
      </c>
      <c r="BZ345" s="10" t="s">
        <v>442</v>
      </c>
      <c r="CA345" s="9">
        <v>0</v>
      </c>
      <c r="CB345" s="9">
        <v>193</v>
      </c>
      <c r="CC345" s="10">
        <f t="shared" si="127"/>
        <v>1.631578947368421</v>
      </c>
      <c r="CD345" s="10">
        <f t="shared" si="128"/>
        <v>114.73684210526316</v>
      </c>
      <c r="CE345" s="10">
        <f t="shared" si="119"/>
        <v>355684.21052631579</v>
      </c>
      <c r="CF345" s="10">
        <f t="shared" si="136"/>
        <v>0</v>
      </c>
      <c r="CG345" s="10">
        <f t="shared" si="122"/>
        <v>0</v>
      </c>
      <c r="CH345" s="10">
        <f t="shared" si="123"/>
        <v>6</v>
      </c>
      <c r="CI345" s="9">
        <f t="shared" si="129"/>
        <v>1</v>
      </c>
      <c r="CJ345" s="10">
        <f t="shared" si="124"/>
        <v>19</v>
      </c>
      <c r="CK345" s="10" t="b">
        <f t="shared" si="130"/>
        <v>1</v>
      </c>
      <c r="CL345" s="10" t="b">
        <f t="shared" si="131"/>
        <v>1</v>
      </c>
      <c r="CM345" s="10" t="b">
        <f t="shared" si="132"/>
        <v>0</v>
      </c>
      <c r="CN345" s="9">
        <f t="shared" si="133"/>
        <v>1</v>
      </c>
      <c r="CO345" s="10">
        <f t="shared" si="138"/>
        <v>4</v>
      </c>
      <c r="CP345" s="10" t="b">
        <f t="shared" si="134"/>
        <v>1</v>
      </c>
      <c r="CQ345" s="10" t="b">
        <f t="shared" si="135"/>
        <v>0</v>
      </c>
      <c r="CR345" s="10" cm="1">
        <f t="array" ref="CR345">_xlfn.IFS(AND($CI345=0, CK345=FALSE), NA(), AND($CI345=1, CK345=FALSE), 0, CK345=TRUE, 1)</f>
        <v>1</v>
      </c>
      <c r="CS345" s="10" cm="1">
        <f t="array" ref="CS345">_xlfn.IFS(AND($CI345=0, CL345=FALSE), NA(), AND($CI345=1, CL345=FALSE), 0, CL345=TRUE, 1)</f>
        <v>1</v>
      </c>
      <c r="CT345" s="10" cm="1">
        <f t="array" ref="CT345">_xlfn.IFS(AND($CI345=0, CM345=FALSE), NA(), AND($CI345=1, CM345=FALSE), 0, CM345=TRUE, 1)</f>
        <v>0</v>
      </c>
      <c r="CU345" s="10" cm="1">
        <f t="array" ref="CU345">_xlfn.IFS(AND($CN345=0, CP345=FALSE), NA(), AND($CN345=1, CP345=FALSE), 0, CP345=TRUE, 1)</f>
        <v>1</v>
      </c>
      <c r="CV345" s="10" cm="1">
        <f t="array" ref="CV345">_xlfn.IFS(AND($CN345=0, CQ345=FALSE), NA(), AND($CN345=1, CQ345=FALSE), 0, CQ345=TRUE, 1)</f>
        <v>0</v>
      </c>
    </row>
    <row r="346" spans="1:100" ht="15.75" x14ac:dyDescent="0.25">
      <c r="A346" s="8">
        <v>345</v>
      </c>
      <c r="B346" s="9">
        <v>202</v>
      </c>
      <c r="C346" s="10" t="s">
        <v>18</v>
      </c>
      <c r="D346" s="11" t="s">
        <v>207</v>
      </c>
      <c r="E346" s="12">
        <v>25410</v>
      </c>
      <c r="F346" s="13">
        <v>1</v>
      </c>
      <c r="G346" s="9">
        <v>45.839836120605469</v>
      </c>
      <c r="H346" s="12">
        <v>42153</v>
      </c>
      <c r="I346" s="9">
        <v>1</v>
      </c>
      <c r="J346" s="12">
        <v>42192</v>
      </c>
      <c r="K346" s="9">
        <v>1</v>
      </c>
      <c r="L346" s="9">
        <v>1</v>
      </c>
      <c r="M346" s="10" t="s">
        <v>401</v>
      </c>
      <c r="N346" s="9">
        <v>2</v>
      </c>
      <c r="O346" s="10" t="s">
        <v>147</v>
      </c>
      <c r="P346" s="9">
        <v>2</v>
      </c>
      <c r="Q346" s="10" t="s">
        <v>147</v>
      </c>
      <c r="R346" s="12">
        <v>42137</v>
      </c>
      <c r="S346" s="10" t="s">
        <v>145</v>
      </c>
      <c r="T346" s="9"/>
      <c r="U346" s="10" t="s">
        <v>401</v>
      </c>
      <c r="V346" s="10" t="s">
        <v>401</v>
      </c>
      <c r="W346" s="9"/>
      <c r="X346" s="9"/>
      <c r="Y346" s="9">
        <v>2</v>
      </c>
      <c r="Z346" s="14">
        <v>1</v>
      </c>
      <c r="AA346" s="17">
        <v>10.199999999999999</v>
      </c>
      <c r="AB346" s="18">
        <v>10.8</v>
      </c>
      <c r="AC346" s="18">
        <v>20</v>
      </c>
      <c r="AD346" s="9">
        <v>2</v>
      </c>
      <c r="AE346" s="9">
        <v>2</v>
      </c>
      <c r="AF346" s="9">
        <v>1</v>
      </c>
      <c r="AG346" s="9">
        <v>1</v>
      </c>
      <c r="AH346" s="9">
        <v>0</v>
      </c>
      <c r="AI346" s="9">
        <v>1</v>
      </c>
      <c r="AJ346" s="12">
        <v>43710</v>
      </c>
      <c r="AK346" s="9">
        <v>2</v>
      </c>
      <c r="AL346" s="12">
        <v>43871</v>
      </c>
      <c r="AM346" s="9">
        <v>3</v>
      </c>
      <c r="AN346" s="12">
        <v>43787</v>
      </c>
      <c r="AO346" s="12">
        <v>43888</v>
      </c>
      <c r="AP346" s="12">
        <v>43888</v>
      </c>
      <c r="AQ346" s="9">
        <v>1</v>
      </c>
      <c r="AR346" s="9">
        <f t="shared" si="125"/>
        <v>1</v>
      </c>
      <c r="AS346" s="9">
        <v>1</v>
      </c>
      <c r="AT346" s="9">
        <v>2</v>
      </c>
      <c r="AU346" s="9">
        <v>2</v>
      </c>
      <c r="AV346" s="9">
        <f t="shared" si="126"/>
        <v>1</v>
      </c>
      <c r="AW346" s="12">
        <v>44060</v>
      </c>
      <c r="AX346" s="9">
        <v>3970</v>
      </c>
      <c r="AY346" s="9">
        <v>1990</v>
      </c>
      <c r="AZ346" s="9">
        <v>1310</v>
      </c>
      <c r="BA346" s="9">
        <v>1990</v>
      </c>
      <c r="BB346" s="9">
        <v>1310.0001220703125</v>
      </c>
      <c r="BC346" s="9">
        <v>203000</v>
      </c>
      <c r="BD346" s="9">
        <v>500</v>
      </c>
      <c r="BE346" s="9">
        <v>130</v>
      </c>
      <c r="BF346" s="9">
        <v>225</v>
      </c>
      <c r="BG346" s="9">
        <v>4000</v>
      </c>
      <c r="BH346" s="9">
        <v>2440</v>
      </c>
      <c r="BI346" s="9">
        <v>810</v>
      </c>
      <c r="BJ346" s="9">
        <v>218000</v>
      </c>
      <c r="BK346" s="9">
        <v>530</v>
      </c>
      <c r="BL346" s="9">
        <v>160</v>
      </c>
      <c r="BM346" s="9"/>
      <c r="BN346" s="9">
        <v>4260</v>
      </c>
      <c r="BO346" s="9">
        <v>2700</v>
      </c>
      <c r="BP346" s="9">
        <v>860</v>
      </c>
      <c r="BQ346" s="9">
        <v>201</v>
      </c>
      <c r="BR346" s="9">
        <v>510</v>
      </c>
      <c r="BS346" s="9">
        <v>130</v>
      </c>
      <c r="BT346" s="9"/>
      <c r="BU346" s="9">
        <v>3770</v>
      </c>
      <c r="BV346" s="9">
        <v>2050</v>
      </c>
      <c r="BW346" s="9">
        <v>960</v>
      </c>
      <c r="BX346" s="9">
        <v>173000</v>
      </c>
      <c r="BY346" s="9">
        <v>560</v>
      </c>
      <c r="BZ346" s="10" t="s">
        <v>540</v>
      </c>
      <c r="CA346" s="9">
        <v>150</v>
      </c>
      <c r="CB346" s="9"/>
      <c r="CC346" s="10">
        <f t="shared" si="127"/>
        <v>1.519083827912185</v>
      </c>
      <c r="CD346" s="10">
        <f t="shared" si="128"/>
        <v>154.96181762119275</v>
      </c>
      <c r="CE346" s="10">
        <f t="shared" si="119"/>
        <v>308374.01706617355</v>
      </c>
      <c r="CF346" s="10">
        <f t="shared" si="136"/>
        <v>1</v>
      </c>
      <c r="CG346" s="10">
        <f t="shared" si="122"/>
        <v>0</v>
      </c>
      <c r="CH346" s="10">
        <f t="shared" si="123"/>
        <v>5</v>
      </c>
      <c r="CI346" s="9">
        <f t="shared" si="129"/>
        <v>1</v>
      </c>
      <c r="CJ346" s="10">
        <f t="shared" si="124"/>
        <v>11</v>
      </c>
      <c r="CK346" s="10" t="b">
        <f t="shared" si="130"/>
        <v>1</v>
      </c>
      <c r="CL346" s="10" t="b">
        <f t="shared" si="131"/>
        <v>0</v>
      </c>
      <c r="CM346" s="10" t="b">
        <f t="shared" si="132"/>
        <v>0</v>
      </c>
      <c r="CN346" s="9">
        <f t="shared" si="133"/>
        <v>1</v>
      </c>
      <c r="CO346" s="10">
        <f t="shared" si="138"/>
        <v>5</v>
      </c>
      <c r="CP346" s="10" t="b">
        <f t="shared" si="134"/>
        <v>1</v>
      </c>
      <c r="CQ346" s="10" t="b">
        <f t="shared" si="135"/>
        <v>0</v>
      </c>
      <c r="CR346" s="10" cm="1">
        <f t="array" ref="CR346">_xlfn.IFS(AND($CI346=0, CK346=FALSE), NA(), AND($CI346=1, CK346=FALSE), 0, CK346=TRUE, 1)</f>
        <v>1</v>
      </c>
      <c r="CS346" s="10" cm="1">
        <f t="array" ref="CS346">_xlfn.IFS(AND($CI346=0, CL346=FALSE), NA(), AND($CI346=1, CL346=FALSE), 0, CL346=TRUE, 1)</f>
        <v>0</v>
      </c>
      <c r="CT346" s="10" cm="1">
        <f t="array" ref="CT346">_xlfn.IFS(AND($CI346=0, CM346=FALSE), NA(), AND($CI346=1, CM346=FALSE), 0, CM346=TRUE, 1)</f>
        <v>0</v>
      </c>
      <c r="CU346" s="10" cm="1">
        <f t="array" ref="CU346">_xlfn.IFS(AND($CN346=0, CP346=FALSE), NA(), AND($CN346=1, CP346=FALSE), 0, CP346=TRUE, 1)</f>
        <v>1</v>
      </c>
      <c r="CV346" s="10" cm="1">
        <f t="array" ref="CV346">_xlfn.IFS(AND($CN346=0, CQ346=FALSE), NA(), AND($CN346=1, CQ346=FALSE), 0, CQ346=TRUE, 1)</f>
        <v>0</v>
      </c>
    </row>
    <row r="347" spans="1:100" ht="15.75" x14ac:dyDescent="0.25">
      <c r="A347" s="8">
        <v>346</v>
      </c>
      <c r="B347" s="9">
        <v>137</v>
      </c>
      <c r="C347" s="10" t="s">
        <v>16</v>
      </c>
      <c r="D347" s="11" t="s">
        <v>135</v>
      </c>
      <c r="E347" s="12">
        <v>13346</v>
      </c>
      <c r="F347" s="13">
        <v>1</v>
      </c>
      <c r="G347" s="9">
        <v>78.882957458496094</v>
      </c>
      <c r="H347" s="12">
        <v>42158</v>
      </c>
      <c r="I347" s="9">
        <v>1</v>
      </c>
      <c r="J347" s="12">
        <v>42158</v>
      </c>
      <c r="K347" s="9">
        <v>0</v>
      </c>
      <c r="L347" s="9">
        <v>1</v>
      </c>
      <c r="M347" s="10" t="s">
        <v>401</v>
      </c>
      <c r="N347" s="9">
        <v>2</v>
      </c>
      <c r="O347" s="10" t="s">
        <v>420</v>
      </c>
      <c r="P347" s="9">
        <v>2</v>
      </c>
      <c r="Q347" s="10" t="s">
        <v>420</v>
      </c>
      <c r="R347" s="12">
        <v>42520</v>
      </c>
      <c r="S347" s="10" t="s">
        <v>145</v>
      </c>
      <c r="T347" s="9"/>
      <c r="U347" s="10" t="s">
        <v>401</v>
      </c>
      <c r="V347" s="10" t="s">
        <v>401</v>
      </c>
      <c r="W347" s="9"/>
      <c r="X347" s="9"/>
      <c r="Y347" s="9">
        <v>2</v>
      </c>
      <c r="Z347" s="14">
        <v>1</v>
      </c>
      <c r="AA347" s="15">
        <v>13.5</v>
      </c>
      <c r="AB347" s="16">
        <v>92</v>
      </c>
      <c r="AC347" s="16">
        <v>14</v>
      </c>
      <c r="AD347" s="9">
        <v>2</v>
      </c>
      <c r="AE347" s="9">
        <v>2</v>
      </c>
      <c r="AF347" s="9">
        <v>1</v>
      </c>
      <c r="AG347" s="9">
        <v>1</v>
      </c>
      <c r="AH347" s="9">
        <v>0</v>
      </c>
      <c r="AI347" s="9">
        <v>0</v>
      </c>
      <c r="AJ347" s="12">
        <v>43139</v>
      </c>
      <c r="AK347" s="9">
        <v>2</v>
      </c>
      <c r="AL347" s="12">
        <v>43153</v>
      </c>
      <c r="AM347" s="9">
        <v>4</v>
      </c>
      <c r="AN347" s="12">
        <v>43164</v>
      </c>
      <c r="AO347" s="12">
        <v>43164</v>
      </c>
      <c r="AP347" s="12">
        <v>43164</v>
      </c>
      <c r="AQ347" s="9">
        <v>1</v>
      </c>
      <c r="AR347" s="9">
        <f t="shared" si="125"/>
        <v>1</v>
      </c>
      <c r="AS347" s="9">
        <v>1</v>
      </c>
      <c r="AT347" s="9">
        <v>2</v>
      </c>
      <c r="AU347" s="9">
        <v>2</v>
      </c>
      <c r="AV347" s="9">
        <f t="shared" si="126"/>
        <v>1</v>
      </c>
      <c r="AW347" s="12">
        <v>43164</v>
      </c>
      <c r="AX347" s="9">
        <v>7690</v>
      </c>
      <c r="AY347" s="9">
        <v>5600</v>
      </c>
      <c r="AZ347" s="9"/>
      <c r="BA347" s="9">
        <v>5600</v>
      </c>
      <c r="BB347" s="9">
        <v>1340.3818359375</v>
      </c>
      <c r="BC347" s="9">
        <v>497000</v>
      </c>
      <c r="BD347" s="9"/>
      <c r="BE347" s="9"/>
      <c r="BF347" s="9">
        <v>248</v>
      </c>
      <c r="BG347" s="9">
        <v>10040</v>
      </c>
      <c r="BH347" s="9">
        <v>7600</v>
      </c>
      <c r="BI347" s="9"/>
      <c r="BJ347" s="9">
        <v>601000</v>
      </c>
      <c r="BK347" s="9"/>
      <c r="BL347" s="9"/>
      <c r="BM347" s="9">
        <v>283</v>
      </c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10" t="s">
        <v>401</v>
      </c>
      <c r="CA347" s="9"/>
      <c r="CB347" s="9"/>
      <c r="CC347" s="10">
        <f t="shared" si="127"/>
        <v>4.1779139718669835</v>
      </c>
      <c r="CD347" s="10">
        <f t="shared" si="128"/>
        <v>370.78986500319479</v>
      </c>
      <c r="CE347" s="10">
        <f t="shared" si="119"/>
        <v>2076423.2440178909</v>
      </c>
      <c r="CF347" s="10">
        <f t="shared" si="136"/>
        <v>0</v>
      </c>
      <c r="CG347" s="10">
        <f t="shared" si="122"/>
        <v>0</v>
      </c>
      <c r="CH347" s="10">
        <f t="shared" si="123"/>
        <v>0</v>
      </c>
      <c r="CI347" s="9">
        <f t="shared" si="129"/>
        <v>1</v>
      </c>
      <c r="CJ347" s="10">
        <f t="shared" si="124"/>
        <v>1</v>
      </c>
      <c r="CK347" s="10" t="b">
        <f t="shared" si="130"/>
        <v>0</v>
      </c>
      <c r="CL347" s="10" t="b">
        <f t="shared" si="131"/>
        <v>0</v>
      </c>
      <c r="CM347" s="10" t="b">
        <f t="shared" si="132"/>
        <v>0</v>
      </c>
      <c r="CN347" s="9">
        <f t="shared" si="133"/>
        <v>1</v>
      </c>
      <c r="CO347" s="10">
        <f t="shared" si="138"/>
        <v>1</v>
      </c>
      <c r="CP347" s="10" t="b">
        <f t="shared" si="134"/>
        <v>0</v>
      </c>
      <c r="CQ347" s="10" t="b">
        <f t="shared" si="135"/>
        <v>0</v>
      </c>
      <c r="CR347" s="10" cm="1">
        <f t="array" ref="CR347">_xlfn.IFS(AND($CI347=0, CK347=FALSE), NA(), AND($CI347=1, CK347=FALSE), 0, CK347=TRUE, 1)</f>
        <v>0</v>
      </c>
      <c r="CS347" s="10" cm="1">
        <f t="array" ref="CS347">_xlfn.IFS(AND($CI347=0, CL347=FALSE), NA(), AND($CI347=1, CL347=FALSE), 0, CL347=TRUE, 1)</f>
        <v>0</v>
      </c>
      <c r="CT347" s="10" cm="1">
        <f t="array" ref="CT347">_xlfn.IFS(AND($CI347=0, CM347=FALSE), NA(), AND($CI347=1, CM347=FALSE), 0, CM347=TRUE, 1)</f>
        <v>0</v>
      </c>
      <c r="CU347" s="10" cm="1">
        <f t="array" ref="CU347">_xlfn.IFS(AND($CN347=0, CP347=FALSE), NA(), AND($CN347=1, CP347=FALSE), 0, CP347=TRUE, 1)</f>
        <v>0</v>
      </c>
      <c r="CV347" s="10" cm="1">
        <f t="array" ref="CV347">_xlfn.IFS(AND($CN347=0, CQ347=FALSE), NA(), AND($CN347=1, CQ347=FALSE), 0, CQ347=TRUE, 1)</f>
        <v>0</v>
      </c>
    </row>
    <row r="348" spans="1:100" ht="15.75" x14ac:dyDescent="0.25">
      <c r="A348" s="8">
        <v>347</v>
      </c>
      <c r="B348" s="9">
        <v>223</v>
      </c>
      <c r="C348" s="10" t="s">
        <v>19</v>
      </c>
      <c r="D348" s="11" t="s">
        <v>76</v>
      </c>
      <c r="E348" s="12">
        <v>27625</v>
      </c>
      <c r="F348" s="13">
        <v>2</v>
      </c>
      <c r="G348" s="9">
        <v>39.808349609375</v>
      </c>
      <c r="H348" s="12">
        <v>42165</v>
      </c>
      <c r="I348" s="9">
        <v>0</v>
      </c>
      <c r="J348" s="12"/>
      <c r="K348" s="9">
        <v>1</v>
      </c>
      <c r="L348" s="9">
        <v>1</v>
      </c>
      <c r="M348" s="10" t="s">
        <v>401</v>
      </c>
      <c r="N348" s="9">
        <v>2</v>
      </c>
      <c r="O348" s="10" t="s">
        <v>145</v>
      </c>
      <c r="P348" s="9">
        <v>2</v>
      </c>
      <c r="Q348" s="10" t="s">
        <v>145</v>
      </c>
      <c r="R348" s="12">
        <v>42165</v>
      </c>
      <c r="S348" s="10" t="s">
        <v>145</v>
      </c>
      <c r="T348" s="9">
        <v>4</v>
      </c>
      <c r="U348" s="10" t="s">
        <v>401</v>
      </c>
      <c r="V348" s="10" t="s">
        <v>401</v>
      </c>
      <c r="W348" s="9"/>
      <c r="X348" s="9"/>
      <c r="Y348" s="9">
        <v>3</v>
      </c>
      <c r="Z348" s="14">
        <v>1</v>
      </c>
      <c r="AA348" s="34">
        <v>10.3</v>
      </c>
      <c r="AB348" s="14"/>
      <c r="AC348" s="14"/>
      <c r="AD348" s="9">
        <v>2</v>
      </c>
      <c r="AE348" s="9">
        <v>2</v>
      </c>
      <c r="AF348" s="9">
        <v>1</v>
      </c>
      <c r="AG348" s="9">
        <v>0</v>
      </c>
      <c r="AH348" s="9">
        <v>0</v>
      </c>
      <c r="AI348" s="9">
        <v>1</v>
      </c>
      <c r="AJ348" s="12">
        <v>42844</v>
      </c>
      <c r="AK348" s="9">
        <v>2</v>
      </c>
      <c r="AL348" s="12">
        <v>42900</v>
      </c>
      <c r="AM348" s="9">
        <v>4</v>
      </c>
      <c r="AN348" s="12">
        <v>42900</v>
      </c>
      <c r="AO348" s="12">
        <v>42900</v>
      </c>
      <c r="AP348" s="12">
        <v>42900</v>
      </c>
      <c r="AQ348" s="9">
        <v>1</v>
      </c>
      <c r="AR348" s="9">
        <f t="shared" si="125"/>
        <v>1</v>
      </c>
      <c r="AS348" s="9">
        <v>1</v>
      </c>
      <c r="AT348" s="9">
        <v>2</v>
      </c>
      <c r="AU348" s="9">
        <v>2</v>
      </c>
      <c r="AV348" s="9">
        <f t="shared" si="126"/>
        <v>1</v>
      </c>
      <c r="AW348" s="12">
        <v>42914</v>
      </c>
      <c r="AX348" s="9"/>
      <c r="AY348" s="9"/>
      <c r="AZ348" s="9"/>
      <c r="BA348" s="9">
        <v>4387.978515625</v>
      </c>
      <c r="BB348" s="9">
        <v>1154.5269775390625</v>
      </c>
      <c r="BC348" s="9"/>
      <c r="BD348" s="9"/>
      <c r="BE348" s="9"/>
      <c r="BF348" s="9"/>
      <c r="BG348" s="9">
        <v>11630</v>
      </c>
      <c r="BH348" s="9">
        <v>9590</v>
      </c>
      <c r="BI348" s="9"/>
      <c r="BJ348" s="9"/>
      <c r="BK348" s="9"/>
      <c r="BL348" s="9"/>
      <c r="BM348" s="9"/>
      <c r="BN348" s="9">
        <v>12040</v>
      </c>
      <c r="BO348" s="9">
        <v>10000</v>
      </c>
      <c r="BP348" s="9"/>
      <c r="BQ348" s="9"/>
      <c r="BR348" s="9"/>
      <c r="BS348" s="9"/>
      <c r="BT348" s="9"/>
      <c r="BU348" s="9">
        <v>6560</v>
      </c>
      <c r="BV348" s="9">
        <v>5300</v>
      </c>
      <c r="BW348" s="9">
        <v>800</v>
      </c>
      <c r="BX348" s="9">
        <v>473000</v>
      </c>
      <c r="BY348" s="9">
        <v>300</v>
      </c>
      <c r="BZ348" s="10" t="s">
        <v>525</v>
      </c>
      <c r="CA348" s="9">
        <v>100</v>
      </c>
      <c r="CB348" s="9">
        <v>243</v>
      </c>
      <c r="CC348" s="10">
        <f t="shared" si="127"/>
        <v>3.800672137586786</v>
      </c>
      <c r="CF348" s="10">
        <f t="shared" si="136"/>
        <v>0</v>
      </c>
      <c r="CG348" s="10">
        <f t="shared" si="122"/>
        <v>0</v>
      </c>
      <c r="CH348" s="10">
        <f t="shared" si="123"/>
        <v>2</v>
      </c>
      <c r="CI348" s="9">
        <f t="shared" si="129"/>
        <v>1</v>
      </c>
      <c r="CJ348" s="10">
        <f t="shared" si="124"/>
        <v>2</v>
      </c>
      <c r="CK348" s="10" t="b">
        <f t="shared" si="130"/>
        <v>0</v>
      </c>
      <c r="CL348" s="10" t="b">
        <f t="shared" si="131"/>
        <v>0</v>
      </c>
      <c r="CM348" s="10" t="b">
        <f t="shared" si="132"/>
        <v>0</v>
      </c>
      <c r="CN348" s="9">
        <f t="shared" si="133"/>
        <v>1</v>
      </c>
      <c r="CO348" s="10">
        <f t="shared" si="138"/>
        <v>2</v>
      </c>
      <c r="CP348" s="10" t="b">
        <f t="shared" si="134"/>
        <v>0</v>
      </c>
      <c r="CQ348" s="10" t="b">
        <f t="shared" si="135"/>
        <v>0</v>
      </c>
      <c r="CR348" s="10" cm="1">
        <f t="array" ref="CR348">_xlfn.IFS(AND($CI348=0, CK348=FALSE), NA(), AND($CI348=1, CK348=FALSE), 0, CK348=TRUE, 1)</f>
        <v>0</v>
      </c>
      <c r="CS348" s="10" cm="1">
        <f t="array" ref="CS348">_xlfn.IFS(AND($CI348=0, CL348=FALSE), NA(), AND($CI348=1, CL348=FALSE), 0, CL348=TRUE, 1)</f>
        <v>0</v>
      </c>
      <c r="CT348" s="10" cm="1">
        <f t="array" ref="CT348">_xlfn.IFS(AND($CI348=0, CM348=FALSE), NA(), AND($CI348=1, CM348=FALSE), 0, CM348=TRUE, 1)</f>
        <v>0</v>
      </c>
      <c r="CU348" s="10" cm="1">
        <f t="array" ref="CU348">_xlfn.IFS(AND($CN348=0, CP348=FALSE), NA(), AND($CN348=1, CP348=FALSE), 0, CP348=TRUE, 1)</f>
        <v>0</v>
      </c>
      <c r="CV348" s="10" cm="1">
        <f t="array" ref="CV348">_xlfn.IFS(AND($CN348=0, CQ348=FALSE), NA(), AND($CN348=1, CQ348=FALSE), 0, CQ348=TRUE, 1)</f>
        <v>0</v>
      </c>
    </row>
    <row r="349" spans="1:100" ht="15.75" x14ac:dyDescent="0.25">
      <c r="A349" s="8">
        <v>348</v>
      </c>
      <c r="B349" s="9">
        <v>200</v>
      </c>
      <c r="C349" s="10" t="s">
        <v>17</v>
      </c>
      <c r="D349" s="11" t="s">
        <v>88</v>
      </c>
      <c r="E349" s="12">
        <v>17649</v>
      </c>
      <c r="F349" s="13">
        <v>1</v>
      </c>
      <c r="G349" s="9">
        <v>67.134841918945313</v>
      </c>
      <c r="H349" s="12">
        <v>42170</v>
      </c>
      <c r="I349" s="9">
        <v>1</v>
      </c>
      <c r="J349" s="12">
        <v>42170</v>
      </c>
      <c r="K349" s="9">
        <v>0</v>
      </c>
      <c r="L349" s="9">
        <v>2</v>
      </c>
      <c r="M349" s="10" t="s">
        <v>401</v>
      </c>
      <c r="N349" s="9">
        <v>1</v>
      </c>
      <c r="O349" s="10" t="s">
        <v>401</v>
      </c>
      <c r="P349" s="9">
        <v>1</v>
      </c>
      <c r="Q349" s="10" t="s">
        <v>401</v>
      </c>
      <c r="R349" s="12">
        <v>42705</v>
      </c>
      <c r="S349" s="10" t="s">
        <v>145</v>
      </c>
      <c r="T349" s="9"/>
      <c r="U349" s="10" t="s">
        <v>401</v>
      </c>
      <c r="V349" s="10" t="s">
        <v>401</v>
      </c>
      <c r="W349" s="9"/>
      <c r="X349" s="9"/>
      <c r="Y349" s="9">
        <v>2</v>
      </c>
      <c r="Z349" s="14">
        <v>1</v>
      </c>
      <c r="AA349" s="17">
        <v>7.2</v>
      </c>
      <c r="AB349" s="18">
        <v>82</v>
      </c>
      <c r="AC349" s="18">
        <v>20</v>
      </c>
      <c r="AD349" s="9">
        <v>2</v>
      </c>
      <c r="AE349" s="9">
        <v>2</v>
      </c>
      <c r="AF349" s="9">
        <v>2</v>
      </c>
      <c r="AG349" s="9">
        <v>0</v>
      </c>
      <c r="AH349" s="9">
        <v>1</v>
      </c>
      <c r="AI349" s="9">
        <v>1</v>
      </c>
      <c r="AJ349" s="12">
        <v>42934</v>
      </c>
      <c r="AK349" s="9">
        <v>2</v>
      </c>
      <c r="AL349" s="12">
        <v>42948</v>
      </c>
      <c r="AM349" s="9">
        <v>4</v>
      </c>
      <c r="AN349" s="12">
        <v>42959</v>
      </c>
      <c r="AO349" s="12">
        <v>42959</v>
      </c>
      <c r="AP349" s="12">
        <v>42959</v>
      </c>
      <c r="AQ349" s="9">
        <v>1</v>
      </c>
      <c r="AR349" s="9">
        <f t="shared" si="125"/>
        <v>1</v>
      </c>
      <c r="AS349" s="9">
        <v>1</v>
      </c>
      <c r="AT349" s="9">
        <v>2</v>
      </c>
      <c r="AU349" s="9">
        <v>2</v>
      </c>
      <c r="AV349" s="9">
        <f t="shared" si="126"/>
        <v>1</v>
      </c>
      <c r="AW349" s="12">
        <v>42983</v>
      </c>
      <c r="AX349" s="9">
        <v>9050</v>
      </c>
      <c r="AY349" s="9">
        <v>6700</v>
      </c>
      <c r="AZ349" s="9">
        <v>1500</v>
      </c>
      <c r="BA349" s="9">
        <v>6700</v>
      </c>
      <c r="BB349" s="9">
        <v>1500.0001220703125</v>
      </c>
      <c r="BC349" s="9">
        <v>29000</v>
      </c>
      <c r="BD349" s="9">
        <v>700</v>
      </c>
      <c r="BE349" s="9">
        <v>0</v>
      </c>
      <c r="BF349" s="9"/>
      <c r="BG349" s="9">
        <v>11260</v>
      </c>
      <c r="BH349" s="9">
        <v>7300</v>
      </c>
      <c r="BI349" s="9">
        <v>2500</v>
      </c>
      <c r="BJ349" s="9">
        <v>19000</v>
      </c>
      <c r="BK349" s="9">
        <v>1200</v>
      </c>
      <c r="BL349" s="9">
        <v>100</v>
      </c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10" t="s">
        <v>401</v>
      </c>
      <c r="CA349" s="9"/>
      <c r="CB349" s="9"/>
      <c r="CC349" s="10">
        <f t="shared" si="127"/>
        <v>4.4666663031684326</v>
      </c>
      <c r="CD349" s="10">
        <f t="shared" si="128"/>
        <v>19.333331759982766</v>
      </c>
      <c r="CE349" s="10">
        <f t="shared" ref="CE349:CE352" si="139">BC349*CC349</f>
        <v>129533.32279188455</v>
      </c>
      <c r="CF349" s="10">
        <f t="shared" si="136"/>
        <v>0</v>
      </c>
      <c r="CG349" s="10">
        <f t="shared" si="122"/>
        <v>0</v>
      </c>
      <c r="CH349" s="10">
        <f t="shared" si="123"/>
        <v>1</v>
      </c>
      <c r="CI349" s="9">
        <f t="shared" si="129"/>
        <v>1</v>
      </c>
      <c r="CJ349" s="10">
        <f t="shared" si="124"/>
        <v>2</v>
      </c>
      <c r="CK349" s="10" t="b">
        <f t="shared" si="130"/>
        <v>0</v>
      </c>
      <c r="CL349" s="10" t="b">
        <f t="shared" si="131"/>
        <v>0</v>
      </c>
      <c r="CM349" s="10" t="b">
        <f t="shared" si="132"/>
        <v>0</v>
      </c>
      <c r="CN349" s="9">
        <f t="shared" si="133"/>
        <v>1</v>
      </c>
      <c r="CO349" s="10">
        <f t="shared" si="138"/>
        <v>1</v>
      </c>
      <c r="CP349" s="10" t="b">
        <f t="shared" si="134"/>
        <v>0</v>
      </c>
      <c r="CQ349" s="10" t="b">
        <f t="shared" si="135"/>
        <v>0</v>
      </c>
      <c r="CR349" s="10" cm="1">
        <f t="array" ref="CR349">_xlfn.IFS(AND($CI349=0, CK349=FALSE), NA(), AND($CI349=1, CK349=FALSE), 0, CK349=TRUE, 1)</f>
        <v>0</v>
      </c>
      <c r="CS349" s="10" cm="1">
        <f t="array" ref="CS349">_xlfn.IFS(AND($CI349=0, CL349=FALSE), NA(), AND($CI349=1, CL349=FALSE), 0, CL349=TRUE, 1)</f>
        <v>0</v>
      </c>
      <c r="CT349" s="10" cm="1">
        <f t="array" ref="CT349">_xlfn.IFS(AND($CI349=0, CM349=FALSE), NA(), AND($CI349=1, CM349=FALSE), 0, CM349=TRUE, 1)</f>
        <v>0</v>
      </c>
      <c r="CU349" s="10" cm="1">
        <f t="array" ref="CU349">_xlfn.IFS(AND($CN349=0, CP349=FALSE), NA(), AND($CN349=1, CP349=FALSE), 0, CP349=TRUE, 1)</f>
        <v>0</v>
      </c>
      <c r="CV349" s="10" cm="1">
        <f t="array" ref="CV349">_xlfn.IFS(AND($CN349=0, CQ349=FALSE), NA(), AND($CN349=1, CQ349=FALSE), 0, CQ349=TRUE, 1)</f>
        <v>0</v>
      </c>
    </row>
    <row r="350" spans="1:100" ht="15.75" x14ac:dyDescent="0.25">
      <c r="A350" s="8">
        <v>349</v>
      </c>
      <c r="B350" s="9">
        <v>197</v>
      </c>
      <c r="C350" s="10" t="s">
        <v>17</v>
      </c>
      <c r="D350" s="11" t="s">
        <v>203</v>
      </c>
      <c r="E350" s="12">
        <v>18081</v>
      </c>
      <c r="F350" s="13">
        <v>1</v>
      </c>
      <c r="G350" s="9">
        <v>65.954826354980469</v>
      </c>
      <c r="H350" s="12">
        <v>42171</v>
      </c>
      <c r="I350" s="9">
        <v>1</v>
      </c>
      <c r="J350" s="12">
        <v>42171</v>
      </c>
      <c r="K350" s="9">
        <v>1</v>
      </c>
      <c r="L350" s="9">
        <v>1</v>
      </c>
      <c r="M350" s="10" t="s">
        <v>401</v>
      </c>
      <c r="N350" s="9">
        <v>2</v>
      </c>
      <c r="O350" s="10" t="s">
        <v>409</v>
      </c>
      <c r="P350" s="9">
        <v>2</v>
      </c>
      <c r="Q350" s="10" t="s">
        <v>409</v>
      </c>
      <c r="R350" s="12">
        <v>42223</v>
      </c>
      <c r="S350" s="10" t="s">
        <v>145</v>
      </c>
      <c r="T350" s="9"/>
      <c r="U350" s="10" t="s">
        <v>401</v>
      </c>
      <c r="V350" s="10" t="s">
        <v>401</v>
      </c>
      <c r="W350" s="9"/>
      <c r="X350" s="9"/>
      <c r="Y350" s="9">
        <v>2</v>
      </c>
      <c r="Z350" s="14">
        <v>1</v>
      </c>
      <c r="AA350" s="17">
        <v>11.6</v>
      </c>
      <c r="AB350" s="18">
        <v>83</v>
      </c>
      <c r="AC350" s="18">
        <v>17</v>
      </c>
      <c r="AD350" s="9">
        <v>2</v>
      </c>
      <c r="AE350" s="9">
        <v>2</v>
      </c>
      <c r="AF350" s="9">
        <v>1</v>
      </c>
      <c r="AG350" s="9">
        <v>1</v>
      </c>
      <c r="AH350" s="9">
        <v>1</v>
      </c>
      <c r="AI350" s="9">
        <v>0</v>
      </c>
      <c r="AJ350" s="12">
        <v>42829</v>
      </c>
      <c r="AK350" s="9">
        <v>2</v>
      </c>
      <c r="AL350" s="12">
        <v>43231</v>
      </c>
      <c r="AM350" s="9">
        <v>2</v>
      </c>
      <c r="AN350" s="12">
        <v>42884</v>
      </c>
      <c r="AO350" s="12">
        <v>43601</v>
      </c>
      <c r="AP350" s="12">
        <v>43601</v>
      </c>
      <c r="AQ350" s="9">
        <v>1</v>
      </c>
      <c r="AR350" s="9">
        <f t="shared" si="125"/>
        <v>1</v>
      </c>
      <c r="AS350" s="9">
        <v>1</v>
      </c>
      <c r="AT350" s="9">
        <v>2</v>
      </c>
      <c r="AU350" s="9">
        <v>1</v>
      </c>
      <c r="AV350" s="9">
        <f t="shared" si="126"/>
        <v>0</v>
      </c>
      <c r="AW350" s="12">
        <v>44949</v>
      </c>
      <c r="AX350" s="9">
        <v>8470</v>
      </c>
      <c r="AY350" s="9">
        <v>4800</v>
      </c>
      <c r="AZ350" s="9">
        <v>2100</v>
      </c>
      <c r="BA350" s="9">
        <v>4800</v>
      </c>
      <c r="BB350" s="9">
        <v>2099.999755859375</v>
      </c>
      <c r="BC350" s="9">
        <v>311000</v>
      </c>
      <c r="BD350" s="9">
        <v>1000</v>
      </c>
      <c r="BE350" s="9">
        <v>400</v>
      </c>
      <c r="BF350" s="9"/>
      <c r="BG350" s="9">
        <v>7780</v>
      </c>
      <c r="BH350" s="9">
        <v>4000</v>
      </c>
      <c r="BI350" s="9">
        <v>2300</v>
      </c>
      <c r="BJ350" s="9">
        <v>339000</v>
      </c>
      <c r="BK350" s="9">
        <v>900</v>
      </c>
      <c r="BL350" s="9">
        <v>500</v>
      </c>
      <c r="BM350" s="9"/>
      <c r="BN350" s="9">
        <v>6960</v>
      </c>
      <c r="BO350" s="9">
        <v>3400</v>
      </c>
      <c r="BP350" s="9">
        <v>2100</v>
      </c>
      <c r="BQ350" s="9">
        <v>279000</v>
      </c>
      <c r="BR350" s="9">
        <v>900</v>
      </c>
      <c r="BS350" s="9">
        <v>500</v>
      </c>
      <c r="BT350" s="9">
        <v>228</v>
      </c>
      <c r="BU350" s="9">
        <v>8670</v>
      </c>
      <c r="BV350" s="9">
        <v>5300</v>
      </c>
      <c r="BW350" s="9">
        <v>1600</v>
      </c>
      <c r="BX350" s="9">
        <v>261000</v>
      </c>
      <c r="BY350" s="9">
        <v>1000</v>
      </c>
      <c r="BZ350" s="10" t="s">
        <v>523</v>
      </c>
      <c r="CA350" s="9">
        <v>700</v>
      </c>
      <c r="CB350" s="9"/>
      <c r="CC350" s="10">
        <f t="shared" si="127"/>
        <v>2.2857145514456092</v>
      </c>
      <c r="CD350" s="10">
        <f t="shared" si="128"/>
        <v>148.09525531241343</v>
      </c>
      <c r="CE350" s="10">
        <f t="shared" si="139"/>
        <v>710857.22549958446</v>
      </c>
      <c r="CF350" s="10">
        <f t="shared" si="136"/>
        <v>1</v>
      </c>
      <c r="CG350" s="10">
        <f t="shared" si="122"/>
        <v>1</v>
      </c>
      <c r="CH350" s="10">
        <f t="shared" si="123"/>
        <v>13</v>
      </c>
      <c r="CI350" s="9">
        <f t="shared" si="129"/>
        <v>0</v>
      </c>
      <c r="CJ350" s="10">
        <f t="shared" si="124"/>
        <v>69</v>
      </c>
      <c r="CK350" s="10" t="b">
        <f t="shared" si="130"/>
        <v>1</v>
      </c>
      <c r="CL350" s="10" t="b">
        <f t="shared" si="131"/>
        <v>1</v>
      </c>
      <c r="CM350" s="10" t="b">
        <f t="shared" si="132"/>
        <v>1</v>
      </c>
      <c r="CN350" s="9">
        <f t="shared" si="133"/>
        <v>1</v>
      </c>
      <c r="CO350" s="10">
        <f t="shared" si="138"/>
        <v>25</v>
      </c>
      <c r="CP350" s="10" t="b">
        <f t="shared" si="134"/>
        <v>1</v>
      </c>
      <c r="CQ350" s="10" t="b">
        <f t="shared" si="135"/>
        <v>1</v>
      </c>
      <c r="CR350" s="10" cm="1">
        <f t="array" ref="CR350">_xlfn.IFS(AND($CI350=0, CK350=FALSE), NA(), AND($CI350=1, CK350=FALSE), 0, CK350=TRUE, 1)</f>
        <v>1</v>
      </c>
      <c r="CS350" s="10" cm="1">
        <f t="array" ref="CS350">_xlfn.IFS(AND($CI350=0, CL350=FALSE), NA(), AND($CI350=1, CL350=FALSE), 0, CL350=TRUE, 1)</f>
        <v>1</v>
      </c>
      <c r="CT350" s="10" cm="1">
        <f t="array" ref="CT350">_xlfn.IFS(AND($CI350=0, CM350=FALSE), NA(), AND($CI350=1, CM350=FALSE), 0, CM350=TRUE, 1)</f>
        <v>1</v>
      </c>
      <c r="CU350" s="10" cm="1">
        <f t="array" ref="CU350">_xlfn.IFS(AND($CN350=0, CP350=FALSE), NA(), AND($CN350=1, CP350=FALSE), 0, CP350=TRUE, 1)</f>
        <v>1</v>
      </c>
      <c r="CV350" s="10" cm="1">
        <f t="array" ref="CV350">_xlfn.IFS(AND($CN350=0, CQ350=FALSE), NA(), AND($CN350=1, CQ350=FALSE), 0, CQ350=TRUE, 1)</f>
        <v>1</v>
      </c>
    </row>
    <row r="351" spans="1:100" ht="15.75" x14ac:dyDescent="0.25">
      <c r="A351" s="8">
        <v>350</v>
      </c>
      <c r="B351" s="9">
        <v>290</v>
      </c>
      <c r="C351" s="10" t="s">
        <v>22</v>
      </c>
      <c r="D351" s="11" t="s">
        <v>53</v>
      </c>
      <c r="E351" s="12">
        <v>22483</v>
      </c>
      <c r="F351" s="13">
        <v>1</v>
      </c>
      <c r="G351" s="9">
        <v>53.927448272705078</v>
      </c>
      <c r="H351" s="12">
        <v>42180</v>
      </c>
      <c r="I351" s="9">
        <v>1</v>
      </c>
      <c r="J351" s="12">
        <v>42180</v>
      </c>
      <c r="K351" s="9">
        <v>0</v>
      </c>
      <c r="L351" s="9">
        <v>1</v>
      </c>
      <c r="M351" s="10" t="s">
        <v>401</v>
      </c>
      <c r="N351" s="9">
        <v>1</v>
      </c>
      <c r="O351" s="10" t="s">
        <v>401</v>
      </c>
      <c r="P351" s="9">
        <v>1</v>
      </c>
      <c r="Q351" s="10" t="s">
        <v>401</v>
      </c>
      <c r="R351" s="12">
        <v>42748</v>
      </c>
      <c r="S351" s="10" t="s">
        <v>146</v>
      </c>
      <c r="T351" s="9"/>
      <c r="U351" s="10" t="s">
        <v>401</v>
      </c>
      <c r="V351" s="10" t="s">
        <v>401</v>
      </c>
      <c r="W351" s="9"/>
      <c r="X351" s="9"/>
      <c r="Y351" s="9">
        <v>2</v>
      </c>
      <c r="Z351" s="14">
        <v>2</v>
      </c>
      <c r="AB351" s="9"/>
      <c r="AC351" s="9"/>
      <c r="AD351" s="9">
        <v>1</v>
      </c>
      <c r="AE351" s="9">
        <v>1</v>
      </c>
      <c r="AF351" s="9">
        <v>1</v>
      </c>
      <c r="AG351" s="9">
        <v>0</v>
      </c>
      <c r="AH351" s="9">
        <v>1</v>
      </c>
      <c r="AI351" s="9">
        <v>0</v>
      </c>
      <c r="AJ351" s="12">
        <v>43238</v>
      </c>
      <c r="AK351" s="9">
        <v>2</v>
      </c>
      <c r="AL351" s="12">
        <v>43651</v>
      </c>
      <c r="AM351" s="9">
        <v>2</v>
      </c>
      <c r="AN351" s="12">
        <v>43346</v>
      </c>
      <c r="AO351" s="12">
        <v>43686</v>
      </c>
      <c r="AP351" s="12">
        <v>43686</v>
      </c>
      <c r="AQ351" s="9">
        <v>1</v>
      </c>
      <c r="AR351" s="9">
        <f t="shared" si="125"/>
        <v>1</v>
      </c>
      <c r="AS351" s="9">
        <v>1</v>
      </c>
      <c r="AT351" s="9">
        <v>2</v>
      </c>
      <c r="AU351" s="9">
        <v>1</v>
      </c>
      <c r="AV351" s="9">
        <f t="shared" si="126"/>
        <v>0</v>
      </c>
      <c r="AW351" s="12">
        <v>44025</v>
      </c>
      <c r="AX351" s="9">
        <v>6150</v>
      </c>
      <c r="AY351" s="9">
        <v>3450</v>
      </c>
      <c r="AZ351" s="9">
        <v>1430</v>
      </c>
      <c r="BA351" s="9">
        <v>3450</v>
      </c>
      <c r="BB351" s="9">
        <v>1429.9996337890625</v>
      </c>
      <c r="BC351" s="9">
        <v>175000</v>
      </c>
      <c r="BD351" s="9">
        <v>320</v>
      </c>
      <c r="BE351" s="9">
        <v>220</v>
      </c>
      <c r="BF351" s="9"/>
      <c r="BG351" s="9">
        <v>6770</v>
      </c>
      <c r="BH351" s="9">
        <v>3770</v>
      </c>
      <c r="BI351" s="9">
        <v>1760</v>
      </c>
      <c r="BJ351" s="9">
        <v>191000</v>
      </c>
      <c r="BK351" s="9">
        <v>250</v>
      </c>
      <c r="BL351" s="9">
        <v>235</v>
      </c>
      <c r="BM351" s="9"/>
      <c r="BN351" s="9">
        <v>5890</v>
      </c>
      <c r="BO351" s="9">
        <v>3120</v>
      </c>
      <c r="BP351" s="9">
        <v>1430</v>
      </c>
      <c r="BQ351" s="9">
        <v>185000</v>
      </c>
      <c r="BR351" s="9">
        <v>380</v>
      </c>
      <c r="BS351" s="9">
        <v>120</v>
      </c>
      <c r="BT351" s="9"/>
      <c r="BU351" s="9">
        <v>5770</v>
      </c>
      <c r="BV351" s="9">
        <v>3490</v>
      </c>
      <c r="BW351" s="9">
        <v>1320</v>
      </c>
      <c r="BX351" s="9">
        <v>179000</v>
      </c>
      <c r="BY351" s="9">
        <v>360</v>
      </c>
      <c r="BZ351" s="10" t="s">
        <v>526</v>
      </c>
      <c r="CA351" s="9">
        <v>190</v>
      </c>
      <c r="CB351" s="9"/>
      <c r="CC351" s="10">
        <f t="shared" si="127"/>
        <v>2.4125880304308565</v>
      </c>
      <c r="CD351" s="10">
        <f t="shared" si="128"/>
        <v>122.3776537175072</v>
      </c>
      <c r="CE351" s="10">
        <f t="shared" si="139"/>
        <v>422202.90532539989</v>
      </c>
      <c r="CF351" s="10">
        <f t="shared" si="136"/>
        <v>1</v>
      </c>
      <c r="CG351" s="10">
        <f t="shared" si="122"/>
        <v>1</v>
      </c>
      <c r="CH351" s="10">
        <f t="shared" si="123"/>
        <v>14</v>
      </c>
      <c r="CI351" s="9">
        <f t="shared" si="129"/>
        <v>0</v>
      </c>
      <c r="CJ351" s="10">
        <f t="shared" si="124"/>
        <v>26</v>
      </c>
      <c r="CK351" s="10" t="b">
        <f t="shared" si="130"/>
        <v>1</v>
      </c>
      <c r="CL351" s="10" t="b">
        <f t="shared" si="131"/>
        <v>1</v>
      </c>
      <c r="CM351" s="10" t="b">
        <f t="shared" si="132"/>
        <v>1</v>
      </c>
      <c r="CN351" s="9">
        <f t="shared" si="133"/>
        <v>1</v>
      </c>
      <c r="CO351" s="10">
        <f t="shared" si="138"/>
        <v>15</v>
      </c>
      <c r="CP351" s="10" t="b">
        <f t="shared" si="134"/>
        <v>1</v>
      </c>
      <c r="CQ351" s="10" t="b">
        <f t="shared" si="135"/>
        <v>1</v>
      </c>
      <c r="CR351" s="10" cm="1">
        <f t="array" ref="CR351">_xlfn.IFS(AND($CI351=0, CK351=FALSE), NA(), AND($CI351=1, CK351=FALSE), 0, CK351=TRUE, 1)</f>
        <v>1</v>
      </c>
      <c r="CS351" s="10" cm="1">
        <f t="array" ref="CS351">_xlfn.IFS(AND($CI351=0, CL351=FALSE), NA(), AND($CI351=1, CL351=FALSE), 0, CL351=TRUE, 1)</f>
        <v>1</v>
      </c>
      <c r="CT351" s="10" cm="1">
        <f t="array" ref="CT351">_xlfn.IFS(AND($CI351=0, CM351=FALSE), NA(), AND($CI351=1, CM351=FALSE), 0, CM351=TRUE, 1)</f>
        <v>1</v>
      </c>
      <c r="CU351" s="10" cm="1">
        <f t="array" ref="CU351">_xlfn.IFS(AND($CN351=0, CP351=FALSE), NA(), AND($CN351=1, CP351=FALSE), 0, CP351=TRUE, 1)</f>
        <v>1</v>
      </c>
      <c r="CV351" s="10" cm="1">
        <f t="array" ref="CV351">_xlfn.IFS(AND($CN351=0, CQ351=FALSE), NA(), AND($CN351=1, CQ351=FALSE), 0, CQ351=TRUE, 1)</f>
        <v>1</v>
      </c>
    </row>
    <row r="352" spans="1:100" ht="15.75" x14ac:dyDescent="0.25">
      <c r="A352" s="8">
        <v>351</v>
      </c>
      <c r="B352" s="9">
        <v>218</v>
      </c>
      <c r="C352" s="10" t="s">
        <v>19</v>
      </c>
      <c r="D352" s="11" t="s">
        <v>217</v>
      </c>
      <c r="E352" s="12">
        <v>13781</v>
      </c>
      <c r="F352" s="13">
        <v>1</v>
      </c>
      <c r="G352" s="9">
        <v>77.820671081542969</v>
      </c>
      <c r="H352" s="12">
        <v>42205</v>
      </c>
      <c r="I352" s="9">
        <v>1</v>
      </c>
      <c r="J352" s="12">
        <v>42205</v>
      </c>
      <c r="K352" s="9">
        <v>0</v>
      </c>
      <c r="L352" s="9">
        <v>1</v>
      </c>
      <c r="M352" s="10" t="s">
        <v>401</v>
      </c>
      <c r="N352" s="9">
        <v>1</v>
      </c>
      <c r="O352" s="10" t="s">
        <v>401</v>
      </c>
      <c r="P352" s="9">
        <v>1</v>
      </c>
      <c r="Q352" s="10" t="s">
        <v>401</v>
      </c>
      <c r="R352" s="12">
        <v>42704</v>
      </c>
      <c r="S352" s="10" t="s">
        <v>146</v>
      </c>
      <c r="T352" s="9"/>
      <c r="U352" s="10" t="s">
        <v>401</v>
      </c>
      <c r="V352" s="10" t="s">
        <v>401</v>
      </c>
      <c r="W352" s="9"/>
      <c r="X352" s="9"/>
      <c r="Y352" s="9">
        <v>2</v>
      </c>
      <c r="Z352" s="14">
        <v>2</v>
      </c>
      <c r="AA352" s="31">
        <v>11.3</v>
      </c>
      <c r="AB352" s="37">
        <v>111</v>
      </c>
      <c r="AC352" s="37">
        <v>14</v>
      </c>
      <c r="AD352" s="9">
        <v>2</v>
      </c>
      <c r="AE352" s="9">
        <v>2</v>
      </c>
      <c r="AF352" s="9">
        <v>1</v>
      </c>
      <c r="AG352" s="9">
        <v>0</v>
      </c>
      <c r="AH352" s="9">
        <v>1</v>
      </c>
      <c r="AI352" s="9">
        <v>0</v>
      </c>
      <c r="AJ352" s="12">
        <v>43423</v>
      </c>
      <c r="AK352" s="9">
        <v>2</v>
      </c>
      <c r="AL352" s="12">
        <v>44343</v>
      </c>
      <c r="AM352" s="9">
        <v>2</v>
      </c>
      <c r="AN352" s="12">
        <v>43516</v>
      </c>
      <c r="AO352" s="12"/>
      <c r="AP352" s="12"/>
      <c r="AQ352" s="9">
        <v>2</v>
      </c>
      <c r="AR352" s="9">
        <f t="shared" si="125"/>
        <v>0</v>
      </c>
      <c r="AS352" s="9">
        <v>2</v>
      </c>
      <c r="AT352" s="9"/>
      <c r="AU352" s="9">
        <v>1</v>
      </c>
      <c r="AV352" s="9">
        <f t="shared" si="126"/>
        <v>0</v>
      </c>
      <c r="AW352" s="12">
        <v>44945</v>
      </c>
      <c r="AX352" s="9">
        <v>6390</v>
      </c>
      <c r="AY352" s="9">
        <v>3800</v>
      </c>
      <c r="AZ352" s="9">
        <v>1700</v>
      </c>
      <c r="BA352" s="9">
        <v>3800</v>
      </c>
      <c r="BB352" s="9">
        <v>1700.0001220703125</v>
      </c>
      <c r="BC352" s="9">
        <v>264000</v>
      </c>
      <c r="BD352" s="9">
        <v>500</v>
      </c>
      <c r="BE352" s="9">
        <v>100</v>
      </c>
      <c r="BF352" s="9">
        <v>280</v>
      </c>
      <c r="BG352" s="9">
        <v>6770</v>
      </c>
      <c r="BH352" s="9">
        <v>4600</v>
      </c>
      <c r="BI352" s="9">
        <v>1300</v>
      </c>
      <c r="BJ352" s="9">
        <v>31000</v>
      </c>
      <c r="BK352" s="9">
        <v>500</v>
      </c>
      <c r="BL352" s="9">
        <v>200</v>
      </c>
      <c r="BM352" s="9">
        <v>440</v>
      </c>
      <c r="BN352" s="9">
        <v>7080</v>
      </c>
      <c r="BO352" s="9">
        <v>4800</v>
      </c>
      <c r="BP352" s="9">
        <v>1200</v>
      </c>
      <c r="BQ352" s="9">
        <v>321000</v>
      </c>
      <c r="BR352" s="9">
        <v>500</v>
      </c>
      <c r="BS352" s="9">
        <v>300</v>
      </c>
      <c r="BT352" s="9">
        <v>412</v>
      </c>
      <c r="BU352" s="9">
        <v>7010</v>
      </c>
      <c r="BV352" s="9">
        <v>4500</v>
      </c>
      <c r="BW352" s="9">
        <v>1500</v>
      </c>
      <c r="BX352" s="9">
        <v>288000</v>
      </c>
      <c r="BY352" s="9">
        <v>500</v>
      </c>
      <c r="BZ352" s="10" t="s">
        <v>543</v>
      </c>
      <c r="CA352" s="9">
        <v>400</v>
      </c>
      <c r="CB352" s="9">
        <v>305</v>
      </c>
      <c r="CC352" s="10">
        <f t="shared" si="127"/>
        <v>2.2352939571393931</v>
      </c>
      <c r="CD352" s="10">
        <f t="shared" si="128"/>
        <v>155.29410649599993</v>
      </c>
      <c r="CE352" s="10">
        <f t="shared" si="139"/>
        <v>590117.60468479979</v>
      </c>
      <c r="CF352" s="10">
        <f t="shared" si="136"/>
        <v>1</v>
      </c>
      <c r="CG352" s="10">
        <f t="shared" si="122"/>
        <v>1</v>
      </c>
      <c r="CH352" s="10">
        <f t="shared" si="123"/>
        <v>30</v>
      </c>
      <c r="CI352" s="9">
        <f t="shared" si="129"/>
        <v>0</v>
      </c>
      <c r="CJ352" s="10">
        <f t="shared" si="124"/>
        <v>50</v>
      </c>
      <c r="CK352" s="10" t="b">
        <f t="shared" si="130"/>
        <v>1</v>
      </c>
      <c r="CL352" s="10" t="b">
        <f t="shared" si="131"/>
        <v>1</v>
      </c>
      <c r="CM352" s="10" t="b">
        <f t="shared" si="132"/>
        <v>1</v>
      </c>
      <c r="CN352" s="9">
        <f t="shared" si="133"/>
        <v>0</v>
      </c>
      <c r="CO352" s="10">
        <f>CJ352</f>
        <v>50</v>
      </c>
      <c r="CP352" s="10" t="b">
        <f t="shared" si="134"/>
        <v>1</v>
      </c>
      <c r="CQ352" s="10" t="b">
        <f t="shared" si="135"/>
        <v>1</v>
      </c>
      <c r="CR352" s="10" cm="1">
        <f t="array" ref="CR352">_xlfn.IFS(AND($CI352=0, CK352=FALSE), NA(), AND($CI352=1, CK352=FALSE), 0, CK352=TRUE, 1)</f>
        <v>1</v>
      </c>
      <c r="CS352" s="10" cm="1">
        <f t="array" ref="CS352">_xlfn.IFS(AND($CI352=0, CL352=FALSE), NA(), AND($CI352=1, CL352=FALSE), 0, CL352=TRUE, 1)</f>
        <v>1</v>
      </c>
      <c r="CT352" s="10" cm="1">
        <f t="array" ref="CT352">_xlfn.IFS(AND($CI352=0, CM352=FALSE), NA(), AND($CI352=1, CM352=FALSE), 0, CM352=TRUE, 1)</f>
        <v>1</v>
      </c>
      <c r="CU352" s="10" cm="1">
        <f t="array" ref="CU352">_xlfn.IFS(AND($CN352=0, CP352=FALSE), NA(), AND($CN352=1, CP352=FALSE), 0, CP352=TRUE, 1)</f>
        <v>1</v>
      </c>
      <c r="CV352" s="10" cm="1">
        <f t="array" ref="CV352">_xlfn.IFS(AND($CN352=0, CQ352=FALSE), NA(), AND($CN352=1, CQ352=FALSE), 0, CQ352=TRUE, 1)</f>
        <v>1</v>
      </c>
    </row>
    <row r="353" spans="1:100" x14ac:dyDescent="0.25">
      <c r="A353" s="8">
        <v>352</v>
      </c>
      <c r="B353" s="9">
        <v>571</v>
      </c>
      <c r="C353" s="10" t="s">
        <v>5</v>
      </c>
      <c r="D353" s="11" t="s">
        <v>64</v>
      </c>
      <c r="E353" s="12">
        <v>18575</v>
      </c>
      <c r="F353" s="13">
        <v>1</v>
      </c>
      <c r="G353" s="9">
        <v>64.706367492675781</v>
      </c>
      <c r="H353" s="12">
        <v>42209</v>
      </c>
      <c r="I353" s="9">
        <v>1</v>
      </c>
      <c r="J353" s="12">
        <v>42209</v>
      </c>
      <c r="K353" s="9">
        <v>0</v>
      </c>
      <c r="L353" s="9">
        <v>1</v>
      </c>
      <c r="M353" s="10" t="s">
        <v>401</v>
      </c>
      <c r="N353" s="9"/>
      <c r="O353" s="10" t="s">
        <v>401</v>
      </c>
      <c r="P353" s="9"/>
      <c r="Q353" s="10" t="s">
        <v>401</v>
      </c>
      <c r="R353" s="12"/>
      <c r="S353" s="10" t="s">
        <v>145</v>
      </c>
      <c r="T353" s="9"/>
      <c r="U353" s="10" t="s">
        <v>401</v>
      </c>
      <c r="V353" s="10" t="s">
        <v>401</v>
      </c>
      <c r="W353" s="9"/>
      <c r="X353" s="9"/>
      <c r="Y353" s="9">
        <v>2</v>
      </c>
      <c r="Z353" s="19">
        <v>1</v>
      </c>
      <c r="AB353" s="9"/>
      <c r="AC353" s="9"/>
      <c r="AD353" s="9"/>
      <c r="AE353" s="9"/>
      <c r="AF353" s="9">
        <v>1</v>
      </c>
      <c r="AG353" s="9">
        <v>1</v>
      </c>
      <c r="AH353" s="9">
        <v>1</v>
      </c>
      <c r="AI353" s="9">
        <v>1</v>
      </c>
      <c r="AJ353" s="12">
        <v>43367</v>
      </c>
      <c r="AK353" s="9">
        <v>2</v>
      </c>
      <c r="AL353" s="12">
        <v>43535</v>
      </c>
      <c r="AM353" s="9">
        <v>3</v>
      </c>
      <c r="AN353" s="12">
        <v>43444</v>
      </c>
      <c r="AO353" s="12">
        <v>43542</v>
      </c>
      <c r="AP353" s="12">
        <v>43542</v>
      </c>
      <c r="AQ353" s="9">
        <v>1</v>
      </c>
      <c r="AR353" s="9">
        <f t="shared" si="125"/>
        <v>1</v>
      </c>
      <c r="AS353" s="9">
        <v>1</v>
      </c>
      <c r="AT353" s="9">
        <v>2</v>
      </c>
      <c r="AU353" s="9">
        <v>1</v>
      </c>
      <c r="AV353" s="9">
        <f t="shared" si="126"/>
        <v>0</v>
      </c>
      <c r="AW353" s="12">
        <v>43559</v>
      </c>
      <c r="AX353" s="9"/>
      <c r="AY353" s="9"/>
      <c r="AZ353" s="9"/>
      <c r="BA353" s="9">
        <v>3777.77392578125</v>
      </c>
      <c r="BB353" s="9">
        <v>1231.951171875</v>
      </c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10" t="s">
        <v>401</v>
      </c>
      <c r="CA353" s="9"/>
      <c r="CB353" s="9"/>
      <c r="CC353" s="10">
        <f t="shared" si="127"/>
        <v>3.0664964748818488</v>
      </c>
      <c r="CF353" s="10">
        <f t="shared" si="136"/>
        <v>1</v>
      </c>
      <c r="CG353" s="10">
        <f t="shared" si="122"/>
        <v>0</v>
      </c>
      <c r="CH353" s="10">
        <f t="shared" si="123"/>
        <v>6</v>
      </c>
      <c r="CI353" s="9">
        <f t="shared" si="129"/>
        <v>0</v>
      </c>
      <c r="CJ353" s="10">
        <f t="shared" si="124"/>
        <v>7</v>
      </c>
      <c r="CK353" s="10" t="b">
        <f t="shared" si="130"/>
        <v>1</v>
      </c>
      <c r="CL353" s="10" t="b">
        <f t="shared" si="131"/>
        <v>0</v>
      </c>
      <c r="CM353" s="10" t="b">
        <f t="shared" si="132"/>
        <v>0</v>
      </c>
      <c r="CN353" s="9">
        <f t="shared" si="133"/>
        <v>1</v>
      </c>
      <c r="CO353" s="10">
        <f t="shared" ref="CO353:CO359" si="140">(YEAR(AO353)-YEAR(AJ353))*12+MONTH(AO353)-MONTH(AJ353)</f>
        <v>6</v>
      </c>
      <c r="CP353" s="10" t="b">
        <f t="shared" si="134"/>
        <v>1</v>
      </c>
      <c r="CQ353" s="10" t="b">
        <f t="shared" si="135"/>
        <v>0</v>
      </c>
      <c r="CR353" s="10" cm="1">
        <f t="array" ref="CR353">_xlfn.IFS(AND($CI353=0, CK353=FALSE), NA(), AND($CI353=1, CK353=FALSE), 0, CK353=TRUE, 1)</f>
        <v>1</v>
      </c>
      <c r="CS353" s="10" t="e" cm="1">
        <f t="array" ref="CS353">_xlfn.IFS(AND($CI353=0, CL353=FALSE), NA(), AND($CI353=1, CL353=FALSE), 0, CL353=TRUE, 1)</f>
        <v>#N/A</v>
      </c>
      <c r="CT353" s="10" t="e" cm="1">
        <f t="array" ref="CT353">_xlfn.IFS(AND($CI353=0, CM353=FALSE), NA(), AND($CI353=1, CM353=FALSE), 0, CM353=TRUE, 1)</f>
        <v>#N/A</v>
      </c>
      <c r="CU353" s="10" cm="1">
        <f t="array" ref="CU353">_xlfn.IFS(AND($CN353=0, CP353=FALSE), NA(), AND($CN353=1, CP353=FALSE), 0, CP353=TRUE, 1)</f>
        <v>1</v>
      </c>
      <c r="CV353" s="10" cm="1">
        <f t="array" ref="CV353">_xlfn.IFS(AND($CN353=0, CQ353=FALSE), NA(), AND($CN353=1, CQ353=FALSE), 0, CQ353=TRUE, 1)</f>
        <v>0</v>
      </c>
    </row>
    <row r="354" spans="1:100" ht="15.75" x14ac:dyDescent="0.25">
      <c r="A354" s="8">
        <v>353</v>
      </c>
      <c r="B354" s="9">
        <v>506</v>
      </c>
      <c r="C354" s="10" t="s">
        <v>33</v>
      </c>
      <c r="D354" s="11" t="s">
        <v>188</v>
      </c>
      <c r="E354" s="12">
        <v>31551</v>
      </c>
      <c r="F354" s="13">
        <v>2</v>
      </c>
      <c r="G354" s="9">
        <v>29.188226699829102</v>
      </c>
      <c r="H354" s="12">
        <v>42212</v>
      </c>
      <c r="I354" s="9">
        <v>1</v>
      </c>
      <c r="J354" s="12">
        <v>42212</v>
      </c>
      <c r="K354" s="9">
        <v>0</v>
      </c>
      <c r="L354" s="9">
        <v>1</v>
      </c>
      <c r="M354" s="10" t="s">
        <v>401</v>
      </c>
      <c r="N354" s="9">
        <v>2</v>
      </c>
      <c r="O354" s="10" t="s">
        <v>409</v>
      </c>
      <c r="P354" s="9">
        <v>2</v>
      </c>
      <c r="Q354" s="10" t="s">
        <v>409</v>
      </c>
      <c r="R354" s="12">
        <v>42286</v>
      </c>
      <c r="S354" s="10" t="s">
        <v>145</v>
      </c>
      <c r="T354" s="9">
        <v>6</v>
      </c>
      <c r="U354" s="10" t="s">
        <v>147</v>
      </c>
      <c r="V354" s="10" t="s">
        <v>401</v>
      </c>
      <c r="W354" s="9"/>
      <c r="X354" s="9"/>
      <c r="Y354" s="9">
        <v>4</v>
      </c>
      <c r="Z354" s="14">
        <v>1</v>
      </c>
      <c r="AA354" s="17">
        <v>8</v>
      </c>
      <c r="AB354" s="18">
        <v>102</v>
      </c>
      <c r="AC354" s="18">
        <v>20</v>
      </c>
      <c r="AD354" s="9">
        <v>2</v>
      </c>
      <c r="AE354" s="9">
        <v>2</v>
      </c>
      <c r="AF354" s="9">
        <v>1</v>
      </c>
      <c r="AG354" s="9">
        <v>0</v>
      </c>
      <c r="AH354" s="9">
        <v>1</v>
      </c>
      <c r="AI354" s="9">
        <v>1</v>
      </c>
      <c r="AJ354" s="12">
        <v>42880</v>
      </c>
      <c r="AK354" s="9">
        <v>2</v>
      </c>
      <c r="AL354" s="12">
        <v>42895</v>
      </c>
      <c r="AM354" s="9">
        <v>4</v>
      </c>
      <c r="AN354" s="12">
        <v>42895</v>
      </c>
      <c r="AO354" s="12">
        <v>42895</v>
      </c>
      <c r="AP354" s="12">
        <v>42895</v>
      </c>
      <c r="AQ354" s="9">
        <v>1</v>
      </c>
      <c r="AR354" s="9">
        <f t="shared" si="125"/>
        <v>1</v>
      </c>
      <c r="AS354" s="9">
        <v>1</v>
      </c>
      <c r="AT354" s="9">
        <v>2</v>
      </c>
      <c r="AU354" s="9">
        <v>2</v>
      </c>
      <c r="AV354" s="9">
        <f t="shared" si="126"/>
        <v>1</v>
      </c>
      <c r="AW354" s="12">
        <v>42931</v>
      </c>
      <c r="AX354" s="9"/>
      <c r="AY354" s="9"/>
      <c r="AZ354" s="9"/>
      <c r="BA354" s="9">
        <v>4493.70068359375</v>
      </c>
      <c r="BB354" s="9">
        <v>1253.6341552734375</v>
      </c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10" t="s">
        <v>401</v>
      </c>
      <c r="CA354" s="9"/>
      <c r="CB354" s="9"/>
      <c r="CC354" s="10">
        <f t="shared" si="127"/>
        <v>3.5845391294508904</v>
      </c>
      <c r="CF354" s="10">
        <f t="shared" si="136"/>
        <v>0</v>
      </c>
      <c r="CG354" s="10">
        <f t="shared" si="122"/>
        <v>0</v>
      </c>
      <c r="CH354" s="10">
        <f t="shared" si="123"/>
        <v>1</v>
      </c>
      <c r="CI354" s="9">
        <f t="shared" si="129"/>
        <v>1</v>
      </c>
      <c r="CJ354" s="10">
        <f t="shared" si="124"/>
        <v>2</v>
      </c>
      <c r="CK354" s="10" t="b">
        <f t="shared" si="130"/>
        <v>0</v>
      </c>
      <c r="CL354" s="10" t="b">
        <f t="shared" si="131"/>
        <v>0</v>
      </c>
      <c r="CM354" s="10" t="b">
        <f t="shared" si="132"/>
        <v>0</v>
      </c>
      <c r="CN354" s="9">
        <f t="shared" si="133"/>
        <v>1</v>
      </c>
      <c r="CO354" s="10">
        <f t="shared" si="140"/>
        <v>1</v>
      </c>
      <c r="CP354" s="10" t="b">
        <f t="shared" si="134"/>
        <v>0</v>
      </c>
      <c r="CQ354" s="10" t="b">
        <f t="shared" si="135"/>
        <v>0</v>
      </c>
      <c r="CR354" s="10" cm="1">
        <f t="array" ref="CR354">_xlfn.IFS(AND($CI354=0, CK354=FALSE), NA(), AND($CI354=1, CK354=FALSE), 0, CK354=TRUE, 1)</f>
        <v>0</v>
      </c>
      <c r="CS354" s="10" cm="1">
        <f t="array" ref="CS354">_xlfn.IFS(AND($CI354=0, CL354=FALSE), NA(), AND($CI354=1, CL354=FALSE), 0, CL354=TRUE, 1)</f>
        <v>0</v>
      </c>
      <c r="CT354" s="10" cm="1">
        <f t="array" ref="CT354">_xlfn.IFS(AND($CI354=0, CM354=FALSE), NA(), AND($CI354=1, CM354=FALSE), 0, CM354=TRUE, 1)</f>
        <v>0</v>
      </c>
      <c r="CU354" s="10" cm="1">
        <f t="array" ref="CU354">_xlfn.IFS(AND($CN354=0, CP354=FALSE), NA(), AND($CN354=1, CP354=FALSE), 0, CP354=TRUE, 1)</f>
        <v>0</v>
      </c>
      <c r="CV354" s="10" cm="1">
        <f t="array" ref="CV354">_xlfn.IFS(AND($CN354=0, CQ354=FALSE), NA(), AND($CN354=1, CQ354=FALSE), 0, CQ354=TRUE, 1)</f>
        <v>0</v>
      </c>
    </row>
    <row r="355" spans="1:100" ht="15.75" x14ac:dyDescent="0.25">
      <c r="A355" s="8">
        <v>354</v>
      </c>
      <c r="B355" s="9">
        <v>243</v>
      </c>
      <c r="C355" s="10" t="s">
        <v>20</v>
      </c>
      <c r="D355" s="11" t="s">
        <v>234</v>
      </c>
      <c r="E355" s="12">
        <v>23810</v>
      </c>
      <c r="F355" s="13">
        <v>2</v>
      </c>
      <c r="G355" s="9">
        <v>50.425735473632813</v>
      </c>
      <c r="H355" s="12">
        <v>42228</v>
      </c>
      <c r="I355" s="9">
        <v>1</v>
      </c>
      <c r="J355" s="12">
        <v>42228</v>
      </c>
      <c r="K355" s="9">
        <v>0</v>
      </c>
      <c r="L355" s="9">
        <v>1</v>
      </c>
      <c r="M355" s="10" t="s">
        <v>401</v>
      </c>
      <c r="N355" s="9">
        <v>1</v>
      </c>
      <c r="O355" s="10" t="s">
        <v>401</v>
      </c>
      <c r="P355" s="9">
        <v>1</v>
      </c>
      <c r="Q355" s="10" t="s">
        <v>401</v>
      </c>
      <c r="R355" s="12">
        <v>43600</v>
      </c>
      <c r="S355" s="10" t="s">
        <v>146</v>
      </c>
      <c r="T355" s="9"/>
      <c r="U355" s="10" t="s">
        <v>401</v>
      </c>
      <c r="V355" s="10" t="s">
        <v>401</v>
      </c>
      <c r="W355" s="9"/>
      <c r="X355" s="9"/>
      <c r="Y355" s="9">
        <v>2</v>
      </c>
      <c r="Z355" s="14">
        <v>2</v>
      </c>
      <c r="AB355" s="9"/>
      <c r="AC355" s="9"/>
      <c r="AD355" s="9">
        <v>1</v>
      </c>
      <c r="AE355" s="9">
        <v>1</v>
      </c>
      <c r="AF355" s="9">
        <v>1</v>
      </c>
      <c r="AG355" s="9">
        <v>0</v>
      </c>
      <c r="AH355" s="9">
        <v>1</v>
      </c>
      <c r="AI355" s="9">
        <v>0</v>
      </c>
      <c r="AJ355" s="12">
        <v>43684</v>
      </c>
      <c r="AK355" s="9">
        <v>2</v>
      </c>
      <c r="AL355" s="12">
        <v>43980</v>
      </c>
      <c r="AM355" s="9">
        <v>3</v>
      </c>
      <c r="AN355" s="12">
        <v>43775</v>
      </c>
      <c r="AO355" s="12">
        <v>44020</v>
      </c>
      <c r="AP355" s="12">
        <v>44020</v>
      </c>
      <c r="AQ355" s="9">
        <v>1</v>
      </c>
      <c r="AR355" s="9">
        <f t="shared" si="125"/>
        <v>1</v>
      </c>
      <c r="AS355" s="9">
        <v>1</v>
      </c>
      <c r="AT355" s="9">
        <v>2</v>
      </c>
      <c r="AU355" s="9">
        <v>1</v>
      </c>
      <c r="AV355" s="9">
        <f t="shared" si="126"/>
        <v>0</v>
      </c>
      <c r="AW355" s="12">
        <v>44847</v>
      </c>
      <c r="AX355" s="9">
        <v>5800</v>
      </c>
      <c r="AY355" s="9"/>
      <c r="AZ355" s="9"/>
      <c r="BA355" s="9">
        <v>3333.986083984375</v>
      </c>
      <c r="BB355" s="9">
        <v>1493.2313232421875</v>
      </c>
      <c r="BC355" s="9">
        <v>227000</v>
      </c>
      <c r="BD355" s="9"/>
      <c r="BE355" s="9"/>
      <c r="BF355" s="9"/>
      <c r="BG355" s="9">
        <v>5400</v>
      </c>
      <c r="BH355" s="9"/>
      <c r="BI355" s="9"/>
      <c r="BJ355" s="9">
        <v>248000</v>
      </c>
      <c r="BK355" s="9"/>
      <c r="BL355" s="9"/>
      <c r="BM355" s="9"/>
      <c r="BN355" s="9">
        <v>6100</v>
      </c>
      <c r="BO355" s="9">
        <v>3965</v>
      </c>
      <c r="BP355" s="9"/>
      <c r="BQ355" s="9">
        <v>261000</v>
      </c>
      <c r="BR355" s="9"/>
      <c r="BS355" s="9"/>
      <c r="BT355" s="9"/>
      <c r="BU355" s="9">
        <v>6900</v>
      </c>
      <c r="BV355" s="9">
        <v>4347</v>
      </c>
      <c r="BW355" s="9"/>
      <c r="BX355" s="9">
        <v>262000</v>
      </c>
      <c r="BY355" s="9"/>
      <c r="BZ355" s="10" t="s">
        <v>401</v>
      </c>
      <c r="CA355" s="9"/>
      <c r="CB355" s="9"/>
      <c r="CC355" s="10">
        <f t="shared" si="127"/>
        <v>2.2327324856442452</v>
      </c>
      <c r="CD355" s="10">
        <f t="shared" si="128"/>
        <v>152.01931306070173</v>
      </c>
      <c r="CE355" s="10">
        <f t="shared" ref="CE355:CE382" si="141">BC355*CC355</f>
        <v>506830.27424124366</v>
      </c>
      <c r="CF355" s="10">
        <f t="shared" si="136"/>
        <v>1</v>
      </c>
      <c r="CG355" s="10">
        <f t="shared" si="122"/>
        <v>0</v>
      </c>
      <c r="CH355" s="10">
        <f t="shared" si="123"/>
        <v>9</v>
      </c>
      <c r="CI355" s="9">
        <f t="shared" si="129"/>
        <v>0</v>
      </c>
      <c r="CJ355" s="10">
        <f t="shared" si="124"/>
        <v>38</v>
      </c>
      <c r="CK355" s="10" t="b">
        <f t="shared" si="130"/>
        <v>1</v>
      </c>
      <c r="CL355" s="10" t="b">
        <f t="shared" si="131"/>
        <v>1</v>
      </c>
      <c r="CM355" s="10" t="b">
        <f t="shared" si="132"/>
        <v>1</v>
      </c>
      <c r="CN355" s="9">
        <f t="shared" si="133"/>
        <v>1</v>
      </c>
      <c r="CO355" s="10">
        <f t="shared" si="140"/>
        <v>11</v>
      </c>
      <c r="CP355" s="10" t="b">
        <f t="shared" si="134"/>
        <v>1</v>
      </c>
      <c r="CQ355" s="10" t="b">
        <f t="shared" si="135"/>
        <v>1</v>
      </c>
      <c r="CR355" s="10" cm="1">
        <f t="array" ref="CR355">_xlfn.IFS(AND($CI355=0, CK355=FALSE), NA(), AND($CI355=1, CK355=FALSE), 0, CK355=TRUE, 1)</f>
        <v>1</v>
      </c>
      <c r="CS355" s="10" cm="1">
        <f t="array" ref="CS355">_xlfn.IFS(AND($CI355=0, CL355=FALSE), NA(), AND($CI355=1, CL355=FALSE), 0, CL355=TRUE, 1)</f>
        <v>1</v>
      </c>
      <c r="CT355" s="10" cm="1">
        <f t="array" ref="CT355">_xlfn.IFS(AND($CI355=0, CM355=FALSE), NA(), AND($CI355=1, CM355=FALSE), 0, CM355=TRUE, 1)</f>
        <v>1</v>
      </c>
      <c r="CU355" s="10" cm="1">
        <f t="array" ref="CU355">_xlfn.IFS(AND($CN355=0, CP355=FALSE), NA(), AND($CN355=1, CP355=FALSE), 0, CP355=TRUE, 1)</f>
        <v>1</v>
      </c>
      <c r="CV355" s="10" cm="1">
        <f t="array" ref="CV355">_xlfn.IFS(AND($CN355=0, CQ355=FALSE), NA(), AND($CN355=1, CQ355=FALSE), 0, CQ355=TRUE, 1)</f>
        <v>1</v>
      </c>
    </row>
    <row r="356" spans="1:100" ht="15.75" x14ac:dyDescent="0.25">
      <c r="A356" s="8">
        <v>355</v>
      </c>
      <c r="B356" s="9">
        <v>192</v>
      </c>
      <c r="C356" s="10" t="s">
        <v>17</v>
      </c>
      <c r="D356" s="11" t="s">
        <v>199</v>
      </c>
      <c r="E356" s="12">
        <v>17278</v>
      </c>
      <c r="F356" s="13">
        <v>1</v>
      </c>
      <c r="G356" s="9">
        <v>68.347709655761719</v>
      </c>
      <c r="H356" s="12">
        <v>42242</v>
      </c>
      <c r="I356" s="9">
        <v>1</v>
      </c>
      <c r="J356" s="12">
        <v>42242</v>
      </c>
      <c r="K356" s="9">
        <v>1</v>
      </c>
      <c r="L356" s="9">
        <v>2</v>
      </c>
      <c r="M356" s="10" t="s">
        <v>401</v>
      </c>
      <c r="N356" s="9">
        <v>2</v>
      </c>
      <c r="O356" s="10" t="s">
        <v>145</v>
      </c>
      <c r="P356" s="9">
        <v>2</v>
      </c>
      <c r="Q356" s="10" t="s">
        <v>145</v>
      </c>
      <c r="R356" s="12">
        <v>42290</v>
      </c>
      <c r="S356" s="10" t="s">
        <v>145</v>
      </c>
      <c r="T356" s="9">
        <v>6</v>
      </c>
      <c r="U356" s="10" t="s">
        <v>401</v>
      </c>
      <c r="V356" s="10" t="s">
        <v>401</v>
      </c>
      <c r="W356" s="9"/>
      <c r="X356" s="9"/>
      <c r="Y356" s="9">
        <v>3</v>
      </c>
      <c r="Z356" s="14">
        <v>1</v>
      </c>
      <c r="AA356" s="17">
        <v>7.6</v>
      </c>
      <c r="AB356" s="18">
        <v>70.599999999999994</v>
      </c>
      <c r="AC356" s="18">
        <v>22.7</v>
      </c>
      <c r="AD356" s="9">
        <v>2</v>
      </c>
      <c r="AE356" s="9">
        <v>2</v>
      </c>
      <c r="AF356" s="9">
        <v>1</v>
      </c>
      <c r="AG356" s="9">
        <v>0</v>
      </c>
      <c r="AH356" s="9">
        <v>1</v>
      </c>
      <c r="AI356" s="9">
        <v>0</v>
      </c>
      <c r="AJ356" s="12">
        <v>42892</v>
      </c>
      <c r="AK356" s="9">
        <v>2</v>
      </c>
      <c r="AL356" s="12">
        <v>44344</v>
      </c>
      <c r="AM356" s="9">
        <v>2</v>
      </c>
      <c r="AN356" s="12">
        <v>43001</v>
      </c>
      <c r="AO356" s="12">
        <v>44364</v>
      </c>
      <c r="AP356" s="12">
        <v>44364</v>
      </c>
      <c r="AQ356" s="9">
        <v>1</v>
      </c>
      <c r="AR356" s="9">
        <f t="shared" si="125"/>
        <v>1</v>
      </c>
      <c r="AS356" s="9">
        <v>1</v>
      </c>
      <c r="AT356" s="9">
        <v>2</v>
      </c>
      <c r="AU356" s="9">
        <v>1</v>
      </c>
      <c r="AV356" s="9">
        <f t="shared" si="126"/>
        <v>0</v>
      </c>
      <c r="AW356" s="12">
        <v>44383</v>
      </c>
      <c r="AX356" s="9">
        <v>8620</v>
      </c>
      <c r="AY356" s="9">
        <v>6600</v>
      </c>
      <c r="AZ356" s="9">
        <v>1200</v>
      </c>
      <c r="BA356" s="9">
        <v>6600</v>
      </c>
      <c r="BB356" s="9">
        <v>1200.0001220703125</v>
      </c>
      <c r="BC356" s="9">
        <v>226000</v>
      </c>
      <c r="BD356" s="9">
        <v>600</v>
      </c>
      <c r="BE356" s="9">
        <v>200</v>
      </c>
      <c r="BF356" s="9"/>
      <c r="BG356" s="9">
        <v>7460</v>
      </c>
      <c r="BH356" s="9">
        <v>5600</v>
      </c>
      <c r="BI356" s="9">
        <v>1000</v>
      </c>
      <c r="BJ356" s="9">
        <v>269000</v>
      </c>
      <c r="BK356" s="9">
        <v>600</v>
      </c>
      <c r="BL356" s="9">
        <v>200</v>
      </c>
      <c r="BM356" s="9"/>
      <c r="BN356" s="9">
        <v>9100</v>
      </c>
      <c r="BO356" s="9">
        <v>7100</v>
      </c>
      <c r="BP356" s="9">
        <v>1000</v>
      </c>
      <c r="BQ356" s="9">
        <v>275000</v>
      </c>
      <c r="BR356" s="9">
        <v>700</v>
      </c>
      <c r="BS356" s="9">
        <v>200</v>
      </c>
      <c r="BT356" s="9"/>
      <c r="BU356" s="9">
        <v>8460</v>
      </c>
      <c r="BV356" s="9">
        <v>6100</v>
      </c>
      <c r="BW356" s="9">
        <v>1200</v>
      </c>
      <c r="BX356" s="9">
        <v>219000</v>
      </c>
      <c r="BY356" s="9">
        <v>800</v>
      </c>
      <c r="BZ356" s="10" t="s">
        <v>542</v>
      </c>
      <c r="CA356" s="9">
        <v>300</v>
      </c>
      <c r="CB356" s="9"/>
      <c r="CC356" s="10">
        <f t="shared" si="127"/>
        <v>5.4999994405111243</v>
      </c>
      <c r="CD356" s="10">
        <f t="shared" si="128"/>
        <v>188.3333141750779</v>
      </c>
      <c r="CE356" s="10">
        <f t="shared" si="141"/>
        <v>1242999.873555514</v>
      </c>
      <c r="CF356" s="10">
        <f t="shared" si="136"/>
        <v>1</v>
      </c>
      <c r="CG356" s="10">
        <f t="shared" si="122"/>
        <v>1</v>
      </c>
      <c r="CH356" s="10">
        <f t="shared" si="123"/>
        <v>47</v>
      </c>
      <c r="CI356" s="9">
        <f t="shared" si="129"/>
        <v>0</v>
      </c>
      <c r="CJ356" s="10">
        <f t="shared" si="124"/>
        <v>49</v>
      </c>
      <c r="CK356" s="10" t="b">
        <f t="shared" si="130"/>
        <v>1</v>
      </c>
      <c r="CL356" s="10" t="b">
        <f t="shared" si="131"/>
        <v>1</v>
      </c>
      <c r="CM356" s="10" t="b">
        <f t="shared" si="132"/>
        <v>1</v>
      </c>
      <c r="CN356" s="9">
        <f t="shared" si="133"/>
        <v>1</v>
      </c>
      <c r="CO356" s="10">
        <f t="shared" si="140"/>
        <v>48</v>
      </c>
      <c r="CP356" s="10" t="b">
        <f t="shared" si="134"/>
        <v>1</v>
      </c>
      <c r="CQ356" s="10" t="b">
        <f t="shared" si="135"/>
        <v>1</v>
      </c>
      <c r="CR356" s="10" cm="1">
        <f t="array" ref="CR356">_xlfn.IFS(AND($CI356=0, CK356=FALSE), NA(), AND($CI356=1, CK356=FALSE), 0, CK356=TRUE, 1)</f>
        <v>1</v>
      </c>
      <c r="CS356" s="10" cm="1">
        <f t="array" ref="CS356">_xlfn.IFS(AND($CI356=0, CL356=FALSE), NA(), AND($CI356=1, CL356=FALSE), 0, CL356=TRUE, 1)</f>
        <v>1</v>
      </c>
      <c r="CT356" s="10" cm="1">
        <f t="array" ref="CT356">_xlfn.IFS(AND($CI356=0, CM356=FALSE), NA(), AND($CI356=1, CM356=FALSE), 0, CM356=TRUE, 1)</f>
        <v>1</v>
      </c>
      <c r="CU356" s="10" cm="1">
        <f t="array" ref="CU356">_xlfn.IFS(AND($CN356=0, CP356=FALSE), NA(), AND($CN356=1, CP356=FALSE), 0, CP356=TRUE, 1)</f>
        <v>1</v>
      </c>
      <c r="CV356" s="10" cm="1">
        <f t="array" ref="CV356">_xlfn.IFS(AND($CN356=0, CQ356=FALSE), NA(), AND($CN356=1, CQ356=FALSE), 0, CQ356=TRUE, 1)</f>
        <v>1</v>
      </c>
    </row>
    <row r="357" spans="1:100" ht="15.75" x14ac:dyDescent="0.25">
      <c r="A357" s="8">
        <v>356</v>
      </c>
      <c r="B357" s="9">
        <v>544</v>
      </c>
      <c r="C357" s="10" t="s">
        <v>34</v>
      </c>
      <c r="D357" s="11" t="s">
        <v>91</v>
      </c>
      <c r="E357" s="12">
        <v>20172</v>
      </c>
      <c r="F357" s="13">
        <v>1</v>
      </c>
      <c r="G357" s="9">
        <v>60.424365997314453</v>
      </c>
      <c r="H357" s="12">
        <v>42242</v>
      </c>
      <c r="I357" s="9">
        <v>1</v>
      </c>
      <c r="J357" s="12">
        <v>42242</v>
      </c>
      <c r="K357" s="9">
        <v>0</v>
      </c>
      <c r="L357" s="9">
        <v>4</v>
      </c>
      <c r="M357" s="10" t="s">
        <v>518</v>
      </c>
      <c r="N357" s="9">
        <v>1</v>
      </c>
      <c r="O357" s="10" t="s">
        <v>401</v>
      </c>
      <c r="P357" s="9">
        <v>1</v>
      </c>
      <c r="Q357" s="10" t="s">
        <v>401</v>
      </c>
      <c r="R357" s="12">
        <v>42991</v>
      </c>
      <c r="S357" s="10" t="s">
        <v>146</v>
      </c>
      <c r="T357" s="9">
        <v>4</v>
      </c>
      <c r="U357" s="10" t="s">
        <v>401</v>
      </c>
      <c r="V357" s="10" t="s">
        <v>401</v>
      </c>
      <c r="W357" s="9"/>
      <c r="X357" s="9"/>
      <c r="Y357" s="9">
        <v>3</v>
      </c>
      <c r="Z357" s="14">
        <v>2</v>
      </c>
      <c r="AA357" s="17">
        <v>14.9</v>
      </c>
      <c r="AB357" s="18">
        <v>87</v>
      </c>
      <c r="AC357" s="18">
        <v>14</v>
      </c>
      <c r="AD357" s="9">
        <v>2</v>
      </c>
      <c r="AE357" s="9">
        <v>2</v>
      </c>
      <c r="AF357" s="9">
        <v>2</v>
      </c>
      <c r="AG357" s="9">
        <v>1</v>
      </c>
      <c r="AH357" s="9">
        <v>1</v>
      </c>
      <c r="AI357" s="9">
        <v>0</v>
      </c>
      <c r="AJ357" s="12">
        <v>43285</v>
      </c>
      <c r="AK357" s="9">
        <v>2</v>
      </c>
      <c r="AL357" s="12">
        <v>43361</v>
      </c>
      <c r="AM357" s="9">
        <v>4</v>
      </c>
      <c r="AN357" s="12">
        <v>43374</v>
      </c>
      <c r="AO357" s="12">
        <v>43374</v>
      </c>
      <c r="AP357" s="12">
        <v>43374</v>
      </c>
      <c r="AQ357" s="9">
        <v>1</v>
      </c>
      <c r="AR357" s="9">
        <f t="shared" si="125"/>
        <v>1</v>
      </c>
      <c r="AS357" s="9">
        <v>1</v>
      </c>
      <c r="AT357" s="9">
        <v>2</v>
      </c>
      <c r="AU357" s="9">
        <v>2</v>
      </c>
      <c r="AV357" s="9">
        <f t="shared" si="126"/>
        <v>1</v>
      </c>
      <c r="AW357" s="12">
        <v>43390</v>
      </c>
      <c r="AX357" s="9">
        <v>7420</v>
      </c>
      <c r="AY357" s="9">
        <v>3450</v>
      </c>
      <c r="AZ357" s="9">
        <v>2390</v>
      </c>
      <c r="BA357" s="9">
        <v>3450</v>
      </c>
      <c r="BB357" s="9">
        <v>2389.99951171875</v>
      </c>
      <c r="BC357" s="9">
        <v>270000</v>
      </c>
      <c r="BD357" s="9">
        <v>1290</v>
      </c>
      <c r="BE357" s="9">
        <v>250</v>
      </c>
      <c r="BF357" s="9">
        <v>231</v>
      </c>
      <c r="BG357" s="9">
        <v>6980</v>
      </c>
      <c r="BH357" s="9">
        <v>3850</v>
      </c>
      <c r="BI357" s="9">
        <v>1800</v>
      </c>
      <c r="BJ357" s="9">
        <v>275000</v>
      </c>
      <c r="BK357" s="9">
        <v>1040</v>
      </c>
      <c r="BL357" s="9">
        <v>250</v>
      </c>
      <c r="BM357" s="9">
        <v>194</v>
      </c>
      <c r="BN357" s="9">
        <v>4320</v>
      </c>
      <c r="BO357" s="9">
        <v>2030</v>
      </c>
      <c r="BP357" s="9">
        <v>1420</v>
      </c>
      <c r="BQ357" s="9">
        <v>181000</v>
      </c>
      <c r="BR357" s="9">
        <v>830</v>
      </c>
      <c r="BS357" s="9">
        <v>20</v>
      </c>
      <c r="BT357" s="9">
        <v>194</v>
      </c>
      <c r="BU357" s="9">
        <v>8760</v>
      </c>
      <c r="BV357" s="9">
        <v>5820</v>
      </c>
      <c r="BW357" s="9">
        <v>1550</v>
      </c>
      <c r="BX357" s="9">
        <v>234000</v>
      </c>
      <c r="BY357" s="9">
        <v>1220</v>
      </c>
      <c r="BZ357" s="10" t="s">
        <v>527</v>
      </c>
      <c r="CA357" s="9">
        <v>120</v>
      </c>
      <c r="CB357" s="9">
        <v>155</v>
      </c>
      <c r="CC357" s="10">
        <f t="shared" si="127"/>
        <v>1.4435149392641335</v>
      </c>
      <c r="CD357" s="10">
        <f t="shared" si="128"/>
        <v>112.97073437719305</v>
      </c>
      <c r="CE357" s="10">
        <f t="shared" si="141"/>
        <v>389749.03360131604</v>
      </c>
      <c r="CF357" s="10">
        <f t="shared" si="136"/>
        <v>0</v>
      </c>
      <c r="CG357" s="10">
        <f t="shared" si="122"/>
        <v>0</v>
      </c>
      <c r="CH357" s="10">
        <f t="shared" si="123"/>
        <v>2</v>
      </c>
      <c r="CI357" s="9">
        <f t="shared" si="129"/>
        <v>1</v>
      </c>
      <c r="CJ357" s="10">
        <f t="shared" si="124"/>
        <v>3</v>
      </c>
      <c r="CK357" s="10" t="b">
        <f t="shared" si="130"/>
        <v>0</v>
      </c>
      <c r="CL357" s="10" t="b">
        <f t="shared" si="131"/>
        <v>0</v>
      </c>
      <c r="CM357" s="10" t="b">
        <f t="shared" si="132"/>
        <v>0</v>
      </c>
      <c r="CN357" s="9">
        <f t="shared" si="133"/>
        <v>1</v>
      </c>
      <c r="CO357" s="10">
        <f t="shared" si="140"/>
        <v>3</v>
      </c>
      <c r="CP357" s="10" t="b">
        <f t="shared" si="134"/>
        <v>1</v>
      </c>
      <c r="CQ357" s="10" t="b">
        <f t="shared" si="135"/>
        <v>0</v>
      </c>
      <c r="CR357" s="10" cm="1">
        <f t="array" ref="CR357">_xlfn.IFS(AND($CI357=0, CK357=FALSE), NA(), AND($CI357=1, CK357=FALSE), 0, CK357=TRUE, 1)</f>
        <v>0</v>
      </c>
      <c r="CS357" s="10" cm="1">
        <f t="array" ref="CS357">_xlfn.IFS(AND($CI357=0, CL357=FALSE), NA(), AND($CI357=1, CL357=FALSE), 0, CL357=TRUE, 1)</f>
        <v>0</v>
      </c>
      <c r="CT357" s="10" cm="1">
        <f t="array" ref="CT357">_xlfn.IFS(AND($CI357=0, CM357=FALSE), NA(), AND($CI357=1, CM357=FALSE), 0, CM357=TRUE, 1)</f>
        <v>0</v>
      </c>
      <c r="CU357" s="10" cm="1">
        <f t="array" ref="CU357">_xlfn.IFS(AND($CN357=0, CP357=FALSE), NA(), AND($CN357=1, CP357=FALSE), 0, CP357=TRUE, 1)</f>
        <v>1</v>
      </c>
      <c r="CV357" s="10" cm="1">
        <f t="array" ref="CV357">_xlfn.IFS(AND($CN357=0, CQ357=FALSE), NA(), AND($CN357=1, CQ357=FALSE), 0, CQ357=TRUE, 1)</f>
        <v>0</v>
      </c>
    </row>
    <row r="358" spans="1:100" ht="15.75" x14ac:dyDescent="0.25">
      <c r="A358" s="8">
        <v>357</v>
      </c>
      <c r="B358" s="9">
        <v>382</v>
      </c>
      <c r="C358" s="10" t="s">
        <v>29</v>
      </c>
      <c r="D358" s="11" t="s">
        <v>297</v>
      </c>
      <c r="E358" s="12">
        <v>26075</v>
      </c>
      <c r="F358" s="13">
        <v>1</v>
      </c>
      <c r="G358" s="9">
        <v>44.265571594238281</v>
      </c>
      <c r="H358" s="12">
        <v>42243</v>
      </c>
      <c r="I358" s="9">
        <v>1</v>
      </c>
      <c r="J358" s="12">
        <v>42243</v>
      </c>
      <c r="K358" s="9">
        <v>0</v>
      </c>
      <c r="L358" s="9">
        <v>1</v>
      </c>
      <c r="M358" s="10" t="s">
        <v>401</v>
      </c>
      <c r="N358" s="9">
        <v>1</v>
      </c>
      <c r="O358" s="10" t="s">
        <v>401</v>
      </c>
      <c r="P358" s="9">
        <v>1</v>
      </c>
      <c r="Q358" s="10" t="s">
        <v>401</v>
      </c>
      <c r="R358" s="12">
        <v>43125</v>
      </c>
      <c r="S358" s="10" t="s">
        <v>145</v>
      </c>
      <c r="T358" s="9"/>
      <c r="U358" s="10" t="s">
        <v>401</v>
      </c>
      <c r="V358" s="10" t="s">
        <v>401</v>
      </c>
      <c r="W358" s="9"/>
      <c r="X358" s="9"/>
      <c r="Y358" s="9">
        <v>2</v>
      </c>
      <c r="Z358" s="14">
        <v>1</v>
      </c>
      <c r="AA358" s="17">
        <v>11.8</v>
      </c>
      <c r="AB358" s="18"/>
      <c r="AC358" s="18"/>
      <c r="AD358" s="9">
        <v>2</v>
      </c>
      <c r="AE358" s="9">
        <v>2</v>
      </c>
      <c r="AF358" s="9">
        <v>1</v>
      </c>
      <c r="AG358" s="9">
        <v>1</v>
      </c>
      <c r="AH358" s="9">
        <v>1</v>
      </c>
      <c r="AI358" s="9">
        <v>0</v>
      </c>
      <c r="AJ358" s="12">
        <v>43642</v>
      </c>
      <c r="AK358" s="9">
        <v>2</v>
      </c>
      <c r="AL358" s="12">
        <v>43810</v>
      </c>
      <c r="AM358" s="9">
        <v>3</v>
      </c>
      <c r="AN358" s="12">
        <v>43742</v>
      </c>
      <c r="AO358" s="12">
        <v>43845</v>
      </c>
      <c r="AP358" s="12">
        <v>43845</v>
      </c>
      <c r="AQ358" s="9">
        <v>1</v>
      </c>
      <c r="AR358" s="9">
        <f t="shared" si="125"/>
        <v>1</v>
      </c>
      <c r="AS358" s="9">
        <v>1</v>
      </c>
      <c r="AT358" s="9">
        <v>2</v>
      </c>
      <c r="AU358" s="9">
        <v>2</v>
      </c>
      <c r="AV358" s="9">
        <f t="shared" si="126"/>
        <v>1</v>
      </c>
      <c r="AW358" s="12">
        <v>44112</v>
      </c>
      <c r="AX358" s="9">
        <v>4170</v>
      </c>
      <c r="AY358" s="9">
        <v>2070</v>
      </c>
      <c r="AZ358" s="9">
        <v>1360</v>
      </c>
      <c r="BA358" s="9">
        <v>2070</v>
      </c>
      <c r="BB358" s="9">
        <v>1360</v>
      </c>
      <c r="BC358" s="9">
        <v>443000</v>
      </c>
      <c r="BD358" s="9">
        <v>370</v>
      </c>
      <c r="BE358" s="9">
        <v>100</v>
      </c>
      <c r="BF358" s="9"/>
      <c r="BG358" s="9">
        <v>6310</v>
      </c>
      <c r="BH358" s="9">
        <v>3170</v>
      </c>
      <c r="BI358" s="9">
        <v>1450</v>
      </c>
      <c r="BJ358" s="9">
        <v>394000</v>
      </c>
      <c r="BK358" s="9">
        <v>56</v>
      </c>
      <c r="BL358" s="9">
        <v>50</v>
      </c>
      <c r="BM358" s="9"/>
      <c r="BN358" s="9">
        <v>5900</v>
      </c>
      <c r="BO358" s="9">
        <v>3320</v>
      </c>
      <c r="BP358" s="9">
        <v>1799</v>
      </c>
      <c r="BQ358" s="9">
        <v>344000</v>
      </c>
      <c r="BR358" s="9">
        <v>570</v>
      </c>
      <c r="BS358" s="9">
        <v>80</v>
      </c>
      <c r="BT358" s="9"/>
      <c r="BU358" s="9">
        <v>6080</v>
      </c>
      <c r="BV358" s="9">
        <v>4100</v>
      </c>
      <c r="BW358" s="9">
        <v>1580</v>
      </c>
      <c r="BX358" s="9">
        <v>345000</v>
      </c>
      <c r="BY358" s="9">
        <v>530</v>
      </c>
      <c r="BZ358" s="10" t="s">
        <v>326</v>
      </c>
      <c r="CA358" s="9">
        <v>39</v>
      </c>
      <c r="CB358" s="9"/>
      <c r="CC358" s="10">
        <f t="shared" si="127"/>
        <v>1.5220588235294117</v>
      </c>
      <c r="CD358" s="10">
        <f t="shared" si="128"/>
        <v>325.73529411764707</v>
      </c>
      <c r="CE358" s="10">
        <f t="shared" si="141"/>
        <v>674272.0588235294</v>
      </c>
      <c r="CF358" s="10">
        <f t="shared" si="136"/>
        <v>1</v>
      </c>
      <c r="CG358" s="10">
        <f t="shared" si="122"/>
        <v>0</v>
      </c>
      <c r="CH358" s="10">
        <f t="shared" si="123"/>
        <v>6</v>
      </c>
      <c r="CI358" s="9">
        <f t="shared" si="129"/>
        <v>1</v>
      </c>
      <c r="CJ358" s="10">
        <f t="shared" si="124"/>
        <v>16</v>
      </c>
      <c r="CK358" s="10" t="b">
        <f t="shared" si="130"/>
        <v>1</v>
      </c>
      <c r="CL358" s="10" t="b">
        <f t="shared" si="131"/>
        <v>0</v>
      </c>
      <c r="CM358" s="10" t="b">
        <f t="shared" si="132"/>
        <v>0</v>
      </c>
      <c r="CN358" s="9">
        <f t="shared" si="133"/>
        <v>1</v>
      </c>
      <c r="CO358" s="10">
        <f t="shared" si="140"/>
        <v>7</v>
      </c>
      <c r="CP358" s="10" t="b">
        <f t="shared" si="134"/>
        <v>1</v>
      </c>
      <c r="CQ358" s="10" t="b">
        <f t="shared" si="135"/>
        <v>0</v>
      </c>
      <c r="CR358" s="10" cm="1">
        <f t="array" ref="CR358">_xlfn.IFS(AND($CI358=0, CK358=FALSE), NA(), AND($CI358=1, CK358=FALSE), 0, CK358=TRUE, 1)</f>
        <v>1</v>
      </c>
      <c r="CS358" s="10" cm="1">
        <f t="array" ref="CS358">_xlfn.IFS(AND($CI358=0, CL358=FALSE), NA(), AND($CI358=1, CL358=FALSE), 0, CL358=TRUE, 1)</f>
        <v>0</v>
      </c>
      <c r="CT358" s="10" cm="1">
        <f t="array" ref="CT358">_xlfn.IFS(AND($CI358=0, CM358=FALSE), NA(), AND($CI358=1, CM358=FALSE), 0, CM358=TRUE, 1)</f>
        <v>0</v>
      </c>
      <c r="CU358" s="10" cm="1">
        <f t="array" ref="CU358">_xlfn.IFS(AND($CN358=0, CP358=FALSE), NA(), AND($CN358=1, CP358=FALSE), 0, CP358=TRUE, 1)</f>
        <v>1</v>
      </c>
      <c r="CV358" s="10" cm="1">
        <f t="array" ref="CV358">_xlfn.IFS(AND($CN358=0, CQ358=FALSE), NA(), AND($CN358=1, CQ358=FALSE), 0, CQ358=TRUE, 1)</f>
        <v>0</v>
      </c>
    </row>
    <row r="359" spans="1:100" ht="15.75" x14ac:dyDescent="0.25">
      <c r="A359" s="8">
        <v>358</v>
      </c>
      <c r="B359" s="9">
        <v>537</v>
      </c>
      <c r="C359" s="10" t="s">
        <v>34</v>
      </c>
      <c r="D359" s="11" t="s">
        <v>231</v>
      </c>
      <c r="E359" s="12">
        <v>12178</v>
      </c>
      <c r="F359" s="13">
        <v>1</v>
      </c>
      <c r="G359" s="9">
        <v>82.31622314453125</v>
      </c>
      <c r="H359" s="12">
        <v>42244</v>
      </c>
      <c r="I359" s="9">
        <v>1</v>
      </c>
      <c r="J359" s="12">
        <v>42355</v>
      </c>
      <c r="K359" s="9">
        <v>1</v>
      </c>
      <c r="L359" s="9">
        <v>1</v>
      </c>
      <c r="M359" s="10" t="s">
        <v>401</v>
      </c>
      <c r="N359" s="9">
        <v>2</v>
      </c>
      <c r="O359" s="10" t="s">
        <v>409</v>
      </c>
      <c r="P359" s="9">
        <v>2</v>
      </c>
      <c r="Q359" s="10" t="s">
        <v>409</v>
      </c>
      <c r="R359" s="12">
        <v>42244</v>
      </c>
      <c r="S359" s="10" t="s">
        <v>146</v>
      </c>
      <c r="T359" s="9">
        <v>4</v>
      </c>
      <c r="U359" s="10" t="s">
        <v>401</v>
      </c>
      <c r="V359" s="10" t="s">
        <v>401</v>
      </c>
      <c r="W359" s="9"/>
      <c r="X359" s="9"/>
      <c r="Y359" s="9">
        <v>3</v>
      </c>
      <c r="Z359" s="14">
        <v>2</v>
      </c>
      <c r="AA359" s="17">
        <v>10.9</v>
      </c>
      <c r="AB359" s="18">
        <v>98</v>
      </c>
      <c r="AC359" s="18">
        <v>14</v>
      </c>
      <c r="AD359" s="9">
        <v>3</v>
      </c>
      <c r="AE359" s="9">
        <v>3</v>
      </c>
      <c r="AF359" s="9">
        <v>1</v>
      </c>
      <c r="AG359" s="9">
        <v>0</v>
      </c>
      <c r="AH359" s="9">
        <v>1</v>
      </c>
      <c r="AI359" s="9">
        <v>1</v>
      </c>
      <c r="AJ359" s="12">
        <v>43018</v>
      </c>
      <c r="AK359" s="9">
        <v>2</v>
      </c>
      <c r="AL359" s="12">
        <v>44152</v>
      </c>
      <c r="AM359" s="9">
        <v>2</v>
      </c>
      <c r="AN359" s="12">
        <v>43270</v>
      </c>
      <c r="AO359" s="12">
        <v>44459</v>
      </c>
      <c r="AP359" s="12">
        <v>44459</v>
      </c>
      <c r="AQ359" s="9">
        <v>1</v>
      </c>
      <c r="AR359" s="9">
        <f t="shared" si="125"/>
        <v>1</v>
      </c>
      <c r="AS359" s="9">
        <v>1</v>
      </c>
      <c r="AT359" s="9">
        <v>2</v>
      </c>
      <c r="AU359" s="9">
        <v>2</v>
      </c>
      <c r="AV359" s="9">
        <f t="shared" si="126"/>
        <v>1</v>
      </c>
      <c r="AW359" s="12">
        <v>44573</v>
      </c>
      <c r="AX359" s="9">
        <v>7180</v>
      </c>
      <c r="AY359" s="9">
        <v>4200</v>
      </c>
      <c r="AZ359" s="9">
        <v>2800</v>
      </c>
      <c r="BA359" s="9">
        <v>4200</v>
      </c>
      <c r="BB359" s="9">
        <v>2799.999755859375</v>
      </c>
      <c r="BC359" s="9">
        <v>187000</v>
      </c>
      <c r="BD359" s="9"/>
      <c r="BE359" s="9"/>
      <c r="BF359" s="9">
        <v>251</v>
      </c>
      <c r="BG359" s="9">
        <v>8560</v>
      </c>
      <c r="BH359" s="9">
        <v>5200</v>
      </c>
      <c r="BI359" s="9">
        <v>3100</v>
      </c>
      <c r="BJ359" s="9">
        <v>223000</v>
      </c>
      <c r="BK359" s="9"/>
      <c r="BL359" s="9"/>
      <c r="BM359" s="9">
        <v>256</v>
      </c>
      <c r="BN359" s="9">
        <v>8600</v>
      </c>
      <c r="BO359" s="9">
        <v>6060</v>
      </c>
      <c r="BP359" s="9">
        <v>2300</v>
      </c>
      <c r="BQ359" s="9">
        <v>290000</v>
      </c>
      <c r="BR359" s="9"/>
      <c r="BS359" s="9"/>
      <c r="BT359" s="9">
        <v>298</v>
      </c>
      <c r="BU359" s="9">
        <v>11640</v>
      </c>
      <c r="BV359" s="9">
        <v>7990</v>
      </c>
      <c r="BW359" s="9">
        <v>3300</v>
      </c>
      <c r="BX359" s="9">
        <v>290000</v>
      </c>
      <c r="BY359" s="9"/>
      <c r="BZ359" s="10" t="s">
        <v>401</v>
      </c>
      <c r="CA359" s="9"/>
      <c r="CB359" s="9">
        <v>401</v>
      </c>
      <c r="CC359" s="10">
        <f t="shared" si="127"/>
        <v>1.500000130789632</v>
      </c>
      <c r="CD359" s="10">
        <f t="shared" si="128"/>
        <v>66.785720108966942</v>
      </c>
      <c r="CE359" s="10">
        <f t="shared" si="141"/>
        <v>280500.0244576612</v>
      </c>
      <c r="CF359" s="10">
        <f t="shared" si="136"/>
        <v>1</v>
      </c>
      <c r="CG359" s="10">
        <f t="shared" si="122"/>
        <v>1</v>
      </c>
      <c r="CH359" s="10">
        <f t="shared" si="123"/>
        <v>37</v>
      </c>
      <c r="CI359" s="9">
        <f t="shared" si="129"/>
        <v>1</v>
      </c>
      <c r="CJ359" s="10">
        <f t="shared" si="124"/>
        <v>51</v>
      </c>
      <c r="CK359" s="10" t="b">
        <f t="shared" si="130"/>
        <v>1</v>
      </c>
      <c r="CL359" s="10" t="b">
        <f t="shared" si="131"/>
        <v>1</v>
      </c>
      <c r="CM359" s="10" t="b">
        <f t="shared" si="132"/>
        <v>1</v>
      </c>
      <c r="CN359" s="9">
        <f t="shared" si="133"/>
        <v>1</v>
      </c>
      <c r="CO359" s="10">
        <f t="shared" si="140"/>
        <v>47</v>
      </c>
      <c r="CP359" s="10" t="b">
        <f t="shared" si="134"/>
        <v>1</v>
      </c>
      <c r="CQ359" s="10" t="b">
        <f t="shared" si="135"/>
        <v>1</v>
      </c>
      <c r="CR359" s="10" cm="1">
        <f t="array" ref="CR359">_xlfn.IFS(AND($CI359=0, CK359=FALSE), NA(), AND($CI359=1, CK359=FALSE), 0, CK359=TRUE, 1)</f>
        <v>1</v>
      </c>
      <c r="CS359" s="10" cm="1">
        <f t="array" ref="CS359">_xlfn.IFS(AND($CI359=0, CL359=FALSE), NA(), AND($CI359=1, CL359=FALSE), 0, CL359=TRUE, 1)</f>
        <v>1</v>
      </c>
      <c r="CT359" s="10" cm="1">
        <f t="array" ref="CT359">_xlfn.IFS(AND($CI359=0, CM359=FALSE), NA(), AND($CI359=1, CM359=FALSE), 0, CM359=TRUE, 1)</f>
        <v>1</v>
      </c>
      <c r="CU359" s="10" cm="1">
        <f t="array" ref="CU359">_xlfn.IFS(AND($CN359=0, CP359=FALSE), NA(), AND($CN359=1, CP359=FALSE), 0, CP359=TRUE, 1)</f>
        <v>1</v>
      </c>
      <c r="CV359" s="10" cm="1">
        <f t="array" ref="CV359">_xlfn.IFS(AND($CN359=0, CQ359=FALSE), NA(), AND($CN359=1, CQ359=FALSE), 0, CQ359=TRUE, 1)</f>
        <v>1</v>
      </c>
    </row>
    <row r="360" spans="1:100" x14ac:dyDescent="0.25">
      <c r="A360" s="8">
        <v>359</v>
      </c>
      <c r="B360" s="9">
        <v>89</v>
      </c>
      <c r="C360" s="10" t="s">
        <v>10</v>
      </c>
      <c r="D360" s="11" t="s">
        <v>117</v>
      </c>
      <c r="E360" s="12">
        <v>22246</v>
      </c>
      <c r="F360" s="13">
        <v>1</v>
      </c>
      <c r="G360" s="9">
        <v>54.787132263183594</v>
      </c>
      <c r="H360" s="12">
        <v>42257</v>
      </c>
      <c r="I360" s="9">
        <v>1</v>
      </c>
      <c r="J360" s="12">
        <v>42257</v>
      </c>
      <c r="K360" s="9">
        <v>1</v>
      </c>
      <c r="L360" s="9">
        <v>1</v>
      </c>
      <c r="M360" s="10" t="s">
        <v>401</v>
      </c>
      <c r="N360" s="9">
        <v>2</v>
      </c>
      <c r="O360" s="10" t="s">
        <v>145</v>
      </c>
      <c r="P360" s="9">
        <v>2</v>
      </c>
      <c r="Q360" s="10" t="s">
        <v>145</v>
      </c>
      <c r="R360" s="12">
        <v>42257</v>
      </c>
      <c r="S360" s="10" t="s">
        <v>145</v>
      </c>
      <c r="T360" s="9">
        <v>5</v>
      </c>
      <c r="U360" s="10" t="s">
        <v>401</v>
      </c>
      <c r="V360" s="10" t="s">
        <v>401</v>
      </c>
      <c r="W360" s="9"/>
      <c r="X360" s="9"/>
      <c r="Y360" s="9">
        <v>3</v>
      </c>
      <c r="Z360" s="19">
        <v>1</v>
      </c>
      <c r="AB360" s="9"/>
      <c r="AC360" s="9"/>
      <c r="AD360" s="9">
        <v>2</v>
      </c>
      <c r="AE360" s="9">
        <v>2</v>
      </c>
      <c r="AF360" s="9">
        <v>1</v>
      </c>
      <c r="AG360" s="9">
        <v>0</v>
      </c>
      <c r="AH360" s="9">
        <v>1</v>
      </c>
      <c r="AI360" s="9">
        <v>0</v>
      </c>
      <c r="AJ360" s="12">
        <v>42747</v>
      </c>
      <c r="AK360" s="9">
        <v>1</v>
      </c>
      <c r="AL360" s="12">
        <v>43923</v>
      </c>
      <c r="AM360" s="9">
        <v>2</v>
      </c>
      <c r="AN360" s="12">
        <v>42836</v>
      </c>
      <c r="AO360" s="12"/>
      <c r="AP360" s="12"/>
      <c r="AQ360" s="9">
        <v>2</v>
      </c>
      <c r="AR360" s="9">
        <f t="shared" si="125"/>
        <v>0</v>
      </c>
      <c r="AS360" s="9">
        <v>2</v>
      </c>
      <c r="AT360" s="9"/>
      <c r="AU360" s="9">
        <v>1</v>
      </c>
      <c r="AV360" s="9">
        <f t="shared" si="126"/>
        <v>0</v>
      </c>
      <c r="AW360" s="12">
        <v>43943</v>
      </c>
      <c r="AX360" s="9">
        <v>7400</v>
      </c>
      <c r="AY360" s="9">
        <v>4990</v>
      </c>
      <c r="AZ360" s="9">
        <v>1750</v>
      </c>
      <c r="BA360" s="9">
        <v>4990</v>
      </c>
      <c r="BB360" s="9">
        <v>1749.9998779296875</v>
      </c>
      <c r="BC360" s="9">
        <v>417000</v>
      </c>
      <c r="BD360" s="9">
        <v>510</v>
      </c>
      <c r="BE360" s="9">
        <v>70</v>
      </c>
      <c r="BF360" s="9"/>
      <c r="BG360" s="9">
        <v>7000</v>
      </c>
      <c r="BH360" s="9">
        <v>4240</v>
      </c>
      <c r="BI360" s="9">
        <v>1620</v>
      </c>
      <c r="BJ360" s="9">
        <v>358000</v>
      </c>
      <c r="BK360" s="9">
        <v>930</v>
      </c>
      <c r="BL360" s="9">
        <v>140</v>
      </c>
      <c r="BM360" s="9"/>
      <c r="BN360" s="9">
        <v>10800</v>
      </c>
      <c r="BO360" s="9">
        <v>7440</v>
      </c>
      <c r="BP360" s="9">
        <v>2020</v>
      </c>
      <c r="BQ360" s="9">
        <v>702000</v>
      </c>
      <c r="BR360" s="9">
        <v>1200</v>
      </c>
      <c r="BS360" s="9">
        <v>100</v>
      </c>
      <c r="BT360" s="9"/>
      <c r="BU360" s="9">
        <v>6700</v>
      </c>
      <c r="BV360" s="9">
        <v>3900</v>
      </c>
      <c r="BW360" s="9">
        <v>1750</v>
      </c>
      <c r="BX360" s="9">
        <v>436000</v>
      </c>
      <c r="BY360" s="9">
        <v>670</v>
      </c>
      <c r="BZ360" s="10" t="s">
        <v>535</v>
      </c>
      <c r="CA360" s="9">
        <v>260</v>
      </c>
      <c r="CB360" s="9"/>
      <c r="CC360" s="10">
        <f t="shared" si="127"/>
        <v>2.8514287703284578</v>
      </c>
      <c r="CD360" s="10">
        <f t="shared" si="128"/>
        <v>238.28573090720778</v>
      </c>
      <c r="CE360" s="10">
        <f t="shared" si="141"/>
        <v>1189045.7972269668</v>
      </c>
      <c r="CF360" s="10">
        <f t="shared" ref="CF360:CF391" si="142">IF(AM360=4, 0,1)</f>
        <v>1</v>
      </c>
      <c r="CG360" s="10">
        <f t="shared" si="122"/>
        <v>1</v>
      </c>
      <c r="CH360" s="10">
        <f t="shared" si="123"/>
        <v>39</v>
      </c>
      <c r="CI360" s="9">
        <f t="shared" si="129"/>
        <v>0</v>
      </c>
      <c r="CJ360" s="10">
        <f t="shared" si="124"/>
        <v>39</v>
      </c>
      <c r="CK360" s="10" t="b">
        <f t="shared" si="130"/>
        <v>1</v>
      </c>
      <c r="CL360" s="10" t="b">
        <f t="shared" si="131"/>
        <v>1</v>
      </c>
      <c r="CM360" s="10" t="b">
        <f t="shared" si="132"/>
        <v>1</v>
      </c>
      <c r="CN360" s="9">
        <f t="shared" si="133"/>
        <v>0</v>
      </c>
      <c r="CO360" s="10">
        <f>CJ360</f>
        <v>39</v>
      </c>
      <c r="CP360" s="10" t="b">
        <f t="shared" si="134"/>
        <v>1</v>
      </c>
      <c r="CQ360" s="10" t="b">
        <f t="shared" si="135"/>
        <v>1</v>
      </c>
      <c r="CR360" s="10" cm="1">
        <f t="array" ref="CR360">_xlfn.IFS(AND($CI360=0, CK360=FALSE), NA(), AND($CI360=1, CK360=FALSE), 0, CK360=TRUE, 1)</f>
        <v>1</v>
      </c>
      <c r="CS360" s="10" cm="1">
        <f t="array" ref="CS360">_xlfn.IFS(AND($CI360=0, CL360=FALSE), NA(), AND($CI360=1, CL360=FALSE), 0, CL360=TRUE, 1)</f>
        <v>1</v>
      </c>
      <c r="CT360" s="10" cm="1">
        <f t="array" ref="CT360">_xlfn.IFS(AND($CI360=0, CM360=FALSE), NA(), AND($CI360=1, CM360=FALSE), 0, CM360=TRUE, 1)</f>
        <v>1</v>
      </c>
      <c r="CU360" s="10" cm="1">
        <f t="array" ref="CU360">_xlfn.IFS(AND($CN360=0, CP360=FALSE), NA(), AND($CN360=1, CP360=FALSE), 0, CP360=TRUE, 1)</f>
        <v>1</v>
      </c>
      <c r="CV360" s="10" cm="1">
        <f t="array" ref="CV360">_xlfn.IFS(AND($CN360=0, CQ360=FALSE), NA(), AND($CN360=1, CQ360=FALSE), 0, CQ360=TRUE, 1)</f>
        <v>1</v>
      </c>
    </row>
    <row r="361" spans="1:100" ht="15.75" x14ac:dyDescent="0.25">
      <c r="A361" s="8">
        <v>360</v>
      </c>
      <c r="B361" s="9">
        <v>7</v>
      </c>
      <c r="C361" s="10" t="s">
        <v>3</v>
      </c>
      <c r="D361" s="11" t="s">
        <v>43</v>
      </c>
      <c r="E361" s="12">
        <v>18964</v>
      </c>
      <c r="F361" s="13">
        <v>1</v>
      </c>
      <c r="G361" s="9">
        <v>63.775497436523438</v>
      </c>
      <c r="H361" s="12">
        <v>42258</v>
      </c>
      <c r="I361" s="9">
        <v>1</v>
      </c>
      <c r="J361" s="12">
        <v>42258</v>
      </c>
      <c r="K361" s="9">
        <v>0</v>
      </c>
      <c r="L361" s="9">
        <v>1</v>
      </c>
      <c r="M361" s="10" t="s">
        <v>401</v>
      </c>
      <c r="N361" s="9">
        <v>2</v>
      </c>
      <c r="O361" s="10" t="s">
        <v>147</v>
      </c>
      <c r="P361" s="9">
        <v>2</v>
      </c>
      <c r="Q361" s="10" t="s">
        <v>147</v>
      </c>
      <c r="R361" s="12">
        <v>43167</v>
      </c>
      <c r="S361" s="10" t="s">
        <v>145</v>
      </c>
      <c r="T361" s="9"/>
      <c r="U361" s="10" t="s">
        <v>401</v>
      </c>
      <c r="V361" s="10" t="s">
        <v>401</v>
      </c>
      <c r="W361" s="9"/>
      <c r="X361" s="9"/>
      <c r="Y361" s="9">
        <v>2</v>
      </c>
      <c r="Z361" s="14">
        <v>1</v>
      </c>
      <c r="AA361" s="15">
        <v>8.1</v>
      </c>
      <c r="AB361" s="16">
        <v>101.5</v>
      </c>
      <c r="AC361" s="9"/>
      <c r="AD361" s="9">
        <v>3</v>
      </c>
      <c r="AE361" s="9">
        <v>2</v>
      </c>
      <c r="AF361" s="9">
        <v>1</v>
      </c>
      <c r="AG361" s="9">
        <v>1</v>
      </c>
      <c r="AH361" s="9">
        <v>1</v>
      </c>
      <c r="AI361" s="9">
        <v>1</v>
      </c>
      <c r="AJ361" s="12">
        <v>43511</v>
      </c>
      <c r="AK361" s="9">
        <v>2</v>
      </c>
      <c r="AL361" s="12">
        <v>43525</v>
      </c>
      <c r="AM361" s="9">
        <v>4</v>
      </c>
      <c r="AN361" s="12">
        <v>43553</v>
      </c>
      <c r="AO361" s="12">
        <v>43553</v>
      </c>
      <c r="AP361" s="12">
        <v>43553</v>
      </c>
      <c r="AQ361" s="9">
        <v>1</v>
      </c>
      <c r="AR361" s="9">
        <f t="shared" si="125"/>
        <v>1</v>
      </c>
      <c r="AS361" s="9">
        <v>1</v>
      </c>
      <c r="AT361" s="9">
        <v>2</v>
      </c>
      <c r="AU361" s="9">
        <v>2</v>
      </c>
      <c r="AV361" s="9">
        <f t="shared" si="126"/>
        <v>1</v>
      </c>
      <c r="AW361" s="12">
        <v>43644</v>
      </c>
      <c r="AX361" s="9">
        <v>6140</v>
      </c>
      <c r="AY361" s="9">
        <v>3820</v>
      </c>
      <c r="AZ361" s="9">
        <v>1080</v>
      </c>
      <c r="BA361" s="9">
        <v>3820</v>
      </c>
      <c r="BB361" s="9">
        <v>1080.0001220703125</v>
      </c>
      <c r="BC361" s="9">
        <v>413000</v>
      </c>
      <c r="BD361" s="9">
        <v>1150</v>
      </c>
      <c r="BE361" s="9">
        <v>80</v>
      </c>
      <c r="BF361" s="9"/>
      <c r="BG361" s="9">
        <v>5780</v>
      </c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10" t="s">
        <v>401</v>
      </c>
      <c r="CA361" s="9"/>
      <c r="CB361" s="9"/>
      <c r="CC361" s="10">
        <f t="shared" si="127"/>
        <v>3.5370366372526227</v>
      </c>
      <c r="CD361" s="10">
        <f t="shared" si="128"/>
        <v>382.40736418464218</v>
      </c>
      <c r="CE361" s="10">
        <f t="shared" si="141"/>
        <v>1460796.1311853332</v>
      </c>
      <c r="CF361" s="10">
        <f t="shared" si="142"/>
        <v>0</v>
      </c>
      <c r="CG361" s="10">
        <f t="shared" si="122"/>
        <v>0</v>
      </c>
      <c r="CH361" s="10">
        <f t="shared" si="123"/>
        <v>1</v>
      </c>
      <c r="CI361" s="9">
        <f t="shared" si="129"/>
        <v>1</v>
      </c>
      <c r="CJ361" s="10">
        <f t="shared" si="124"/>
        <v>4</v>
      </c>
      <c r="CK361" s="10" t="b">
        <f t="shared" si="130"/>
        <v>0</v>
      </c>
      <c r="CL361" s="10" t="b">
        <f t="shared" si="131"/>
        <v>0</v>
      </c>
      <c r="CM361" s="10" t="b">
        <f t="shared" si="132"/>
        <v>0</v>
      </c>
      <c r="CN361" s="9">
        <f t="shared" si="133"/>
        <v>1</v>
      </c>
      <c r="CO361" s="10">
        <f t="shared" ref="CO361:CO374" si="143">(YEAR(AO361)-YEAR(AJ361))*12+MONTH(AO361)-MONTH(AJ361)</f>
        <v>1</v>
      </c>
      <c r="CP361" s="10" t="b">
        <f t="shared" si="134"/>
        <v>0</v>
      </c>
      <c r="CQ361" s="10" t="b">
        <f t="shared" si="135"/>
        <v>0</v>
      </c>
      <c r="CR361" s="10" cm="1">
        <f t="array" ref="CR361">_xlfn.IFS(AND($CI361=0, CK361=FALSE), NA(), AND($CI361=1, CK361=FALSE), 0, CK361=TRUE, 1)</f>
        <v>0</v>
      </c>
      <c r="CS361" s="10" cm="1">
        <f t="array" ref="CS361">_xlfn.IFS(AND($CI361=0, CL361=FALSE), NA(), AND($CI361=1, CL361=FALSE), 0, CL361=TRUE, 1)</f>
        <v>0</v>
      </c>
      <c r="CT361" s="10" cm="1">
        <f t="array" ref="CT361">_xlfn.IFS(AND($CI361=0, CM361=FALSE), NA(), AND($CI361=1, CM361=FALSE), 0, CM361=TRUE, 1)</f>
        <v>0</v>
      </c>
      <c r="CU361" s="10" cm="1">
        <f t="array" ref="CU361">_xlfn.IFS(AND($CN361=0, CP361=FALSE), NA(), AND($CN361=1, CP361=FALSE), 0, CP361=TRUE, 1)</f>
        <v>0</v>
      </c>
      <c r="CV361" s="10" cm="1">
        <f t="array" ref="CV361">_xlfn.IFS(AND($CN361=0, CQ361=FALSE), NA(), AND($CN361=1, CQ361=FALSE), 0, CQ361=TRUE, 1)</f>
        <v>0</v>
      </c>
    </row>
    <row r="362" spans="1:100" ht="15.75" x14ac:dyDescent="0.25">
      <c r="A362" s="8">
        <v>361</v>
      </c>
      <c r="B362" s="9">
        <v>424</v>
      </c>
      <c r="C362" s="10" t="s">
        <v>29</v>
      </c>
      <c r="D362" s="11" t="s">
        <v>336</v>
      </c>
      <c r="E362" s="12">
        <v>20296</v>
      </c>
      <c r="F362" s="13">
        <v>1</v>
      </c>
      <c r="G362" s="9">
        <v>60.167007446289063</v>
      </c>
      <c r="H362" s="12">
        <v>42272</v>
      </c>
      <c r="I362" s="9">
        <v>1</v>
      </c>
      <c r="J362" s="12">
        <v>42272</v>
      </c>
      <c r="K362" s="9">
        <v>0</v>
      </c>
      <c r="L362" s="9">
        <v>1</v>
      </c>
      <c r="M362" s="10" t="s">
        <v>401</v>
      </c>
      <c r="N362" s="9">
        <v>2</v>
      </c>
      <c r="O362" s="10" t="s">
        <v>145</v>
      </c>
      <c r="P362" s="9">
        <v>2</v>
      </c>
      <c r="Q362" s="10" t="s">
        <v>145</v>
      </c>
      <c r="R362" s="12">
        <v>42565</v>
      </c>
      <c r="S362" s="10" t="s">
        <v>145</v>
      </c>
      <c r="T362" s="9"/>
      <c r="U362" s="10" t="s">
        <v>401</v>
      </c>
      <c r="V362" s="10" t="s">
        <v>401</v>
      </c>
      <c r="W362" s="9"/>
      <c r="X362" s="9"/>
      <c r="Y362" s="9">
        <v>2</v>
      </c>
      <c r="Z362" s="14">
        <v>1</v>
      </c>
      <c r="AA362" s="17">
        <v>10.7</v>
      </c>
      <c r="AB362" s="18">
        <v>88</v>
      </c>
      <c r="AC362" s="18"/>
      <c r="AD362" s="9">
        <v>2</v>
      </c>
      <c r="AE362" s="9">
        <v>2</v>
      </c>
      <c r="AF362" s="9">
        <v>1</v>
      </c>
      <c r="AG362" s="9">
        <v>0</v>
      </c>
      <c r="AH362" s="9">
        <v>1</v>
      </c>
      <c r="AI362" s="9">
        <v>0</v>
      </c>
      <c r="AJ362" s="12">
        <v>42920</v>
      </c>
      <c r="AK362" s="9">
        <v>2</v>
      </c>
      <c r="AL362" s="12">
        <v>42976</v>
      </c>
      <c r="AM362" s="9">
        <v>4</v>
      </c>
      <c r="AN362" s="12">
        <v>42990</v>
      </c>
      <c r="AO362" s="12">
        <v>42990</v>
      </c>
      <c r="AP362" s="12">
        <v>42990</v>
      </c>
      <c r="AQ362" s="9">
        <v>1</v>
      </c>
      <c r="AR362" s="9">
        <f t="shared" si="125"/>
        <v>1</v>
      </c>
      <c r="AS362" s="9">
        <v>1</v>
      </c>
      <c r="AT362" s="9">
        <v>2</v>
      </c>
      <c r="AU362" s="9">
        <v>2</v>
      </c>
      <c r="AV362" s="9">
        <f t="shared" si="126"/>
        <v>1</v>
      </c>
      <c r="AW362" s="12">
        <v>43000</v>
      </c>
      <c r="AX362" s="9">
        <v>6380</v>
      </c>
      <c r="AY362" s="9">
        <v>3360</v>
      </c>
      <c r="AZ362" s="9">
        <v>2400</v>
      </c>
      <c r="BA362" s="9">
        <v>3360</v>
      </c>
      <c r="BB362" s="9">
        <v>2400.000244140625</v>
      </c>
      <c r="BC362" s="9">
        <v>421000</v>
      </c>
      <c r="BD362" s="9">
        <v>430</v>
      </c>
      <c r="BE362" s="9">
        <v>180</v>
      </c>
      <c r="BF362" s="9"/>
      <c r="BG362" s="9">
        <v>13700</v>
      </c>
      <c r="BH362" s="9">
        <v>1167</v>
      </c>
      <c r="BI362" s="9">
        <v>1050</v>
      </c>
      <c r="BJ362" s="9">
        <v>748000</v>
      </c>
      <c r="BK362" s="9">
        <v>950</v>
      </c>
      <c r="BL362" s="9">
        <v>0</v>
      </c>
      <c r="BM362" s="9"/>
      <c r="BN362" s="9">
        <v>11670</v>
      </c>
      <c r="BO362" s="9">
        <v>9360</v>
      </c>
      <c r="BP362" s="9">
        <v>1690</v>
      </c>
      <c r="BQ362" s="9">
        <v>436000</v>
      </c>
      <c r="BR362" s="9">
        <v>570</v>
      </c>
      <c r="BS362" s="9">
        <v>40</v>
      </c>
      <c r="BT362" s="9"/>
      <c r="BU362" s="9">
        <v>11700</v>
      </c>
      <c r="BV362" s="9">
        <v>8350</v>
      </c>
      <c r="BW362" s="9">
        <v>2180</v>
      </c>
      <c r="BX362" s="9">
        <v>265000</v>
      </c>
      <c r="BY362" s="9">
        <v>1240</v>
      </c>
      <c r="BZ362" s="10" t="s">
        <v>442</v>
      </c>
      <c r="CA362" s="9">
        <v>0</v>
      </c>
      <c r="CB362" s="9"/>
      <c r="CC362" s="10">
        <f t="shared" si="127"/>
        <v>1.39999985758465</v>
      </c>
      <c r="CD362" s="10">
        <f t="shared" si="128"/>
        <v>175.41664882236239</v>
      </c>
      <c r="CE362" s="10">
        <f t="shared" si="141"/>
        <v>589399.94004313764</v>
      </c>
      <c r="CF362" s="10">
        <f t="shared" si="142"/>
        <v>0</v>
      </c>
      <c r="CG362" s="10">
        <f t="shared" si="122"/>
        <v>0</v>
      </c>
      <c r="CH362" s="10">
        <f t="shared" si="123"/>
        <v>1</v>
      </c>
      <c r="CI362" s="9">
        <f t="shared" si="129"/>
        <v>1</v>
      </c>
      <c r="CJ362" s="10">
        <f t="shared" si="124"/>
        <v>2</v>
      </c>
      <c r="CK362" s="10" t="b">
        <f t="shared" si="130"/>
        <v>0</v>
      </c>
      <c r="CL362" s="10" t="b">
        <f t="shared" si="131"/>
        <v>0</v>
      </c>
      <c r="CM362" s="10" t="b">
        <f t="shared" si="132"/>
        <v>0</v>
      </c>
      <c r="CN362" s="9">
        <f t="shared" si="133"/>
        <v>1</v>
      </c>
      <c r="CO362" s="10">
        <f t="shared" si="143"/>
        <v>2</v>
      </c>
      <c r="CP362" s="10" t="b">
        <f t="shared" si="134"/>
        <v>0</v>
      </c>
      <c r="CQ362" s="10" t="b">
        <f t="shared" si="135"/>
        <v>0</v>
      </c>
      <c r="CR362" s="10" cm="1">
        <f t="array" ref="CR362">_xlfn.IFS(AND($CI362=0, CK362=FALSE), NA(), AND($CI362=1, CK362=FALSE), 0, CK362=TRUE, 1)</f>
        <v>0</v>
      </c>
      <c r="CS362" s="10" cm="1">
        <f t="array" ref="CS362">_xlfn.IFS(AND($CI362=0, CL362=FALSE), NA(), AND($CI362=1, CL362=FALSE), 0, CL362=TRUE, 1)</f>
        <v>0</v>
      </c>
      <c r="CT362" s="10" cm="1">
        <f t="array" ref="CT362">_xlfn.IFS(AND($CI362=0, CM362=FALSE), NA(), AND($CI362=1, CM362=FALSE), 0, CM362=TRUE, 1)</f>
        <v>0</v>
      </c>
      <c r="CU362" s="10" cm="1">
        <f t="array" ref="CU362">_xlfn.IFS(AND($CN362=0, CP362=FALSE), NA(), AND($CN362=1, CP362=FALSE), 0, CP362=TRUE, 1)</f>
        <v>0</v>
      </c>
      <c r="CV362" s="10" cm="1">
        <f t="array" ref="CV362">_xlfn.IFS(AND($CN362=0, CQ362=FALSE), NA(), AND($CN362=1, CQ362=FALSE), 0, CQ362=TRUE, 1)</f>
        <v>0</v>
      </c>
    </row>
    <row r="363" spans="1:100" ht="15.75" x14ac:dyDescent="0.25">
      <c r="A363" s="8">
        <v>362</v>
      </c>
      <c r="B363" s="9">
        <v>177</v>
      </c>
      <c r="C363" s="10" t="s">
        <v>17</v>
      </c>
      <c r="D363" s="11" t="s">
        <v>187</v>
      </c>
      <c r="E363" s="12">
        <v>18131</v>
      </c>
      <c r="F363" s="13">
        <v>1</v>
      </c>
      <c r="G363" s="9">
        <v>66.14373779296875</v>
      </c>
      <c r="H363" s="12">
        <v>42290</v>
      </c>
      <c r="I363" s="9">
        <v>1</v>
      </c>
      <c r="J363" s="12">
        <v>42290</v>
      </c>
      <c r="K363" s="9">
        <v>1</v>
      </c>
      <c r="L363" s="9">
        <v>1</v>
      </c>
      <c r="M363" s="10" t="s">
        <v>401</v>
      </c>
      <c r="N363" s="9">
        <v>2</v>
      </c>
      <c r="O363" s="10" t="s">
        <v>145</v>
      </c>
      <c r="P363" s="9">
        <v>2</v>
      </c>
      <c r="Q363" s="10" t="s">
        <v>145</v>
      </c>
      <c r="R363" s="12">
        <v>42262</v>
      </c>
      <c r="S363" s="10" t="s">
        <v>145</v>
      </c>
      <c r="T363" s="9"/>
      <c r="U363" s="10" t="s">
        <v>401</v>
      </c>
      <c r="V363" s="10" t="s">
        <v>401</v>
      </c>
      <c r="W363" s="9"/>
      <c r="X363" s="9"/>
      <c r="Y363" s="9">
        <v>2</v>
      </c>
      <c r="Z363" s="14">
        <v>1</v>
      </c>
      <c r="AA363" s="15">
        <v>11.8</v>
      </c>
      <c r="AB363" s="16">
        <v>95</v>
      </c>
      <c r="AC363" s="16">
        <v>17</v>
      </c>
      <c r="AD363" s="9">
        <v>2</v>
      </c>
      <c r="AE363" s="9">
        <v>2</v>
      </c>
      <c r="AF363" s="9">
        <v>1</v>
      </c>
      <c r="AG363" s="9">
        <v>1</v>
      </c>
      <c r="AH363" s="9">
        <v>1</v>
      </c>
      <c r="AI363" s="9">
        <v>1</v>
      </c>
      <c r="AJ363" s="12">
        <v>43158</v>
      </c>
      <c r="AK363" s="9">
        <v>2</v>
      </c>
      <c r="AL363" s="12">
        <v>43207</v>
      </c>
      <c r="AM363" s="9">
        <v>4</v>
      </c>
      <c r="AN363" s="12">
        <v>43217</v>
      </c>
      <c r="AO363" s="12">
        <v>43217</v>
      </c>
      <c r="AP363" s="12">
        <v>43217</v>
      </c>
      <c r="AQ363" s="9">
        <v>1</v>
      </c>
      <c r="AR363" s="9">
        <f t="shared" si="125"/>
        <v>1</v>
      </c>
      <c r="AS363" s="9">
        <v>1</v>
      </c>
      <c r="AT363" s="9">
        <v>2</v>
      </c>
      <c r="AU363" s="9">
        <v>2</v>
      </c>
      <c r="AV363" s="9">
        <f t="shared" si="126"/>
        <v>1</v>
      </c>
      <c r="AW363" s="12">
        <v>43268</v>
      </c>
      <c r="AX363" s="9">
        <v>7720</v>
      </c>
      <c r="AY363" s="9">
        <v>6600</v>
      </c>
      <c r="AZ363" s="9">
        <v>500</v>
      </c>
      <c r="BA363" s="9">
        <v>6600</v>
      </c>
      <c r="BB363" s="9">
        <v>500.00006103515625</v>
      </c>
      <c r="BC363" s="9">
        <v>308000</v>
      </c>
      <c r="BD363" s="9">
        <v>600</v>
      </c>
      <c r="BE363" s="9">
        <v>0</v>
      </c>
      <c r="BF363" s="9"/>
      <c r="BG363" s="9">
        <v>6290</v>
      </c>
      <c r="BH363" s="9">
        <v>5400</v>
      </c>
      <c r="BI363" s="9">
        <v>400</v>
      </c>
      <c r="BJ363" s="9">
        <v>380000</v>
      </c>
      <c r="BK363" s="9">
        <v>500</v>
      </c>
      <c r="BL363" s="9">
        <v>0</v>
      </c>
      <c r="BM363" s="9"/>
      <c r="BN363" s="9">
        <v>4860</v>
      </c>
      <c r="BO363" s="9">
        <v>3800</v>
      </c>
      <c r="BP363" s="9">
        <v>400</v>
      </c>
      <c r="BQ363" s="9">
        <v>318000</v>
      </c>
      <c r="BR363" s="9">
        <v>600</v>
      </c>
      <c r="BS363" s="9">
        <v>0</v>
      </c>
      <c r="BT363" s="9"/>
      <c r="BU363" s="9">
        <v>5320</v>
      </c>
      <c r="BV363" s="9">
        <v>4300</v>
      </c>
      <c r="BW363" s="9">
        <v>300</v>
      </c>
      <c r="BX363" s="9">
        <v>350000</v>
      </c>
      <c r="BY363" s="9">
        <v>600</v>
      </c>
      <c r="BZ363" s="10" t="s">
        <v>442</v>
      </c>
      <c r="CA363" s="9">
        <v>0</v>
      </c>
      <c r="CB363" s="9"/>
      <c r="CC363" s="10">
        <f t="shared" si="127"/>
        <v>13.199998388672071</v>
      </c>
      <c r="CD363" s="10">
        <f t="shared" si="128"/>
        <v>615.99992480469666</v>
      </c>
      <c r="CE363" s="10">
        <f t="shared" si="141"/>
        <v>4065599.5037109978</v>
      </c>
      <c r="CF363" s="10">
        <f t="shared" si="142"/>
        <v>0</v>
      </c>
      <c r="CG363" s="10">
        <f t="shared" si="122"/>
        <v>0</v>
      </c>
      <c r="CH363" s="10">
        <f t="shared" si="123"/>
        <v>2</v>
      </c>
      <c r="CI363" s="9">
        <f t="shared" si="129"/>
        <v>1</v>
      </c>
      <c r="CJ363" s="10">
        <f t="shared" si="124"/>
        <v>4</v>
      </c>
      <c r="CK363" s="10" t="b">
        <f t="shared" si="130"/>
        <v>0</v>
      </c>
      <c r="CL363" s="10" t="b">
        <f t="shared" si="131"/>
        <v>0</v>
      </c>
      <c r="CM363" s="10" t="b">
        <f t="shared" si="132"/>
        <v>0</v>
      </c>
      <c r="CN363" s="9">
        <f t="shared" si="133"/>
        <v>1</v>
      </c>
      <c r="CO363" s="10">
        <f t="shared" si="143"/>
        <v>2</v>
      </c>
      <c r="CP363" s="10" t="b">
        <f t="shared" si="134"/>
        <v>0</v>
      </c>
      <c r="CQ363" s="10" t="b">
        <f t="shared" si="135"/>
        <v>0</v>
      </c>
      <c r="CR363" s="10" cm="1">
        <f t="array" ref="CR363">_xlfn.IFS(AND($CI363=0, CK363=FALSE), NA(), AND($CI363=1, CK363=FALSE), 0, CK363=TRUE, 1)</f>
        <v>0</v>
      </c>
      <c r="CS363" s="10" cm="1">
        <f t="array" ref="CS363">_xlfn.IFS(AND($CI363=0, CL363=FALSE), NA(), AND($CI363=1, CL363=FALSE), 0, CL363=TRUE, 1)</f>
        <v>0</v>
      </c>
      <c r="CT363" s="10" cm="1">
        <f t="array" ref="CT363">_xlfn.IFS(AND($CI363=0, CM363=FALSE), NA(), AND($CI363=1, CM363=FALSE), 0, CM363=TRUE, 1)</f>
        <v>0</v>
      </c>
      <c r="CU363" s="10" cm="1">
        <f t="array" ref="CU363">_xlfn.IFS(AND($CN363=0, CP363=FALSE), NA(), AND($CN363=1, CP363=FALSE), 0, CP363=TRUE, 1)</f>
        <v>0</v>
      </c>
      <c r="CV363" s="10" cm="1">
        <f t="array" ref="CV363">_xlfn.IFS(AND($CN363=0, CQ363=FALSE), NA(), AND($CN363=1, CQ363=FALSE), 0, CQ363=TRUE, 1)</f>
        <v>0</v>
      </c>
    </row>
    <row r="364" spans="1:100" ht="15.75" x14ac:dyDescent="0.25">
      <c r="A364" s="8">
        <v>363</v>
      </c>
      <c r="B364" s="9">
        <v>140</v>
      </c>
      <c r="C364" s="10" t="s">
        <v>16</v>
      </c>
      <c r="D364" s="11" t="s">
        <v>179</v>
      </c>
      <c r="E364" s="12">
        <v>21466</v>
      </c>
      <c r="F364" s="13">
        <v>2</v>
      </c>
      <c r="G364" s="9">
        <v>57.034908294677734</v>
      </c>
      <c r="H364" s="12">
        <v>42298</v>
      </c>
      <c r="I364" s="9">
        <v>1</v>
      </c>
      <c r="J364" s="12">
        <v>42298</v>
      </c>
      <c r="K364" s="9">
        <v>1</v>
      </c>
      <c r="L364" s="9">
        <v>1</v>
      </c>
      <c r="M364" s="10" t="s">
        <v>401</v>
      </c>
      <c r="N364" s="9">
        <v>2</v>
      </c>
      <c r="O364" s="10" t="s">
        <v>421</v>
      </c>
      <c r="P364" s="9">
        <v>2</v>
      </c>
      <c r="Q364" s="10" t="s">
        <v>421</v>
      </c>
      <c r="R364" s="12">
        <v>42298</v>
      </c>
      <c r="S364" s="10" t="s">
        <v>146</v>
      </c>
      <c r="T364" s="9"/>
      <c r="U364" s="10" t="s">
        <v>401</v>
      </c>
      <c r="V364" s="10" t="s">
        <v>401</v>
      </c>
      <c r="W364" s="9"/>
      <c r="X364" s="9"/>
      <c r="Y364" s="9">
        <v>2</v>
      </c>
      <c r="Z364" s="14">
        <v>2</v>
      </c>
      <c r="AA364" s="15">
        <v>15.2</v>
      </c>
      <c r="AB364" s="16">
        <v>100</v>
      </c>
      <c r="AC364" s="16">
        <v>14</v>
      </c>
      <c r="AD364" s="9">
        <v>3</v>
      </c>
      <c r="AE364" s="9">
        <v>2</v>
      </c>
      <c r="AF364" s="9">
        <v>2</v>
      </c>
      <c r="AG364" s="9">
        <v>0</v>
      </c>
      <c r="AH364" s="9">
        <v>0</v>
      </c>
      <c r="AI364" s="9">
        <v>1</v>
      </c>
      <c r="AJ364" s="12">
        <v>42893</v>
      </c>
      <c r="AK364" s="9">
        <v>2</v>
      </c>
      <c r="AL364" s="12">
        <v>42963</v>
      </c>
      <c r="AM364" s="9">
        <v>4</v>
      </c>
      <c r="AN364" s="12">
        <v>42972</v>
      </c>
      <c r="AO364" s="12">
        <v>42972</v>
      </c>
      <c r="AP364" s="12">
        <v>42972</v>
      </c>
      <c r="AQ364" s="9">
        <v>1</v>
      </c>
      <c r="AR364" s="9">
        <f t="shared" si="125"/>
        <v>1</v>
      </c>
      <c r="AS364" s="9">
        <v>1</v>
      </c>
      <c r="AT364" s="9">
        <v>2</v>
      </c>
      <c r="AU364" s="9">
        <v>2</v>
      </c>
      <c r="AV364" s="9">
        <f t="shared" si="126"/>
        <v>1</v>
      </c>
      <c r="AW364" s="12">
        <v>43290</v>
      </c>
      <c r="AX364" s="9">
        <v>5240</v>
      </c>
      <c r="AY364" s="9">
        <v>3400</v>
      </c>
      <c r="AZ364" s="9"/>
      <c r="BA364" s="9">
        <v>3400</v>
      </c>
      <c r="BB364" s="9">
        <v>1048.5048828125</v>
      </c>
      <c r="BC364" s="9">
        <v>124000</v>
      </c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10" t="s">
        <v>401</v>
      </c>
      <c r="CA364" s="9"/>
      <c r="CB364" s="9"/>
      <c r="CC364" s="10">
        <f t="shared" si="127"/>
        <v>3.2427126050952388</v>
      </c>
      <c r="CD364" s="10">
        <f t="shared" si="128"/>
        <v>118.26363618582636</v>
      </c>
      <c r="CE364" s="10">
        <f t="shared" si="141"/>
        <v>402096.36303180963</v>
      </c>
      <c r="CF364" s="10">
        <f t="shared" si="142"/>
        <v>0</v>
      </c>
      <c r="CG364" s="10">
        <f t="shared" si="122"/>
        <v>0</v>
      </c>
      <c r="CH364" s="10">
        <f t="shared" si="123"/>
        <v>2</v>
      </c>
      <c r="CI364" s="9">
        <f t="shared" si="129"/>
        <v>1</v>
      </c>
      <c r="CJ364" s="10">
        <f t="shared" si="124"/>
        <v>13</v>
      </c>
      <c r="CK364" s="10" t="b">
        <f t="shared" si="130"/>
        <v>1</v>
      </c>
      <c r="CL364" s="10" t="b">
        <f t="shared" si="131"/>
        <v>0</v>
      </c>
      <c r="CM364" s="10" t="b">
        <f t="shared" si="132"/>
        <v>0</v>
      </c>
      <c r="CN364" s="9">
        <f t="shared" si="133"/>
        <v>1</v>
      </c>
      <c r="CO364" s="10">
        <f t="shared" si="143"/>
        <v>2</v>
      </c>
      <c r="CP364" s="10" t="b">
        <f t="shared" si="134"/>
        <v>0</v>
      </c>
      <c r="CQ364" s="10" t="b">
        <f t="shared" si="135"/>
        <v>0</v>
      </c>
      <c r="CR364" s="10" cm="1">
        <f t="array" ref="CR364">_xlfn.IFS(AND($CI364=0, CK364=FALSE), NA(), AND($CI364=1, CK364=FALSE), 0, CK364=TRUE, 1)</f>
        <v>1</v>
      </c>
      <c r="CS364" s="10" cm="1">
        <f t="array" ref="CS364">_xlfn.IFS(AND($CI364=0, CL364=FALSE), NA(), AND($CI364=1, CL364=FALSE), 0, CL364=TRUE, 1)</f>
        <v>0</v>
      </c>
      <c r="CT364" s="10" cm="1">
        <f t="array" ref="CT364">_xlfn.IFS(AND($CI364=0, CM364=FALSE), NA(), AND($CI364=1, CM364=FALSE), 0, CM364=TRUE, 1)</f>
        <v>0</v>
      </c>
      <c r="CU364" s="10" cm="1">
        <f t="array" ref="CU364">_xlfn.IFS(AND($CN364=0, CP364=FALSE), NA(), AND($CN364=1, CP364=FALSE), 0, CP364=TRUE, 1)</f>
        <v>0</v>
      </c>
      <c r="CV364" s="10" cm="1">
        <f t="array" ref="CV364">_xlfn.IFS(AND($CN364=0, CQ364=FALSE), NA(), AND($CN364=1, CQ364=FALSE), 0, CQ364=TRUE, 1)</f>
        <v>0</v>
      </c>
    </row>
    <row r="365" spans="1:100" ht="15.75" x14ac:dyDescent="0.25">
      <c r="A365" s="8">
        <v>364</v>
      </c>
      <c r="B365" s="9">
        <v>555</v>
      </c>
      <c r="C365" s="10" t="s">
        <v>35</v>
      </c>
      <c r="D365" s="11" t="s">
        <v>63</v>
      </c>
      <c r="E365" s="12">
        <v>18802</v>
      </c>
      <c r="F365" s="13">
        <v>1</v>
      </c>
      <c r="G365" s="9">
        <v>64.347709655761719</v>
      </c>
      <c r="H365" s="12">
        <v>42305</v>
      </c>
      <c r="I365" s="9">
        <v>1</v>
      </c>
      <c r="J365" s="12">
        <v>42305</v>
      </c>
      <c r="K365" s="9">
        <v>0</v>
      </c>
      <c r="L365" s="9">
        <v>1</v>
      </c>
      <c r="M365" s="10" t="s">
        <v>401</v>
      </c>
      <c r="N365" s="9">
        <v>2</v>
      </c>
      <c r="O365" s="10" t="s">
        <v>145</v>
      </c>
      <c r="P365" s="9">
        <v>2</v>
      </c>
      <c r="Q365" s="10" t="s">
        <v>145</v>
      </c>
      <c r="R365" s="12">
        <v>42383</v>
      </c>
      <c r="S365" s="10" t="s">
        <v>146</v>
      </c>
      <c r="T365" s="9"/>
      <c r="U365" s="10" t="s">
        <v>401</v>
      </c>
      <c r="V365" s="10" t="s">
        <v>401</v>
      </c>
      <c r="W365" s="9"/>
      <c r="X365" s="9"/>
      <c r="Y365" s="9">
        <v>2</v>
      </c>
      <c r="Z365" s="14">
        <v>2</v>
      </c>
      <c r="AA365" s="17">
        <v>14.6</v>
      </c>
      <c r="AB365" s="18">
        <v>99</v>
      </c>
      <c r="AC365" s="9"/>
      <c r="AD365" s="9">
        <v>2</v>
      </c>
      <c r="AE365" s="9">
        <v>2</v>
      </c>
      <c r="AF365" s="9">
        <v>1</v>
      </c>
      <c r="AG365" s="9">
        <v>1</v>
      </c>
      <c r="AH365" s="9">
        <v>1</v>
      </c>
      <c r="AI365" s="9">
        <v>0</v>
      </c>
      <c r="AJ365" s="12">
        <v>43130</v>
      </c>
      <c r="AK365" s="9">
        <v>2</v>
      </c>
      <c r="AL365" s="12">
        <v>43648</v>
      </c>
      <c r="AM365" s="9">
        <v>2</v>
      </c>
      <c r="AN365" s="12">
        <v>43208</v>
      </c>
      <c r="AO365" s="12">
        <v>43406</v>
      </c>
      <c r="AP365" s="12">
        <v>43406</v>
      </c>
      <c r="AQ365" s="9">
        <v>1</v>
      </c>
      <c r="AR365" s="9">
        <f t="shared" si="125"/>
        <v>1</v>
      </c>
      <c r="AS365" s="9">
        <v>1</v>
      </c>
      <c r="AT365" s="9">
        <v>2</v>
      </c>
      <c r="AU365" s="9">
        <v>2</v>
      </c>
      <c r="AV365" s="9">
        <f t="shared" si="126"/>
        <v>1</v>
      </c>
      <c r="AW365" s="12">
        <v>43730</v>
      </c>
      <c r="AX365" s="9">
        <v>5200</v>
      </c>
      <c r="AY365" s="9">
        <v>3120</v>
      </c>
      <c r="AZ365" s="9">
        <v>1550</v>
      </c>
      <c r="BA365" s="9">
        <v>3120</v>
      </c>
      <c r="BB365" s="9">
        <v>1550</v>
      </c>
      <c r="BC365" s="9">
        <v>217000</v>
      </c>
      <c r="BD365" s="9">
        <v>430</v>
      </c>
      <c r="BE365" s="9">
        <v>80</v>
      </c>
      <c r="BF365" s="9"/>
      <c r="BG365" s="9">
        <v>7100</v>
      </c>
      <c r="BH365" s="9">
        <v>4760</v>
      </c>
      <c r="BI365" s="9">
        <v>1710</v>
      </c>
      <c r="BJ365" s="9">
        <v>243000</v>
      </c>
      <c r="BK365" s="9">
        <v>470</v>
      </c>
      <c r="BL365" s="9">
        <v>90</v>
      </c>
      <c r="BM365" s="9"/>
      <c r="BN365" s="9">
        <v>6100</v>
      </c>
      <c r="BO365" s="9">
        <v>4110</v>
      </c>
      <c r="BP365" s="9">
        <v>1430</v>
      </c>
      <c r="BQ365" s="9">
        <v>255000</v>
      </c>
      <c r="BR365" s="9">
        <v>390</v>
      </c>
      <c r="BS365" s="9">
        <v>140</v>
      </c>
      <c r="BT365" s="9"/>
      <c r="BU365" s="9">
        <v>7100</v>
      </c>
      <c r="BV365" s="9">
        <v>4650</v>
      </c>
      <c r="BW365" s="9">
        <v>1670</v>
      </c>
      <c r="BX365" s="9">
        <v>258000</v>
      </c>
      <c r="BY365" s="9">
        <v>560</v>
      </c>
      <c r="BZ365" s="10" t="s">
        <v>555</v>
      </c>
      <c r="CA365" s="9">
        <v>230</v>
      </c>
      <c r="CB365" s="9"/>
      <c r="CC365" s="10">
        <f t="shared" si="127"/>
        <v>2.0129032258064514</v>
      </c>
      <c r="CD365" s="10">
        <f t="shared" si="128"/>
        <v>140</v>
      </c>
      <c r="CE365" s="10">
        <f t="shared" si="141"/>
        <v>436799.99999999994</v>
      </c>
      <c r="CF365" s="10">
        <f t="shared" si="142"/>
        <v>1</v>
      </c>
      <c r="CG365" s="10">
        <f t="shared" si="122"/>
        <v>1</v>
      </c>
      <c r="CH365" s="10">
        <f t="shared" si="123"/>
        <v>18</v>
      </c>
      <c r="CI365" s="9">
        <f t="shared" si="129"/>
        <v>1</v>
      </c>
      <c r="CJ365" s="10">
        <f t="shared" si="124"/>
        <v>20</v>
      </c>
      <c r="CK365" s="10" t="b">
        <f t="shared" si="130"/>
        <v>1</v>
      </c>
      <c r="CL365" s="10" t="b">
        <f t="shared" si="131"/>
        <v>1</v>
      </c>
      <c r="CM365" s="10" t="b">
        <f t="shared" si="132"/>
        <v>0</v>
      </c>
      <c r="CN365" s="9">
        <f t="shared" si="133"/>
        <v>1</v>
      </c>
      <c r="CO365" s="10">
        <f t="shared" si="143"/>
        <v>10</v>
      </c>
      <c r="CP365" s="10" t="b">
        <f t="shared" si="134"/>
        <v>1</v>
      </c>
      <c r="CQ365" s="10" t="b">
        <f t="shared" si="135"/>
        <v>1</v>
      </c>
      <c r="CR365" s="10" cm="1">
        <f t="array" ref="CR365">_xlfn.IFS(AND($CI365=0, CK365=FALSE), NA(), AND($CI365=1, CK365=FALSE), 0, CK365=TRUE, 1)</f>
        <v>1</v>
      </c>
      <c r="CS365" s="10" cm="1">
        <f t="array" ref="CS365">_xlfn.IFS(AND($CI365=0, CL365=FALSE), NA(), AND($CI365=1, CL365=FALSE), 0, CL365=TRUE, 1)</f>
        <v>1</v>
      </c>
      <c r="CT365" s="10" cm="1">
        <f t="array" ref="CT365">_xlfn.IFS(AND($CI365=0, CM365=FALSE), NA(), AND($CI365=1, CM365=FALSE), 0, CM365=TRUE, 1)</f>
        <v>0</v>
      </c>
      <c r="CU365" s="10" cm="1">
        <f t="array" ref="CU365">_xlfn.IFS(AND($CN365=0, CP365=FALSE), NA(), AND($CN365=1, CP365=FALSE), 0, CP365=TRUE, 1)</f>
        <v>1</v>
      </c>
      <c r="CV365" s="10" cm="1">
        <f t="array" ref="CV365">_xlfn.IFS(AND($CN365=0, CQ365=FALSE), NA(), AND($CN365=1, CQ365=FALSE), 0, CQ365=TRUE, 1)</f>
        <v>1</v>
      </c>
    </row>
    <row r="366" spans="1:100" ht="15.75" x14ac:dyDescent="0.25">
      <c r="A366" s="8">
        <v>365</v>
      </c>
      <c r="B366" s="9">
        <v>414</v>
      </c>
      <c r="C366" s="10" t="s">
        <v>29</v>
      </c>
      <c r="D366" s="11" t="s">
        <v>148</v>
      </c>
      <c r="E366" s="12">
        <v>19347</v>
      </c>
      <c r="F366" s="13">
        <v>1</v>
      </c>
      <c r="G366" s="9">
        <v>62.855579376220703</v>
      </c>
      <c r="H366" s="12">
        <v>42305</v>
      </c>
      <c r="I366" s="9">
        <v>1</v>
      </c>
      <c r="J366" s="12">
        <v>42298</v>
      </c>
      <c r="K366" s="9">
        <v>0</v>
      </c>
      <c r="L366" s="9">
        <v>1</v>
      </c>
      <c r="M366" s="10" t="s">
        <v>401</v>
      </c>
      <c r="N366" s="9">
        <v>2</v>
      </c>
      <c r="O366" s="10" t="s">
        <v>145</v>
      </c>
      <c r="P366" s="9">
        <v>2</v>
      </c>
      <c r="Q366" s="10" t="s">
        <v>145</v>
      </c>
      <c r="R366" s="12">
        <v>42374</v>
      </c>
      <c r="S366" s="10" t="s">
        <v>145</v>
      </c>
      <c r="T366" s="9"/>
      <c r="U366" s="10" t="s">
        <v>401</v>
      </c>
      <c r="V366" s="10" t="s">
        <v>401</v>
      </c>
      <c r="W366" s="9"/>
      <c r="X366" s="9"/>
      <c r="Y366" s="9">
        <v>2</v>
      </c>
      <c r="Z366" s="14">
        <v>1</v>
      </c>
      <c r="AA366" s="17">
        <v>12.8</v>
      </c>
      <c r="AB366" s="18">
        <v>102</v>
      </c>
      <c r="AC366" s="18">
        <v>13</v>
      </c>
      <c r="AD366" s="9">
        <v>2</v>
      </c>
      <c r="AE366" s="9">
        <v>2</v>
      </c>
      <c r="AF366" s="9">
        <v>1</v>
      </c>
      <c r="AG366" s="9">
        <v>1</v>
      </c>
      <c r="AH366" s="9">
        <v>1</v>
      </c>
      <c r="AI366" s="9">
        <v>0</v>
      </c>
      <c r="AJ366" s="12">
        <v>43276</v>
      </c>
      <c r="AK366" s="9">
        <v>2</v>
      </c>
      <c r="AL366" s="12">
        <v>43482</v>
      </c>
      <c r="AM366" s="9">
        <v>3</v>
      </c>
      <c r="AN366" s="12">
        <v>43446</v>
      </c>
      <c r="AO366" s="12">
        <v>43487</v>
      </c>
      <c r="AP366" s="12">
        <v>43487</v>
      </c>
      <c r="AQ366" s="9">
        <v>1</v>
      </c>
      <c r="AR366" s="9">
        <f t="shared" si="125"/>
        <v>1</v>
      </c>
      <c r="AS366" s="9">
        <v>1</v>
      </c>
      <c r="AT366" s="9">
        <v>2</v>
      </c>
      <c r="AU366" s="9">
        <v>2</v>
      </c>
      <c r="AV366" s="9">
        <f t="shared" si="126"/>
        <v>1</v>
      </c>
      <c r="AW366" s="12">
        <v>44338</v>
      </c>
      <c r="AX366" s="9">
        <v>7040</v>
      </c>
      <c r="AY366" s="9">
        <v>5700</v>
      </c>
      <c r="AZ366" s="9">
        <v>630</v>
      </c>
      <c r="BA366" s="9">
        <v>5700</v>
      </c>
      <c r="BB366" s="9">
        <v>629.99993896484375</v>
      </c>
      <c r="BC366" s="9">
        <v>168000</v>
      </c>
      <c r="BD366" s="9">
        <v>560</v>
      </c>
      <c r="BE366" s="9">
        <v>70</v>
      </c>
      <c r="BF366" s="9"/>
      <c r="BG366" s="9">
        <v>9760</v>
      </c>
      <c r="BH366" s="9">
        <v>7.41</v>
      </c>
      <c r="BI366" s="9">
        <v>1464</v>
      </c>
      <c r="BJ366" s="9">
        <v>198000</v>
      </c>
      <c r="BK366" s="9">
        <v>55</v>
      </c>
      <c r="BL366" s="9">
        <v>10</v>
      </c>
      <c r="BM366" s="9"/>
      <c r="BN366" s="9">
        <v>9130</v>
      </c>
      <c r="BO366" s="9">
        <v>6620</v>
      </c>
      <c r="BP366" s="9">
        <v>1320</v>
      </c>
      <c r="BQ366" s="9">
        <v>384000</v>
      </c>
      <c r="BR366" s="9">
        <v>1050</v>
      </c>
      <c r="BS366" s="9">
        <v>100</v>
      </c>
      <c r="BT366" s="9"/>
      <c r="BU366" s="9">
        <v>7320</v>
      </c>
      <c r="BV366" s="9">
        <v>5400</v>
      </c>
      <c r="BW366" s="9">
        <v>1320</v>
      </c>
      <c r="BX366" s="9">
        <v>503000</v>
      </c>
      <c r="BY366" s="9"/>
      <c r="BZ366" s="10" t="s">
        <v>401</v>
      </c>
      <c r="CA366" s="9"/>
      <c r="CB366" s="9"/>
      <c r="CC366" s="10">
        <f t="shared" si="127"/>
        <v>9.0476199241633264</v>
      </c>
      <c r="CD366" s="10">
        <f t="shared" si="128"/>
        <v>266.66669250165592</v>
      </c>
      <c r="CE366" s="10">
        <f t="shared" si="141"/>
        <v>1520000.1472594389</v>
      </c>
      <c r="CF366" s="10">
        <f t="shared" si="142"/>
        <v>1</v>
      </c>
      <c r="CG366" s="10">
        <f t="shared" si="122"/>
        <v>0</v>
      </c>
      <c r="CH366" s="10">
        <f t="shared" si="123"/>
        <v>7</v>
      </c>
      <c r="CI366" s="9">
        <f t="shared" si="129"/>
        <v>1</v>
      </c>
      <c r="CJ366" s="10">
        <f t="shared" si="124"/>
        <v>35</v>
      </c>
      <c r="CK366" s="10" t="b">
        <f t="shared" si="130"/>
        <v>1</v>
      </c>
      <c r="CL366" s="10" t="b">
        <f t="shared" si="131"/>
        <v>1</v>
      </c>
      <c r="CM366" s="10" t="b">
        <f t="shared" si="132"/>
        <v>1</v>
      </c>
      <c r="CN366" s="9">
        <f t="shared" si="133"/>
        <v>1</v>
      </c>
      <c r="CO366" s="10">
        <f t="shared" si="143"/>
        <v>7</v>
      </c>
      <c r="CP366" s="10" t="b">
        <f t="shared" si="134"/>
        <v>1</v>
      </c>
      <c r="CQ366" s="10" t="b">
        <f t="shared" si="135"/>
        <v>0</v>
      </c>
      <c r="CR366" s="10" cm="1">
        <f t="array" ref="CR366">_xlfn.IFS(AND($CI366=0, CK366=FALSE), NA(), AND($CI366=1, CK366=FALSE), 0, CK366=TRUE, 1)</f>
        <v>1</v>
      </c>
      <c r="CS366" s="10" cm="1">
        <f t="array" ref="CS366">_xlfn.IFS(AND($CI366=0, CL366=FALSE), NA(), AND($CI366=1, CL366=FALSE), 0, CL366=TRUE, 1)</f>
        <v>1</v>
      </c>
      <c r="CT366" s="10" cm="1">
        <f t="array" ref="CT366">_xlfn.IFS(AND($CI366=0, CM366=FALSE), NA(), AND($CI366=1, CM366=FALSE), 0, CM366=TRUE, 1)</f>
        <v>1</v>
      </c>
      <c r="CU366" s="10" cm="1">
        <f t="array" ref="CU366">_xlfn.IFS(AND($CN366=0, CP366=FALSE), NA(), AND($CN366=1, CP366=FALSE), 0, CP366=TRUE, 1)</f>
        <v>1</v>
      </c>
      <c r="CV366" s="10" cm="1">
        <f t="array" ref="CV366">_xlfn.IFS(AND($CN366=0, CQ366=FALSE), NA(), AND($CN366=1, CQ366=FALSE), 0, CQ366=TRUE, 1)</f>
        <v>0</v>
      </c>
    </row>
    <row r="367" spans="1:100" x14ac:dyDescent="0.25">
      <c r="A367" s="8">
        <v>366</v>
      </c>
      <c r="B367" s="9">
        <v>47</v>
      </c>
      <c r="C367" s="10" t="s">
        <v>7</v>
      </c>
      <c r="D367" s="11" t="s">
        <v>81</v>
      </c>
      <c r="E367" s="12">
        <v>17377</v>
      </c>
      <c r="F367" s="13">
        <v>1</v>
      </c>
      <c r="G367" s="9">
        <v>68.254623413085938</v>
      </c>
      <c r="H367" s="12">
        <v>42307</v>
      </c>
      <c r="I367" s="9">
        <v>1</v>
      </c>
      <c r="J367" s="12">
        <v>42307</v>
      </c>
      <c r="K367" s="9">
        <v>0</v>
      </c>
      <c r="L367" s="9">
        <v>1</v>
      </c>
      <c r="M367" s="10" t="s">
        <v>401</v>
      </c>
      <c r="N367" s="9">
        <v>2</v>
      </c>
      <c r="O367" s="10" t="s">
        <v>145</v>
      </c>
      <c r="P367" s="9">
        <v>2</v>
      </c>
      <c r="Q367" s="10" t="s">
        <v>145</v>
      </c>
      <c r="R367" s="12">
        <v>42458</v>
      </c>
      <c r="S367" s="10" t="s">
        <v>146</v>
      </c>
      <c r="T367" s="9">
        <v>4</v>
      </c>
      <c r="U367" s="10" t="s">
        <v>401</v>
      </c>
      <c r="V367" s="10" t="s">
        <v>401</v>
      </c>
      <c r="W367" s="9"/>
      <c r="X367" s="9"/>
      <c r="Y367" s="9">
        <v>3</v>
      </c>
      <c r="Z367" s="19">
        <v>2</v>
      </c>
      <c r="AB367" s="9"/>
      <c r="AC367" s="9"/>
      <c r="AD367" s="9">
        <v>3</v>
      </c>
      <c r="AE367" s="9">
        <v>3</v>
      </c>
      <c r="AF367" s="9">
        <v>1</v>
      </c>
      <c r="AG367" s="9">
        <v>1</v>
      </c>
      <c r="AH367" s="9">
        <v>1</v>
      </c>
      <c r="AI367" s="9">
        <v>1</v>
      </c>
      <c r="AJ367" s="12">
        <v>43480</v>
      </c>
      <c r="AK367" s="9">
        <v>2</v>
      </c>
      <c r="AL367" s="12">
        <v>44006</v>
      </c>
      <c r="AM367" s="9">
        <v>3</v>
      </c>
      <c r="AN367" s="12">
        <v>43588</v>
      </c>
      <c r="AO367" s="12">
        <v>44064</v>
      </c>
      <c r="AP367" s="12">
        <v>44064</v>
      </c>
      <c r="AQ367" s="9">
        <v>1</v>
      </c>
      <c r="AR367" s="9">
        <f t="shared" si="125"/>
        <v>1</v>
      </c>
      <c r="AS367" s="9">
        <v>1</v>
      </c>
      <c r="AT367" s="9">
        <v>2</v>
      </c>
      <c r="AU367" s="9">
        <v>2</v>
      </c>
      <c r="AV367" s="9">
        <f t="shared" si="126"/>
        <v>1</v>
      </c>
      <c r="AW367" s="12">
        <v>44064</v>
      </c>
      <c r="AX367" s="9">
        <v>5150</v>
      </c>
      <c r="AY367" s="9">
        <v>3080</v>
      </c>
      <c r="AZ367" s="9">
        <v>1160</v>
      </c>
      <c r="BA367" s="9">
        <v>3080</v>
      </c>
      <c r="BB367" s="9">
        <v>1160</v>
      </c>
      <c r="BC367" s="9">
        <v>304000</v>
      </c>
      <c r="BD367" s="9">
        <v>580</v>
      </c>
      <c r="BE367" s="9">
        <v>280</v>
      </c>
      <c r="BF367" s="9"/>
      <c r="BG367" s="9">
        <v>5060</v>
      </c>
      <c r="BH367" s="9">
        <v>3360</v>
      </c>
      <c r="BI367" s="9">
        <v>810</v>
      </c>
      <c r="BJ367" s="9">
        <v>251000</v>
      </c>
      <c r="BK367" s="9">
        <v>620</v>
      </c>
      <c r="BL367" s="9">
        <v>240</v>
      </c>
      <c r="BM367" s="9"/>
      <c r="BN367" s="9">
        <v>5340</v>
      </c>
      <c r="BO367" s="9">
        <v>3260</v>
      </c>
      <c r="BP367" s="9">
        <v>1160</v>
      </c>
      <c r="BQ367" s="9">
        <v>259000</v>
      </c>
      <c r="BR367" s="9">
        <v>600</v>
      </c>
      <c r="BS367" s="9">
        <v>260</v>
      </c>
      <c r="BT367" s="9"/>
      <c r="BU367" s="9">
        <v>4840</v>
      </c>
      <c r="BV367" s="9">
        <v>2540</v>
      </c>
      <c r="BW367" s="9">
        <v>1360</v>
      </c>
      <c r="BX367" s="9">
        <v>265000</v>
      </c>
      <c r="BY367" s="9">
        <v>610</v>
      </c>
      <c r="BZ367" s="10" t="s">
        <v>566</v>
      </c>
      <c r="CA367" s="9">
        <v>280</v>
      </c>
      <c r="CB367" s="9"/>
      <c r="CC367" s="10">
        <f t="shared" si="127"/>
        <v>2.6551724137931036</v>
      </c>
      <c r="CD367" s="10">
        <f t="shared" si="128"/>
        <v>262.06896551724139</v>
      </c>
      <c r="CE367" s="10">
        <f t="shared" si="141"/>
        <v>807172.41379310354</v>
      </c>
      <c r="CF367" s="10">
        <f t="shared" si="142"/>
        <v>1</v>
      </c>
      <c r="CG367" s="10">
        <f t="shared" si="122"/>
        <v>0</v>
      </c>
      <c r="CH367" s="10">
        <f t="shared" si="123"/>
        <v>17</v>
      </c>
      <c r="CI367" s="9">
        <f t="shared" si="129"/>
        <v>1</v>
      </c>
      <c r="CJ367" s="10">
        <f t="shared" si="124"/>
        <v>19</v>
      </c>
      <c r="CK367" s="10" t="b">
        <f t="shared" si="130"/>
        <v>1</v>
      </c>
      <c r="CL367" s="10" t="b">
        <f t="shared" si="131"/>
        <v>1</v>
      </c>
      <c r="CM367" s="10" t="b">
        <f t="shared" si="132"/>
        <v>0</v>
      </c>
      <c r="CN367" s="9">
        <f t="shared" si="133"/>
        <v>1</v>
      </c>
      <c r="CO367" s="10">
        <f t="shared" si="143"/>
        <v>19</v>
      </c>
      <c r="CP367" s="10" t="b">
        <f t="shared" si="134"/>
        <v>1</v>
      </c>
      <c r="CQ367" s="10" t="b">
        <f t="shared" si="135"/>
        <v>1</v>
      </c>
      <c r="CR367" s="10" cm="1">
        <f t="array" ref="CR367">_xlfn.IFS(AND($CI367=0, CK367=FALSE), NA(), AND($CI367=1, CK367=FALSE), 0, CK367=TRUE, 1)</f>
        <v>1</v>
      </c>
      <c r="CS367" s="10" cm="1">
        <f t="array" ref="CS367">_xlfn.IFS(AND($CI367=0, CL367=FALSE), NA(), AND($CI367=1, CL367=FALSE), 0, CL367=TRUE, 1)</f>
        <v>1</v>
      </c>
      <c r="CT367" s="10" cm="1">
        <f t="array" ref="CT367">_xlfn.IFS(AND($CI367=0, CM367=FALSE), NA(), AND($CI367=1, CM367=FALSE), 0, CM367=TRUE, 1)</f>
        <v>0</v>
      </c>
      <c r="CU367" s="10" cm="1">
        <f t="array" ref="CU367">_xlfn.IFS(AND($CN367=0, CP367=FALSE), NA(), AND($CN367=1, CP367=FALSE), 0, CP367=TRUE, 1)</f>
        <v>1</v>
      </c>
      <c r="CV367" s="10" cm="1">
        <f t="array" ref="CV367">_xlfn.IFS(AND($CN367=0, CQ367=FALSE), NA(), AND($CN367=1, CQ367=FALSE), 0, CQ367=TRUE, 1)</f>
        <v>1</v>
      </c>
    </row>
    <row r="368" spans="1:100" ht="15.75" x14ac:dyDescent="0.25">
      <c r="A368" s="8">
        <v>367</v>
      </c>
      <c r="B368" s="9">
        <v>405</v>
      </c>
      <c r="C368" s="10" t="s">
        <v>29</v>
      </c>
      <c r="D368" s="11" t="s">
        <v>318</v>
      </c>
      <c r="E368" s="12">
        <v>19508</v>
      </c>
      <c r="F368" s="13">
        <v>2</v>
      </c>
      <c r="G368" s="9">
        <v>62.428474426269531</v>
      </c>
      <c r="H368" s="12">
        <v>42310</v>
      </c>
      <c r="I368" s="9">
        <v>1</v>
      </c>
      <c r="J368" s="12">
        <v>42310</v>
      </c>
      <c r="K368" s="9">
        <v>1</v>
      </c>
      <c r="L368" s="9">
        <v>1</v>
      </c>
      <c r="M368" s="10" t="s">
        <v>401</v>
      </c>
      <c r="N368" s="9">
        <v>2</v>
      </c>
      <c r="O368" s="10" t="s">
        <v>145</v>
      </c>
      <c r="P368" s="9">
        <v>2</v>
      </c>
      <c r="Q368" s="10" t="s">
        <v>145</v>
      </c>
      <c r="R368" s="12">
        <v>42326</v>
      </c>
      <c r="S368" s="10" t="s">
        <v>145</v>
      </c>
      <c r="T368" s="9"/>
      <c r="U368" s="10" t="s">
        <v>401</v>
      </c>
      <c r="V368" s="10" t="s">
        <v>401</v>
      </c>
      <c r="W368" s="9"/>
      <c r="X368" s="9"/>
      <c r="Y368" s="9">
        <v>2</v>
      </c>
      <c r="Z368" s="14">
        <v>1</v>
      </c>
      <c r="AA368" s="17">
        <v>13.9</v>
      </c>
      <c r="AB368" s="18">
        <v>86</v>
      </c>
      <c r="AC368" s="18">
        <v>17</v>
      </c>
      <c r="AD368" s="9">
        <v>2</v>
      </c>
      <c r="AE368" s="9">
        <v>2</v>
      </c>
      <c r="AF368" s="9">
        <v>2</v>
      </c>
      <c r="AG368" s="9">
        <v>1</v>
      </c>
      <c r="AH368" s="9">
        <v>1</v>
      </c>
      <c r="AI368" s="9">
        <v>1</v>
      </c>
      <c r="AJ368" s="12">
        <v>42935</v>
      </c>
      <c r="AK368" s="9">
        <v>2</v>
      </c>
      <c r="AL368" s="12">
        <v>42991</v>
      </c>
      <c r="AM368" s="9">
        <v>4</v>
      </c>
      <c r="AN368" s="12">
        <v>43005</v>
      </c>
      <c r="AO368" s="12">
        <v>43005</v>
      </c>
      <c r="AP368" s="12">
        <v>43005</v>
      </c>
      <c r="AQ368" s="9">
        <v>1</v>
      </c>
      <c r="AR368" s="9">
        <f t="shared" si="125"/>
        <v>1</v>
      </c>
      <c r="AS368" s="9">
        <v>1</v>
      </c>
      <c r="AT368" s="9">
        <v>2</v>
      </c>
      <c r="AU368" s="9">
        <v>2</v>
      </c>
      <c r="AV368" s="9">
        <f t="shared" si="126"/>
        <v>1</v>
      </c>
      <c r="AW368" s="12">
        <v>43055</v>
      </c>
      <c r="AX368" s="9">
        <v>9460</v>
      </c>
      <c r="AY368" s="9">
        <v>6620</v>
      </c>
      <c r="AZ368" s="9">
        <v>1300</v>
      </c>
      <c r="BA368" s="9">
        <v>6620</v>
      </c>
      <c r="BB368" s="9">
        <v>1300.000244140625</v>
      </c>
      <c r="BC368" s="9">
        <v>533000</v>
      </c>
      <c r="BD368" s="9">
        <v>1300</v>
      </c>
      <c r="BE368" s="9">
        <v>150</v>
      </c>
      <c r="BF368" s="9">
        <v>175</v>
      </c>
      <c r="BG368" s="9">
        <v>8530</v>
      </c>
      <c r="BH368" s="9">
        <v>5580</v>
      </c>
      <c r="BI368" s="9">
        <v>1360</v>
      </c>
      <c r="BJ368" s="9">
        <v>553000</v>
      </c>
      <c r="BK368" s="9">
        <v>970</v>
      </c>
      <c r="BL368" s="9">
        <v>510</v>
      </c>
      <c r="BM368" s="9"/>
      <c r="BN368" s="9">
        <v>6870</v>
      </c>
      <c r="BO368" s="9">
        <v>4070</v>
      </c>
      <c r="BP368" s="9">
        <v>1510</v>
      </c>
      <c r="BQ368" s="9">
        <v>534000</v>
      </c>
      <c r="BR368" s="9">
        <v>830</v>
      </c>
      <c r="BS368" s="9">
        <v>370</v>
      </c>
      <c r="BT368" s="9"/>
      <c r="BU368" s="9">
        <v>7190</v>
      </c>
      <c r="BV368" s="9">
        <v>4030</v>
      </c>
      <c r="BW368" s="9">
        <v>1190</v>
      </c>
      <c r="BX368" s="9">
        <v>520000</v>
      </c>
      <c r="BY368" s="9">
        <v>1160</v>
      </c>
      <c r="BZ368" s="10" t="s">
        <v>557</v>
      </c>
      <c r="CA368" s="9">
        <v>500</v>
      </c>
      <c r="CB368" s="9"/>
      <c r="CC368" s="10">
        <f t="shared" si="127"/>
        <v>5.0923067359700394</v>
      </c>
      <c r="CD368" s="10">
        <f t="shared" si="128"/>
        <v>409.99992300181736</v>
      </c>
      <c r="CE368" s="10">
        <f t="shared" si="141"/>
        <v>2714199.4902720312</v>
      </c>
      <c r="CF368" s="10">
        <f t="shared" si="142"/>
        <v>0</v>
      </c>
      <c r="CG368" s="10">
        <f t="shared" si="122"/>
        <v>0</v>
      </c>
      <c r="CH368" s="10">
        <f t="shared" si="123"/>
        <v>2</v>
      </c>
      <c r="CI368" s="9">
        <f t="shared" si="129"/>
        <v>1</v>
      </c>
      <c r="CJ368" s="10">
        <f t="shared" si="124"/>
        <v>4</v>
      </c>
      <c r="CK368" s="10" t="b">
        <f t="shared" si="130"/>
        <v>0</v>
      </c>
      <c r="CL368" s="10" t="b">
        <f t="shared" si="131"/>
        <v>0</v>
      </c>
      <c r="CM368" s="10" t="b">
        <f t="shared" si="132"/>
        <v>0</v>
      </c>
      <c r="CN368" s="9">
        <f t="shared" si="133"/>
        <v>1</v>
      </c>
      <c r="CO368" s="10">
        <f t="shared" si="143"/>
        <v>2</v>
      </c>
      <c r="CP368" s="10" t="b">
        <f t="shared" si="134"/>
        <v>0</v>
      </c>
      <c r="CQ368" s="10" t="b">
        <f t="shared" si="135"/>
        <v>0</v>
      </c>
      <c r="CR368" s="10" cm="1">
        <f t="array" ref="CR368">_xlfn.IFS(AND($CI368=0, CK368=FALSE), NA(), AND($CI368=1, CK368=FALSE), 0, CK368=TRUE, 1)</f>
        <v>0</v>
      </c>
      <c r="CS368" s="10" cm="1">
        <f t="array" ref="CS368">_xlfn.IFS(AND($CI368=0, CL368=FALSE), NA(), AND($CI368=1, CL368=FALSE), 0, CL368=TRUE, 1)</f>
        <v>0</v>
      </c>
      <c r="CT368" s="10" cm="1">
        <f t="array" ref="CT368">_xlfn.IFS(AND($CI368=0, CM368=FALSE), NA(), AND($CI368=1, CM368=FALSE), 0, CM368=TRUE, 1)</f>
        <v>0</v>
      </c>
      <c r="CU368" s="10" cm="1">
        <f t="array" ref="CU368">_xlfn.IFS(AND($CN368=0, CP368=FALSE), NA(), AND($CN368=1, CP368=FALSE), 0, CP368=TRUE, 1)</f>
        <v>0</v>
      </c>
      <c r="CV368" s="10" cm="1">
        <f t="array" ref="CV368">_xlfn.IFS(AND($CN368=0, CQ368=FALSE), NA(), AND($CN368=1, CQ368=FALSE), 0, CQ368=TRUE, 1)</f>
        <v>0</v>
      </c>
    </row>
    <row r="369" spans="1:100" ht="15.75" x14ac:dyDescent="0.25">
      <c r="A369" s="8">
        <v>368</v>
      </c>
      <c r="B369" s="9">
        <v>148</v>
      </c>
      <c r="C369" s="10" t="s">
        <v>16</v>
      </c>
      <c r="D369" s="11" t="s">
        <v>94</v>
      </c>
      <c r="E369" s="12">
        <v>17727</v>
      </c>
      <c r="F369" s="13">
        <v>2</v>
      </c>
      <c r="G369" s="9">
        <v>67.3292236328125</v>
      </c>
      <c r="H369" s="12">
        <v>42319</v>
      </c>
      <c r="I369" s="9">
        <v>0</v>
      </c>
      <c r="J369" s="12"/>
      <c r="K369" s="9">
        <v>1</v>
      </c>
      <c r="L369" s="9">
        <v>1</v>
      </c>
      <c r="M369" s="10" t="s">
        <v>401</v>
      </c>
      <c r="N369" s="9">
        <v>3</v>
      </c>
      <c r="O369" s="10" t="s">
        <v>419</v>
      </c>
      <c r="P369" s="9">
        <v>3</v>
      </c>
      <c r="Q369" s="10" t="s">
        <v>419</v>
      </c>
      <c r="R369" s="12">
        <v>42319</v>
      </c>
      <c r="S369" s="10" t="s">
        <v>146</v>
      </c>
      <c r="T369" s="9"/>
      <c r="U369" s="10" t="s">
        <v>401</v>
      </c>
      <c r="V369" s="10" t="s">
        <v>401</v>
      </c>
      <c r="W369" s="9"/>
      <c r="X369" s="9"/>
      <c r="Y369" s="9">
        <v>2</v>
      </c>
      <c r="Z369" s="14">
        <v>2</v>
      </c>
      <c r="AA369" s="15">
        <v>13.5</v>
      </c>
      <c r="AB369" s="16">
        <v>99</v>
      </c>
      <c r="AC369" s="16">
        <v>15</v>
      </c>
      <c r="AD369" s="9">
        <v>3</v>
      </c>
      <c r="AE369" s="9">
        <v>3</v>
      </c>
      <c r="AF369" s="9">
        <v>2</v>
      </c>
      <c r="AG369" s="9">
        <v>0</v>
      </c>
      <c r="AH369" s="9">
        <v>1</v>
      </c>
      <c r="AI369" s="9">
        <v>1</v>
      </c>
      <c r="AJ369" s="12">
        <v>43238</v>
      </c>
      <c r="AK369" s="9">
        <v>2</v>
      </c>
      <c r="AL369" s="12">
        <v>43280</v>
      </c>
      <c r="AM369" s="9">
        <v>4</v>
      </c>
      <c r="AN369" s="12">
        <v>43290</v>
      </c>
      <c r="AO369" s="12">
        <v>43290</v>
      </c>
      <c r="AP369" s="12">
        <v>43290</v>
      </c>
      <c r="AQ369" s="9">
        <v>1</v>
      </c>
      <c r="AR369" s="9">
        <f t="shared" si="125"/>
        <v>1</v>
      </c>
      <c r="AS369" s="9">
        <v>1</v>
      </c>
      <c r="AT369" s="9">
        <v>2</v>
      </c>
      <c r="AU369" s="9">
        <v>2</v>
      </c>
      <c r="AV369" s="9">
        <f t="shared" si="126"/>
        <v>1</v>
      </c>
      <c r="AW369" s="12">
        <v>43322</v>
      </c>
      <c r="AX369" s="9">
        <v>7300</v>
      </c>
      <c r="AY369" s="9">
        <v>5600</v>
      </c>
      <c r="AZ369" s="9"/>
      <c r="BA369" s="9">
        <v>5600</v>
      </c>
      <c r="BB369" s="9">
        <v>799.1239013671875</v>
      </c>
      <c r="BC369" s="9">
        <v>314000</v>
      </c>
      <c r="BD369" s="9"/>
      <c r="BE369" s="9"/>
      <c r="BF369" s="9"/>
      <c r="BG369" s="9">
        <v>10060</v>
      </c>
      <c r="BH369" s="9">
        <v>8500</v>
      </c>
      <c r="BI369" s="9"/>
      <c r="BJ369" s="9">
        <v>369000</v>
      </c>
      <c r="BK369" s="9"/>
      <c r="BL369" s="9"/>
      <c r="BM369" s="9"/>
      <c r="BN369" s="9"/>
      <c r="BO369" s="9">
        <v>7800</v>
      </c>
      <c r="BP369" s="9"/>
      <c r="BQ369" s="9">
        <v>366000</v>
      </c>
      <c r="BR369" s="9"/>
      <c r="BS369" s="9"/>
      <c r="BT369" s="9"/>
      <c r="BU369" s="9">
        <v>10320</v>
      </c>
      <c r="BV369" s="9">
        <v>9800</v>
      </c>
      <c r="BW369" s="9"/>
      <c r="BX369" s="9">
        <v>453000</v>
      </c>
      <c r="BY369" s="9"/>
      <c r="BZ369" s="10" t="s">
        <v>401</v>
      </c>
      <c r="CA369" s="9"/>
      <c r="CB369" s="9"/>
      <c r="CC369" s="10">
        <f t="shared" si="127"/>
        <v>7.007674267305978</v>
      </c>
      <c r="CD369" s="10">
        <f t="shared" si="128"/>
        <v>392.93030713108516</v>
      </c>
      <c r="CE369" s="10">
        <f t="shared" si="141"/>
        <v>2200409.719934077</v>
      </c>
      <c r="CF369" s="10">
        <f t="shared" si="142"/>
        <v>0</v>
      </c>
      <c r="CG369" s="10">
        <f t="shared" si="122"/>
        <v>0</v>
      </c>
      <c r="CH369" s="10">
        <f t="shared" si="123"/>
        <v>1</v>
      </c>
      <c r="CI369" s="9">
        <f t="shared" si="129"/>
        <v>1</v>
      </c>
      <c r="CJ369" s="10">
        <f t="shared" si="124"/>
        <v>3</v>
      </c>
      <c r="CK369" s="10" t="b">
        <f t="shared" si="130"/>
        <v>0</v>
      </c>
      <c r="CL369" s="10" t="b">
        <f t="shared" si="131"/>
        <v>0</v>
      </c>
      <c r="CM369" s="10" t="b">
        <f t="shared" si="132"/>
        <v>0</v>
      </c>
      <c r="CN369" s="9">
        <f t="shared" si="133"/>
        <v>1</v>
      </c>
      <c r="CO369" s="10">
        <f t="shared" si="143"/>
        <v>2</v>
      </c>
      <c r="CP369" s="10" t="b">
        <f t="shared" si="134"/>
        <v>0</v>
      </c>
      <c r="CQ369" s="10" t="b">
        <f t="shared" si="135"/>
        <v>0</v>
      </c>
      <c r="CR369" s="10" cm="1">
        <f t="array" ref="CR369">_xlfn.IFS(AND($CI369=0, CK369=FALSE), NA(), AND($CI369=1, CK369=FALSE), 0, CK369=TRUE, 1)</f>
        <v>0</v>
      </c>
      <c r="CS369" s="10" cm="1">
        <f t="array" ref="CS369">_xlfn.IFS(AND($CI369=0, CL369=FALSE), NA(), AND($CI369=1, CL369=FALSE), 0, CL369=TRUE, 1)</f>
        <v>0</v>
      </c>
      <c r="CT369" s="10" cm="1">
        <f t="array" ref="CT369">_xlfn.IFS(AND($CI369=0, CM369=FALSE), NA(), AND($CI369=1, CM369=FALSE), 0, CM369=TRUE, 1)</f>
        <v>0</v>
      </c>
      <c r="CU369" s="10" cm="1">
        <f t="array" ref="CU369">_xlfn.IFS(AND($CN369=0, CP369=FALSE), NA(), AND($CN369=1, CP369=FALSE), 0, CP369=TRUE, 1)</f>
        <v>0</v>
      </c>
      <c r="CV369" s="10" cm="1">
        <f t="array" ref="CV369">_xlfn.IFS(AND($CN369=0, CQ369=FALSE), NA(), AND($CN369=1, CQ369=FALSE), 0, CQ369=TRUE, 1)</f>
        <v>0</v>
      </c>
    </row>
    <row r="370" spans="1:100" ht="15.75" x14ac:dyDescent="0.25">
      <c r="A370" s="8">
        <v>369</v>
      </c>
      <c r="B370" s="9">
        <v>463</v>
      </c>
      <c r="C370" s="10" t="s">
        <v>30</v>
      </c>
      <c r="D370" s="11" t="s">
        <v>144</v>
      </c>
      <c r="E370" s="12">
        <v>12545</v>
      </c>
      <c r="F370" s="13">
        <v>2</v>
      </c>
      <c r="G370" s="9">
        <v>81.56878662109375</v>
      </c>
      <c r="H370" s="12">
        <v>42338</v>
      </c>
      <c r="I370" s="9">
        <v>1</v>
      </c>
      <c r="J370" s="12">
        <v>42347</v>
      </c>
      <c r="K370" s="9">
        <v>0</v>
      </c>
      <c r="L370" s="9">
        <v>1</v>
      </c>
      <c r="M370" s="10" t="s">
        <v>401</v>
      </c>
      <c r="N370" s="9">
        <v>2</v>
      </c>
      <c r="O370" s="10" t="s">
        <v>410</v>
      </c>
      <c r="P370" s="9">
        <v>2</v>
      </c>
      <c r="Q370" s="10" t="s">
        <v>410</v>
      </c>
      <c r="R370" s="12">
        <v>43048</v>
      </c>
      <c r="S370" s="10" t="s">
        <v>146</v>
      </c>
      <c r="T370" s="9"/>
      <c r="U370" s="10" t="s">
        <v>401</v>
      </c>
      <c r="V370" s="10" t="s">
        <v>401</v>
      </c>
      <c r="W370" s="9"/>
      <c r="X370" s="9"/>
      <c r="Y370" s="9">
        <v>2</v>
      </c>
      <c r="Z370" s="14">
        <v>2</v>
      </c>
      <c r="AA370" s="17">
        <v>14.5</v>
      </c>
      <c r="AB370" s="18">
        <v>84</v>
      </c>
      <c r="AC370" s="18">
        <v>12</v>
      </c>
      <c r="AD370" s="9">
        <v>2</v>
      </c>
      <c r="AE370" s="9">
        <v>2</v>
      </c>
      <c r="AF370" s="9">
        <v>1</v>
      </c>
      <c r="AG370" s="9">
        <v>0</v>
      </c>
      <c r="AH370" s="9">
        <v>1</v>
      </c>
      <c r="AI370" s="9">
        <v>1</v>
      </c>
      <c r="AJ370" s="12">
        <v>43458</v>
      </c>
      <c r="AK370" s="9">
        <v>2</v>
      </c>
      <c r="AL370" s="12">
        <v>43689</v>
      </c>
      <c r="AM370" s="9">
        <v>4</v>
      </c>
      <c r="AN370" s="12">
        <v>43601</v>
      </c>
      <c r="AO370" s="12">
        <v>43601</v>
      </c>
      <c r="AP370" s="12">
        <v>43713</v>
      </c>
      <c r="AQ370" s="9">
        <v>1</v>
      </c>
      <c r="AR370" s="9">
        <f t="shared" si="125"/>
        <v>1</v>
      </c>
      <c r="AS370" s="9">
        <v>1</v>
      </c>
      <c r="AT370" s="9">
        <v>1</v>
      </c>
      <c r="AU370" s="9">
        <v>2</v>
      </c>
      <c r="AV370" s="9">
        <f t="shared" si="126"/>
        <v>1</v>
      </c>
      <c r="AW370" s="12">
        <v>44075</v>
      </c>
      <c r="AX370" s="9">
        <v>3940</v>
      </c>
      <c r="AY370" s="9">
        <v>2000</v>
      </c>
      <c r="AZ370" s="9">
        <v>1040</v>
      </c>
      <c r="BA370" s="9">
        <v>2000</v>
      </c>
      <c r="BB370" s="9">
        <v>1040.000244140625</v>
      </c>
      <c r="BC370" s="9">
        <v>278000</v>
      </c>
      <c r="BD370" s="9"/>
      <c r="BE370" s="9"/>
      <c r="BF370" s="9">
        <v>1590</v>
      </c>
      <c r="BG370" s="9">
        <v>5090</v>
      </c>
      <c r="BH370" s="9">
        <v>3580</v>
      </c>
      <c r="BI370" s="9">
        <v>1090</v>
      </c>
      <c r="BJ370" s="9">
        <v>302000</v>
      </c>
      <c r="BK370" s="9"/>
      <c r="BL370" s="9"/>
      <c r="BM370" s="9"/>
      <c r="BN370" s="9">
        <v>6950</v>
      </c>
      <c r="BO370" s="9">
        <v>3860</v>
      </c>
      <c r="BP370" s="9">
        <v>840</v>
      </c>
      <c r="BQ370" s="9">
        <v>271000</v>
      </c>
      <c r="BR370" s="9"/>
      <c r="BS370" s="9"/>
      <c r="BT370" s="9"/>
      <c r="BU370" s="9">
        <v>5820</v>
      </c>
      <c r="BV370" s="9">
        <v>3720</v>
      </c>
      <c r="BW370" s="9">
        <v>970</v>
      </c>
      <c r="BX370" s="9">
        <v>251000</v>
      </c>
      <c r="BY370" s="9"/>
      <c r="BZ370" s="10" t="s">
        <v>401</v>
      </c>
      <c r="CA370" s="9"/>
      <c r="CB370" s="9"/>
      <c r="CC370" s="10">
        <f t="shared" si="127"/>
        <v>1.9230764716335658</v>
      </c>
      <c r="CD370" s="10">
        <f t="shared" si="128"/>
        <v>267.30762955706564</v>
      </c>
      <c r="CE370" s="10">
        <f t="shared" si="141"/>
        <v>534615.25911413133</v>
      </c>
      <c r="CF370" s="10">
        <f t="shared" si="142"/>
        <v>0</v>
      </c>
      <c r="CG370" s="10">
        <f t="shared" si="122"/>
        <v>0</v>
      </c>
      <c r="CH370" s="10">
        <f t="shared" si="123"/>
        <v>8</v>
      </c>
      <c r="CI370" s="9">
        <f t="shared" si="129"/>
        <v>1</v>
      </c>
      <c r="CJ370" s="10">
        <f t="shared" si="124"/>
        <v>21</v>
      </c>
      <c r="CK370" s="10" t="b">
        <f t="shared" si="130"/>
        <v>1</v>
      </c>
      <c r="CL370" s="10" t="b">
        <f t="shared" si="131"/>
        <v>1</v>
      </c>
      <c r="CM370" s="10" t="b">
        <f t="shared" si="132"/>
        <v>0</v>
      </c>
      <c r="CN370" s="9">
        <f t="shared" si="133"/>
        <v>1</v>
      </c>
      <c r="CO370" s="10">
        <f t="shared" si="143"/>
        <v>5</v>
      </c>
      <c r="CP370" s="10" t="b">
        <f t="shared" si="134"/>
        <v>1</v>
      </c>
      <c r="CQ370" s="10" t="b">
        <f t="shared" si="135"/>
        <v>0</v>
      </c>
      <c r="CR370" s="10" cm="1">
        <f t="array" ref="CR370">_xlfn.IFS(AND($CI370=0, CK370=FALSE), NA(), AND($CI370=1, CK370=FALSE), 0, CK370=TRUE, 1)</f>
        <v>1</v>
      </c>
      <c r="CS370" s="10" cm="1">
        <f t="array" ref="CS370">_xlfn.IFS(AND($CI370=0, CL370=FALSE), NA(), AND($CI370=1, CL370=FALSE), 0, CL370=TRUE, 1)</f>
        <v>1</v>
      </c>
      <c r="CT370" s="10" cm="1">
        <f t="array" ref="CT370">_xlfn.IFS(AND($CI370=0, CM370=FALSE), NA(), AND($CI370=1, CM370=FALSE), 0, CM370=TRUE, 1)</f>
        <v>0</v>
      </c>
      <c r="CU370" s="10" cm="1">
        <f t="array" ref="CU370">_xlfn.IFS(AND($CN370=0, CP370=FALSE), NA(), AND($CN370=1, CP370=FALSE), 0, CP370=TRUE, 1)</f>
        <v>1</v>
      </c>
      <c r="CV370" s="10" cm="1">
        <f t="array" ref="CV370">_xlfn.IFS(AND($CN370=0, CQ370=FALSE), NA(), AND($CN370=1, CQ370=FALSE), 0, CQ370=TRUE, 1)</f>
        <v>0</v>
      </c>
    </row>
    <row r="371" spans="1:100" x14ac:dyDescent="0.25">
      <c r="A371" s="8">
        <v>370</v>
      </c>
      <c r="B371" s="9">
        <v>111</v>
      </c>
      <c r="C371" s="10" t="s">
        <v>12</v>
      </c>
      <c r="D371" s="11" t="s">
        <v>135</v>
      </c>
      <c r="E371" s="12">
        <v>13114</v>
      </c>
      <c r="F371" s="13">
        <v>1</v>
      </c>
      <c r="G371" s="9">
        <v>80.013687133789063</v>
      </c>
      <c r="H371" s="12">
        <v>42339</v>
      </c>
      <c r="I371" s="9">
        <v>1</v>
      </c>
      <c r="J371" s="12">
        <v>42486</v>
      </c>
      <c r="K371" s="9">
        <v>0</v>
      </c>
      <c r="L371" s="9">
        <v>1</v>
      </c>
      <c r="M371" s="10" t="s">
        <v>401</v>
      </c>
      <c r="N371" s="9">
        <v>2</v>
      </c>
      <c r="O371" s="10" t="s">
        <v>421</v>
      </c>
      <c r="P371" s="9">
        <v>2</v>
      </c>
      <c r="Q371" s="10" t="s">
        <v>421</v>
      </c>
      <c r="R371" s="12">
        <v>42639</v>
      </c>
      <c r="S371" s="10" t="s">
        <v>146</v>
      </c>
      <c r="T371" s="9"/>
      <c r="U371" s="10" t="s">
        <v>401</v>
      </c>
      <c r="V371" s="10" t="s">
        <v>401</v>
      </c>
      <c r="W371" s="9"/>
      <c r="X371" s="9"/>
      <c r="Y371" s="9">
        <v>2</v>
      </c>
      <c r="Z371" s="19">
        <v>2</v>
      </c>
      <c r="AB371" s="9"/>
      <c r="AC371" s="9"/>
      <c r="AD371" s="9">
        <v>2</v>
      </c>
      <c r="AE371" s="9">
        <v>2</v>
      </c>
      <c r="AF371" s="9">
        <v>2</v>
      </c>
      <c r="AG371" s="9">
        <v>1</v>
      </c>
      <c r="AH371" s="9">
        <v>0</v>
      </c>
      <c r="AI371" s="9">
        <v>0</v>
      </c>
      <c r="AJ371" s="12">
        <v>43203</v>
      </c>
      <c r="AK371" s="9">
        <v>2</v>
      </c>
      <c r="AL371" s="12">
        <v>43231</v>
      </c>
      <c r="AM371" s="9">
        <v>2</v>
      </c>
      <c r="AN371" s="12">
        <v>43362</v>
      </c>
      <c r="AO371" s="12">
        <v>43500</v>
      </c>
      <c r="AP371" s="12">
        <v>43500</v>
      </c>
      <c r="AQ371" s="9">
        <v>1</v>
      </c>
      <c r="AR371" s="9">
        <f t="shared" si="125"/>
        <v>1</v>
      </c>
      <c r="AS371" s="9">
        <v>1</v>
      </c>
      <c r="AT371" s="9">
        <v>2</v>
      </c>
      <c r="AU371" s="9">
        <v>1</v>
      </c>
      <c r="AV371" s="9">
        <f t="shared" si="126"/>
        <v>0</v>
      </c>
      <c r="AW371" s="12">
        <v>43885</v>
      </c>
      <c r="AX371" s="9">
        <v>7180</v>
      </c>
      <c r="AY371" s="9">
        <v>4450</v>
      </c>
      <c r="AZ371" s="9">
        <v>1720</v>
      </c>
      <c r="BA371" s="9">
        <v>4450</v>
      </c>
      <c r="BB371" s="9">
        <v>1719.999755859375</v>
      </c>
      <c r="BC371" s="9">
        <v>243000</v>
      </c>
      <c r="BD371" s="9">
        <v>730</v>
      </c>
      <c r="BE371" s="9">
        <v>220</v>
      </c>
      <c r="BF371" s="9"/>
      <c r="BG371" s="9">
        <v>8810</v>
      </c>
      <c r="BH371" s="9">
        <v>5890</v>
      </c>
      <c r="BI371" s="9">
        <v>1940</v>
      </c>
      <c r="BJ371" s="9">
        <v>307000</v>
      </c>
      <c r="BK371" s="9">
        <v>640</v>
      </c>
      <c r="BL371" s="9">
        <v>270</v>
      </c>
      <c r="BM371" s="9"/>
      <c r="BN371" s="9">
        <v>7390</v>
      </c>
      <c r="BO371" s="9">
        <v>5320</v>
      </c>
      <c r="BP371" s="9">
        <v>1230</v>
      </c>
      <c r="BQ371" s="9">
        <v>258000</v>
      </c>
      <c r="BR371" s="9">
        <v>630</v>
      </c>
      <c r="BS371" s="9">
        <v>120</v>
      </c>
      <c r="BT371" s="9"/>
      <c r="BU371" s="9"/>
      <c r="BV371" s="9"/>
      <c r="BW371" s="9"/>
      <c r="BX371" s="9"/>
      <c r="BY371" s="9"/>
      <c r="BZ371" s="10" t="s">
        <v>401</v>
      </c>
      <c r="CA371" s="9"/>
      <c r="CB371" s="9"/>
      <c r="CC371" s="10">
        <f t="shared" si="127"/>
        <v>2.5872096695598756</v>
      </c>
      <c r="CD371" s="10">
        <f t="shared" si="128"/>
        <v>141.27908982091006</v>
      </c>
      <c r="CE371" s="10">
        <f t="shared" si="141"/>
        <v>628691.94970304973</v>
      </c>
      <c r="CF371" s="10">
        <f t="shared" si="142"/>
        <v>1</v>
      </c>
      <c r="CG371" s="10">
        <f t="shared" si="122"/>
        <v>1</v>
      </c>
      <c r="CH371" s="10">
        <f t="shared" si="123"/>
        <v>1</v>
      </c>
      <c r="CI371" s="9">
        <f t="shared" si="129"/>
        <v>0</v>
      </c>
      <c r="CJ371" s="10">
        <f t="shared" si="124"/>
        <v>22</v>
      </c>
      <c r="CK371" s="10" t="b">
        <f t="shared" si="130"/>
        <v>1</v>
      </c>
      <c r="CL371" s="10" t="b">
        <f t="shared" si="131"/>
        <v>1</v>
      </c>
      <c r="CM371" s="10" t="b">
        <f t="shared" si="132"/>
        <v>0</v>
      </c>
      <c r="CN371" s="9">
        <f t="shared" si="133"/>
        <v>1</v>
      </c>
      <c r="CO371" s="10">
        <f t="shared" si="143"/>
        <v>10</v>
      </c>
      <c r="CP371" s="10" t="b">
        <f t="shared" si="134"/>
        <v>1</v>
      </c>
      <c r="CQ371" s="10" t="b">
        <f t="shared" si="135"/>
        <v>1</v>
      </c>
      <c r="CR371" s="10" cm="1">
        <f t="array" ref="CR371">_xlfn.IFS(AND($CI371=0, CK371=FALSE), NA(), AND($CI371=1, CK371=FALSE), 0, CK371=TRUE, 1)</f>
        <v>1</v>
      </c>
      <c r="CS371" s="10" cm="1">
        <f t="array" ref="CS371">_xlfn.IFS(AND($CI371=0, CL371=FALSE), NA(), AND($CI371=1, CL371=FALSE), 0, CL371=TRUE, 1)</f>
        <v>1</v>
      </c>
      <c r="CT371" s="10" t="e" cm="1">
        <f t="array" ref="CT371">_xlfn.IFS(AND($CI371=0, CM371=FALSE), NA(), AND($CI371=1, CM371=FALSE), 0, CM371=TRUE, 1)</f>
        <v>#N/A</v>
      </c>
      <c r="CU371" s="10" cm="1">
        <f t="array" ref="CU371">_xlfn.IFS(AND($CN371=0, CP371=FALSE), NA(), AND($CN371=1, CP371=FALSE), 0, CP371=TRUE, 1)</f>
        <v>1</v>
      </c>
      <c r="CV371" s="10" cm="1">
        <f t="array" ref="CV371">_xlfn.IFS(AND($CN371=0, CQ371=FALSE), NA(), AND($CN371=1, CQ371=FALSE), 0, CQ371=TRUE, 1)</f>
        <v>1</v>
      </c>
    </row>
    <row r="372" spans="1:100" ht="15.75" x14ac:dyDescent="0.25">
      <c r="A372" s="8">
        <v>371</v>
      </c>
      <c r="B372" s="9">
        <v>374</v>
      </c>
      <c r="C372" s="10" t="s">
        <v>28</v>
      </c>
      <c r="D372" s="11" t="s">
        <v>91</v>
      </c>
      <c r="E372" s="12">
        <v>14693</v>
      </c>
      <c r="F372" s="13">
        <v>1</v>
      </c>
      <c r="G372" s="9">
        <v>75.728950500488281</v>
      </c>
      <c r="H372" s="12">
        <v>42353</v>
      </c>
      <c r="I372" s="9">
        <v>1</v>
      </c>
      <c r="J372" s="12">
        <v>42376</v>
      </c>
      <c r="K372" s="9">
        <v>1</v>
      </c>
      <c r="L372" s="9">
        <v>2</v>
      </c>
      <c r="M372" s="10" t="s">
        <v>401</v>
      </c>
      <c r="N372" s="9">
        <v>1</v>
      </c>
      <c r="O372" s="10" t="s">
        <v>401</v>
      </c>
      <c r="P372" s="9">
        <v>1</v>
      </c>
      <c r="Q372" s="10" t="s">
        <v>401</v>
      </c>
      <c r="R372" s="12">
        <v>42628</v>
      </c>
      <c r="S372" s="10" t="s">
        <v>145</v>
      </c>
      <c r="T372" s="9"/>
      <c r="U372" s="10" t="s">
        <v>401</v>
      </c>
      <c r="V372" s="10" t="s">
        <v>401</v>
      </c>
      <c r="W372" s="9"/>
      <c r="X372" s="9"/>
      <c r="Y372" s="9">
        <v>2</v>
      </c>
      <c r="Z372" s="14">
        <v>1</v>
      </c>
      <c r="AA372" s="15">
        <v>12.3</v>
      </c>
      <c r="AB372" s="16">
        <v>100</v>
      </c>
      <c r="AC372" s="16">
        <v>13</v>
      </c>
      <c r="AD372" s="9">
        <v>2</v>
      </c>
      <c r="AE372" s="9">
        <v>2</v>
      </c>
      <c r="AF372" s="9">
        <v>1</v>
      </c>
      <c r="AG372" s="9">
        <v>1</v>
      </c>
      <c r="AH372" s="9">
        <v>1</v>
      </c>
      <c r="AI372" s="9">
        <v>1</v>
      </c>
      <c r="AJ372" s="12">
        <v>43122</v>
      </c>
      <c r="AK372" s="9">
        <v>2</v>
      </c>
      <c r="AL372" s="12">
        <v>43223</v>
      </c>
      <c r="AM372" s="9">
        <v>4</v>
      </c>
      <c r="AN372" s="12">
        <v>43238</v>
      </c>
      <c r="AO372" s="12">
        <v>43238</v>
      </c>
      <c r="AP372" s="12">
        <v>43238</v>
      </c>
      <c r="AQ372" s="9">
        <v>1</v>
      </c>
      <c r="AR372" s="9">
        <f t="shared" si="125"/>
        <v>1</v>
      </c>
      <c r="AS372" s="9">
        <v>1</v>
      </c>
      <c r="AT372" s="9">
        <v>2</v>
      </c>
      <c r="AU372" s="9">
        <v>2</v>
      </c>
      <c r="AV372" s="9">
        <f t="shared" si="126"/>
        <v>1</v>
      </c>
      <c r="AW372" s="12">
        <v>43729</v>
      </c>
      <c r="AX372" s="9">
        <v>5080</v>
      </c>
      <c r="AY372" s="9">
        <v>3300</v>
      </c>
      <c r="AZ372" s="9">
        <v>1350</v>
      </c>
      <c r="BA372" s="9">
        <v>3300</v>
      </c>
      <c r="BB372" s="9">
        <v>1350.0001220703125</v>
      </c>
      <c r="BC372" s="9">
        <v>245000</v>
      </c>
      <c r="BD372" s="9">
        <v>370</v>
      </c>
      <c r="BE372" s="9">
        <v>50</v>
      </c>
      <c r="BF372" s="9">
        <v>492</v>
      </c>
      <c r="BG372" s="9">
        <v>5140</v>
      </c>
      <c r="BH372" s="9">
        <v>3400</v>
      </c>
      <c r="BI372" s="9">
        <v>1250</v>
      </c>
      <c r="BJ372" s="9">
        <v>261000</v>
      </c>
      <c r="BK372" s="9">
        <v>270</v>
      </c>
      <c r="BL372" s="9">
        <v>120</v>
      </c>
      <c r="BM372" s="9">
        <v>651</v>
      </c>
      <c r="BN372" s="9">
        <v>5720</v>
      </c>
      <c r="BO372" s="9">
        <v>3910</v>
      </c>
      <c r="BP372" s="9">
        <v>1330</v>
      </c>
      <c r="BQ372" s="9">
        <v>232000</v>
      </c>
      <c r="BR372" s="9">
        <v>240</v>
      </c>
      <c r="BS372" s="9">
        <v>160</v>
      </c>
      <c r="BT372" s="9">
        <v>672</v>
      </c>
      <c r="BU372" s="9">
        <v>10320</v>
      </c>
      <c r="BV372" s="9">
        <v>8450</v>
      </c>
      <c r="BW372" s="9">
        <v>1240</v>
      </c>
      <c r="BX372" s="9">
        <v>255000</v>
      </c>
      <c r="BY372" s="9">
        <v>530</v>
      </c>
      <c r="BZ372" s="10" t="s">
        <v>307</v>
      </c>
      <c r="CA372" s="9">
        <v>20</v>
      </c>
      <c r="CB372" s="9">
        <v>607</v>
      </c>
      <c r="CC372" s="10">
        <f t="shared" si="127"/>
        <v>2.4444442234118</v>
      </c>
      <c r="CD372" s="10">
        <f t="shared" si="128"/>
        <v>181.48146507148212</v>
      </c>
      <c r="CE372" s="10">
        <f t="shared" si="141"/>
        <v>598888.83473589097</v>
      </c>
      <c r="CF372" s="10">
        <f t="shared" si="142"/>
        <v>0</v>
      </c>
      <c r="CG372" s="10">
        <f t="shared" si="122"/>
        <v>0</v>
      </c>
      <c r="CH372" s="10">
        <f t="shared" si="123"/>
        <v>4</v>
      </c>
      <c r="CI372" s="9">
        <f t="shared" si="129"/>
        <v>1</v>
      </c>
      <c r="CJ372" s="10">
        <f t="shared" si="124"/>
        <v>20</v>
      </c>
      <c r="CK372" s="10" t="b">
        <f t="shared" si="130"/>
        <v>1</v>
      </c>
      <c r="CL372" s="10" t="b">
        <f t="shared" si="131"/>
        <v>1</v>
      </c>
      <c r="CM372" s="10" t="b">
        <f t="shared" si="132"/>
        <v>0</v>
      </c>
      <c r="CN372" s="9">
        <f t="shared" si="133"/>
        <v>1</v>
      </c>
      <c r="CO372" s="10">
        <f t="shared" si="143"/>
        <v>4</v>
      </c>
      <c r="CP372" s="10" t="b">
        <f t="shared" si="134"/>
        <v>1</v>
      </c>
      <c r="CQ372" s="10" t="b">
        <f t="shared" si="135"/>
        <v>0</v>
      </c>
      <c r="CR372" s="10" cm="1">
        <f t="array" ref="CR372">_xlfn.IFS(AND($CI372=0, CK372=FALSE), NA(), AND($CI372=1, CK372=FALSE), 0, CK372=TRUE, 1)</f>
        <v>1</v>
      </c>
      <c r="CS372" s="10" cm="1">
        <f t="array" ref="CS372">_xlfn.IFS(AND($CI372=0, CL372=FALSE), NA(), AND($CI372=1, CL372=FALSE), 0, CL372=TRUE, 1)</f>
        <v>1</v>
      </c>
      <c r="CT372" s="10" cm="1">
        <f t="array" ref="CT372">_xlfn.IFS(AND($CI372=0, CM372=FALSE), NA(), AND($CI372=1, CM372=FALSE), 0, CM372=TRUE, 1)</f>
        <v>0</v>
      </c>
      <c r="CU372" s="10" cm="1">
        <f t="array" ref="CU372">_xlfn.IFS(AND($CN372=0, CP372=FALSE), NA(), AND($CN372=1, CP372=FALSE), 0, CP372=TRUE, 1)</f>
        <v>1</v>
      </c>
      <c r="CV372" s="10" cm="1">
        <f t="array" ref="CV372">_xlfn.IFS(AND($CN372=0, CQ372=FALSE), NA(), AND($CN372=1, CQ372=FALSE), 0, CQ372=TRUE, 1)</f>
        <v>0</v>
      </c>
    </row>
    <row r="373" spans="1:100" ht="15.75" x14ac:dyDescent="0.25">
      <c r="A373" s="8">
        <v>372</v>
      </c>
      <c r="B373" s="9">
        <v>252</v>
      </c>
      <c r="C373" s="10" t="s">
        <v>20</v>
      </c>
      <c r="D373" s="11" t="s">
        <v>238</v>
      </c>
      <c r="E373" s="12">
        <v>20090</v>
      </c>
      <c r="F373" s="13">
        <v>1</v>
      </c>
      <c r="G373" s="9">
        <v>60.955509185791016</v>
      </c>
      <c r="H373" s="12">
        <v>42354</v>
      </c>
      <c r="I373" s="9">
        <v>1</v>
      </c>
      <c r="J373" s="12">
        <v>42354</v>
      </c>
      <c r="K373" s="9">
        <v>1</v>
      </c>
      <c r="L373" s="9">
        <v>4</v>
      </c>
      <c r="M373" s="10" t="s">
        <v>405</v>
      </c>
      <c r="N373" s="9">
        <v>2</v>
      </c>
      <c r="O373" s="10" t="s">
        <v>411</v>
      </c>
      <c r="P373" s="9">
        <v>2</v>
      </c>
      <c r="Q373" s="10" t="s">
        <v>145</v>
      </c>
      <c r="R373" s="12">
        <v>42410</v>
      </c>
      <c r="S373" s="10" t="s">
        <v>145</v>
      </c>
      <c r="T373" s="9"/>
      <c r="U373" s="10" t="s">
        <v>401</v>
      </c>
      <c r="V373" s="10" t="s">
        <v>401</v>
      </c>
      <c r="W373" s="9"/>
      <c r="X373" s="9"/>
      <c r="Y373" s="9">
        <v>2</v>
      </c>
      <c r="Z373" s="14">
        <v>1</v>
      </c>
      <c r="AB373" s="9"/>
      <c r="AC373" s="9"/>
      <c r="AD373" s="9">
        <v>2</v>
      </c>
      <c r="AE373" s="9">
        <v>2</v>
      </c>
      <c r="AF373" s="9">
        <v>2</v>
      </c>
      <c r="AG373" s="9">
        <v>1</v>
      </c>
      <c r="AH373" s="9">
        <v>0</v>
      </c>
      <c r="AI373" s="9">
        <v>0</v>
      </c>
      <c r="AJ373" s="12">
        <v>42815</v>
      </c>
      <c r="AK373" s="9">
        <v>2</v>
      </c>
      <c r="AL373" s="12">
        <v>43245</v>
      </c>
      <c r="AM373" s="9">
        <v>2</v>
      </c>
      <c r="AN373" s="12">
        <v>42982</v>
      </c>
      <c r="AO373" s="12">
        <v>43238</v>
      </c>
      <c r="AP373" s="12">
        <v>43238</v>
      </c>
      <c r="AQ373" s="9">
        <v>1</v>
      </c>
      <c r="AR373" s="9">
        <f t="shared" si="125"/>
        <v>1</v>
      </c>
      <c r="AS373" s="9">
        <v>1</v>
      </c>
      <c r="AT373" s="9">
        <v>2</v>
      </c>
      <c r="AU373" s="9">
        <v>2</v>
      </c>
      <c r="AV373" s="9">
        <f t="shared" si="126"/>
        <v>1</v>
      </c>
      <c r="AW373" s="12">
        <v>44070</v>
      </c>
      <c r="AX373" s="9">
        <v>4030</v>
      </c>
      <c r="AY373" s="9">
        <v>2340</v>
      </c>
      <c r="AZ373" s="9"/>
      <c r="BA373" s="9">
        <v>2340</v>
      </c>
      <c r="BB373" s="9">
        <v>1019.065185546875</v>
      </c>
      <c r="BC373" s="9">
        <v>135000</v>
      </c>
      <c r="BD373" s="9"/>
      <c r="BE373" s="9"/>
      <c r="BF373" s="9"/>
      <c r="BG373" s="9">
        <v>6980</v>
      </c>
      <c r="BH373" s="9">
        <v>3420</v>
      </c>
      <c r="BI373" s="9"/>
      <c r="BJ373" s="9">
        <v>292000</v>
      </c>
      <c r="BK373" s="9"/>
      <c r="BL373" s="9"/>
      <c r="BM373" s="9"/>
      <c r="BN373" s="9">
        <v>6050</v>
      </c>
      <c r="BO373" s="9">
        <v>3690</v>
      </c>
      <c r="BP373" s="9"/>
      <c r="BQ373" s="9">
        <v>175000</v>
      </c>
      <c r="BR373" s="9"/>
      <c r="BS373" s="9"/>
      <c r="BT373" s="9"/>
      <c r="BU373" s="9"/>
      <c r="BV373" s="9"/>
      <c r="BW373" s="9"/>
      <c r="BX373" s="9"/>
      <c r="BY373" s="9"/>
      <c r="BZ373" s="10" t="s">
        <v>401</v>
      </c>
      <c r="CA373" s="9"/>
      <c r="CB373" s="9"/>
      <c r="CC373" s="10">
        <f t="shared" si="127"/>
        <v>2.2962220996140239</v>
      </c>
      <c r="CD373" s="10">
        <f t="shared" si="128"/>
        <v>132.47435190080907</v>
      </c>
      <c r="CE373" s="10">
        <f t="shared" si="141"/>
        <v>309989.98344789323</v>
      </c>
      <c r="CF373" s="10">
        <f t="shared" si="142"/>
        <v>1</v>
      </c>
      <c r="CG373" s="10">
        <f t="shared" si="122"/>
        <v>1</v>
      </c>
      <c r="CH373" s="10">
        <f t="shared" si="123"/>
        <v>14</v>
      </c>
      <c r="CI373" s="9">
        <f t="shared" si="129"/>
        <v>1</v>
      </c>
      <c r="CJ373" s="10">
        <f t="shared" si="124"/>
        <v>41</v>
      </c>
      <c r="CK373" s="10" t="b">
        <f t="shared" si="130"/>
        <v>1</v>
      </c>
      <c r="CL373" s="10" t="b">
        <f t="shared" si="131"/>
        <v>1</v>
      </c>
      <c r="CM373" s="10" t="b">
        <f t="shared" si="132"/>
        <v>1</v>
      </c>
      <c r="CN373" s="9">
        <f t="shared" si="133"/>
        <v>1</v>
      </c>
      <c r="CO373" s="10">
        <f t="shared" si="143"/>
        <v>14</v>
      </c>
      <c r="CP373" s="10" t="b">
        <f t="shared" si="134"/>
        <v>1</v>
      </c>
      <c r="CQ373" s="10" t="b">
        <f t="shared" si="135"/>
        <v>1</v>
      </c>
      <c r="CR373" s="10" cm="1">
        <f t="array" ref="CR373">_xlfn.IFS(AND($CI373=0, CK373=FALSE), NA(), AND($CI373=1, CK373=FALSE), 0, CK373=TRUE, 1)</f>
        <v>1</v>
      </c>
      <c r="CS373" s="10" cm="1">
        <f t="array" ref="CS373">_xlfn.IFS(AND($CI373=0, CL373=FALSE), NA(), AND($CI373=1, CL373=FALSE), 0, CL373=TRUE, 1)</f>
        <v>1</v>
      </c>
      <c r="CT373" s="10" cm="1">
        <f t="array" ref="CT373">_xlfn.IFS(AND($CI373=0, CM373=FALSE), NA(), AND($CI373=1, CM373=FALSE), 0, CM373=TRUE, 1)</f>
        <v>1</v>
      </c>
      <c r="CU373" s="10" cm="1">
        <f t="array" ref="CU373">_xlfn.IFS(AND($CN373=0, CP373=FALSE), NA(), AND($CN373=1, CP373=FALSE), 0, CP373=TRUE, 1)</f>
        <v>1</v>
      </c>
      <c r="CV373" s="10" cm="1">
        <f t="array" ref="CV373">_xlfn.IFS(AND($CN373=0, CQ373=FALSE), NA(), AND($CN373=1, CQ373=FALSE), 0, CQ373=TRUE, 1)</f>
        <v>1</v>
      </c>
    </row>
    <row r="374" spans="1:100" ht="15.75" x14ac:dyDescent="0.25">
      <c r="A374" s="8">
        <v>373</v>
      </c>
      <c r="B374" s="9">
        <v>415</v>
      </c>
      <c r="C374" s="10" t="s">
        <v>29</v>
      </c>
      <c r="D374" s="11" t="s">
        <v>327</v>
      </c>
      <c r="E374" s="12">
        <v>11988</v>
      </c>
      <c r="F374" s="13">
        <v>1</v>
      </c>
      <c r="G374" s="9">
        <v>83.143051147460938</v>
      </c>
      <c r="H374" s="12">
        <v>42356</v>
      </c>
      <c r="I374" s="9">
        <v>0</v>
      </c>
      <c r="J374" s="12"/>
      <c r="K374" s="9">
        <v>1</v>
      </c>
      <c r="L374" s="9">
        <v>1</v>
      </c>
      <c r="M374" s="10" t="s">
        <v>401</v>
      </c>
      <c r="N374" s="9">
        <v>3</v>
      </c>
      <c r="O374" s="10" t="s">
        <v>434</v>
      </c>
      <c r="P374" s="9">
        <v>3</v>
      </c>
      <c r="Q374" s="10" t="s">
        <v>419</v>
      </c>
      <c r="R374" s="12">
        <v>42351</v>
      </c>
      <c r="S374" s="10" t="s">
        <v>146</v>
      </c>
      <c r="T374" s="9"/>
      <c r="U374" s="10" t="s">
        <v>401</v>
      </c>
      <c r="V374" s="10" t="s">
        <v>401</v>
      </c>
      <c r="W374" s="9"/>
      <c r="X374" s="9"/>
      <c r="Y374" s="9">
        <v>2</v>
      </c>
      <c r="Z374" s="14">
        <v>2</v>
      </c>
      <c r="AA374" s="17">
        <v>10.6</v>
      </c>
      <c r="AB374" s="18">
        <v>107</v>
      </c>
      <c r="AC374" s="18">
        <v>14</v>
      </c>
      <c r="AD374" s="9">
        <v>2</v>
      </c>
      <c r="AE374" s="9">
        <v>2</v>
      </c>
      <c r="AF374" s="9">
        <v>2</v>
      </c>
      <c r="AG374" s="9">
        <v>1</v>
      </c>
      <c r="AH374" s="9">
        <v>0</v>
      </c>
      <c r="AI374" s="9">
        <v>1</v>
      </c>
      <c r="AJ374" s="12">
        <v>42989</v>
      </c>
      <c r="AK374" s="9">
        <v>2</v>
      </c>
      <c r="AL374" s="12">
        <v>43255</v>
      </c>
      <c r="AM374" s="9">
        <v>2</v>
      </c>
      <c r="AN374" s="12">
        <v>43213</v>
      </c>
      <c r="AO374" s="12">
        <v>43318</v>
      </c>
      <c r="AP374" s="12">
        <v>43318</v>
      </c>
      <c r="AQ374" s="9">
        <v>1</v>
      </c>
      <c r="AR374" s="9">
        <f t="shared" si="125"/>
        <v>1</v>
      </c>
      <c r="AS374" s="9">
        <v>1</v>
      </c>
      <c r="AT374" s="9">
        <v>2</v>
      </c>
      <c r="AU374" s="9">
        <v>2</v>
      </c>
      <c r="AV374" s="9">
        <f t="shared" si="126"/>
        <v>1</v>
      </c>
      <c r="AW374" s="12">
        <v>43318</v>
      </c>
      <c r="AX374" s="9">
        <v>5600</v>
      </c>
      <c r="AY374" s="9">
        <v>2900</v>
      </c>
      <c r="AZ374" s="9">
        <v>1900</v>
      </c>
      <c r="BA374" s="9">
        <v>2900</v>
      </c>
      <c r="BB374" s="9">
        <v>1900</v>
      </c>
      <c r="BC374" s="9">
        <v>293000</v>
      </c>
      <c r="BD374" s="9">
        <v>500</v>
      </c>
      <c r="BE374" s="9">
        <v>400</v>
      </c>
      <c r="BF374" s="9"/>
      <c r="BG374" s="9">
        <v>3350</v>
      </c>
      <c r="BH374" s="9">
        <v>2300</v>
      </c>
      <c r="BI374" s="9">
        <v>1600</v>
      </c>
      <c r="BJ374" s="9">
        <v>244000</v>
      </c>
      <c r="BK374" s="9">
        <v>600</v>
      </c>
      <c r="BL374" s="9">
        <v>600</v>
      </c>
      <c r="BM374" s="9"/>
      <c r="BN374" s="9">
        <v>4900</v>
      </c>
      <c r="BO374" s="9">
        <v>2200</v>
      </c>
      <c r="BP374" s="9">
        <v>1764</v>
      </c>
      <c r="BQ374" s="9">
        <v>261000</v>
      </c>
      <c r="BR374" s="9">
        <v>480</v>
      </c>
      <c r="BS374" s="9">
        <v>330</v>
      </c>
      <c r="BT374" s="9"/>
      <c r="BU374" s="9">
        <v>5810</v>
      </c>
      <c r="BV374" s="9">
        <v>2780</v>
      </c>
      <c r="BW374" s="9">
        <v>1800</v>
      </c>
      <c r="BX374" s="9">
        <v>278000</v>
      </c>
      <c r="BY374" s="9">
        <v>690</v>
      </c>
      <c r="BZ374" s="10" t="s">
        <v>578</v>
      </c>
      <c r="CA374" s="9">
        <v>490</v>
      </c>
      <c r="CB374" s="9"/>
      <c r="CC374" s="10">
        <f t="shared" si="127"/>
        <v>1.5263157894736843</v>
      </c>
      <c r="CD374" s="10">
        <f t="shared" si="128"/>
        <v>154.21052631578948</v>
      </c>
      <c r="CE374" s="10">
        <f t="shared" si="141"/>
        <v>447210.5263157895</v>
      </c>
      <c r="CF374" s="10">
        <f t="shared" si="142"/>
        <v>1</v>
      </c>
      <c r="CG374" s="10">
        <f t="shared" si="122"/>
        <v>1</v>
      </c>
      <c r="CH374" s="10">
        <f t="shared" si="123"/>
        <v>9</v>
      </c>
      <c r="CI374" s="9">
        <f t="shared" si="129"/>
        <v>1</v>
      </c>
      <c r="CJ374" s="10">
        <f t="shared" si="124"/>
        <v>11</v>
      </c>
      <c r="CK374" s="10" t="b">
        <f t="shared" si="130"/>
        <v>1</v>
      </c>
      <c r="CL374" s="10" t="b">
        <f t="shared" si="131"/>
        <v>0</v>
      </c>
      <c r="CM374" s="10" t="b">
        <f t="shared" si="132"/>
        <v>0</v>
      </c>
      <c r="CN374" s="9">
        <f t="shared" si="133"/>
        <v>1</v>
      </c>
      <c r="CO374" s="10">
        <f t="shared" si="143"/>
        <v>11</v>
      </c>
      <c r="CP374" s="10" t="b">
        <f t="shared" si="134"/>
        <v>1</v>
      </c>
      <c r="CQ374" s="10" t="b">
        <f t="shared" si="135"/>
        <v>1</v>
      </c>
      <c r="CR374" s="10" cm="1">
        <f t="array" ref="CR374">_xlfn.IFS(AND($CI374=0, CK374=FALSE), NA(), AND($CI374=1, CK374=FALSE), 0, CK374=TRUE, 1)</f>
        <v>1</v>
      </c>
      <c r="CS374" s="10" cm="1">
        <f t="array" ref="CS374">_xlfn.IFS(AND($CI374=0, CL374=FALSE), NA(), AND($CI374=1, CL374=FALSE), 0, CL374=TRUE, 1)</f>
        <v>0</v>
      </c>
      <c r="CT374" s="10" cm="1">
        <f t="array" ref="CT374">_xlfn.IFS(AND($CI374=0, CM374=FALSE), NA(), AND($CI374=1, CM374=FALSE), 0, CM374=TRUE, 1)</f>
        <v>0</v>
      </c>
      <c r="CU374" s="10" cm="1">
        <f t="array" ref="CU374">_xlfn.IFS(AND($CN374=0, CP374=FALSE), NA(), AND($CN374=1, CP374=FALSE), 0, CP374=TRUE, 1)</f>
        <v>1</v>
      </c>
      <c r="CV374" s="10" cm="1">
        <f t="array" ref="CV374">_xlfn.IFS(AND($CN374=0, CQ374=FALSE), NA(), AND($CN374=1, CQ374=FALSE), 0, CQ374=TRUE, 1)</f>
        <v>1</v>
      </c>
    </row>
    <row r="375" spans="1:100" ht="15.75" x14ac:dyDescent="0.25">
      <c r="A375" s="8">
        <v>374</v>
      </c>
      <c r="B375" s="9">
        <v>15</v>
      </c>
      <c r="C375" s="10" t="s">
        <v>4</v>
      </c>
      <c r="D375" s="11" t="s">
        <v>51</v>
      </c>
      <c r="E375" s="12">
        <v>15675</v>
      </c>
      <c r="F375" s="13">
        <v>1</v>
      </c>
      <c r="G375" s="9">
        <v>73.056808471679688</v>
      </c>
      <c r="H375" s="12">
        <v>42359</v>
      </c>
      <c r="I375" s="9">
        <v>1</v>
      </c>
      <c r="J375" s="12">
        <v>42367</v>
      </c>
      <c r="K375" s="9">
        <v>1</v>
      </c>
      <c r="L375" s="9">
        <v>1</v>
      </c>
      <c r="M375" s="10" t="s">
        <v>401</v>
      </c>
      <c r="N375" s="9">
        <v>2</v>
      </c>
      <c r="O375" s="10" t="s">
        <v>145</v>
      </c>
      <c r="P375" s="9">
        <v>2</v>
      </c>
      <c r="Q375" s="10" t="s">
        <v>145</v>
      </c>
      <c r="R375" s="12">
        <v>42332</v>
      </c>
      <c r="S375" s="10" t="s">
        <v>146</v>
      </c>
      <c r="T375" s="9"/>
      <c r="U375" s="10" t="s">
        <v>401</v>
      </c>
      <c r="V375" s="10" t="s">
        <v>401</v>
      </c>
      <c r="W375" s="9"/>
      <c r="X375" s="9"/>
      <c r="Y375" s="9">
        <v>2</v>
      </c>
      <c r="Z375" s="14">
        <v>2</v>
      </c>
      <c r="AA375" s="17">
        <v>11.5</v>
      </c>
      <c r="AB375" s="18">
        <v>82</v>
      </c>
      <c r="AC375" s="9"/>
      <c r="AD375" s="9">
        <v>2</v>
      </c>
      <c r="AE375" s="9">
        <v>2</v>
      </c>
      <c r="AF375" s="9">
        <v>1</v>
      </c>
      <c r="AG375" s="9">
        <v>1</v>
      </c>
      <c r="AH375" s="9">
        <v>1</v>
      </c>
      <c r="AI375" s="9">
        <v>0</v>
      </c>
      <c r="AJ375" s="12">
        <v>43551</v>
      </c>
      <c r="AK375" s="9">
        <v>2</v>
      </c>
      <c r="AL375" s="12">
        <v>44280</v>
      </c>
      <c r="AM375" s="9">
        <v>2</v>
      </c>
      <c r="AN375" s="12">
        <v>43768</v>
      </c>
      <c r="AO375" s="12"/>
      <c r="AP375" s="12"/>
      <c r="AQ375" s="9">
        <v>2</v>
      </c>
      <c r="AR375" s="9">
        <f t="shared" si="125"/>
        <v>0</v>
      </c>
      <c r="AS375" s="9">
        <v>2</v>
      </c>
      <c r="AT375" s="9"/>
      <c r="AU375" s="9">
        <v>1</v>
      </c>
      <c r="AV375" s="9">
        <f t="shared" si="126"/>
        <v>0</v>
      </c>
      <c r="AW375" s="12">
        <v>44939</v>
      </c>
      <c r="AX375" s="9">
        <v>6900</v>
      </c>
      <c r="AY375" s="9">
        <v>5000</v>
      </c>
      <c r="AZ375" s="9">
        <v>900</v>
      </c>
      <c r="BA375" s="9">
        <v>5000</v>
      </c>
      <c r="BB375" s="9">
        <v>900.0001220703125</v>
      </c>
      <c r="BC375" s="9">
        <v>202000</v>
      </c>
      <c r="BD375" s="9">
        <v>600</v>
      </c>
      <c r="BE375" s="9">
        <v>300</v>
      </c>
      <c r="BF375" s="9">
        <v>222</v>
      </c>
      <c r="BG375" s="9">
        <v>7240</v>
      </c>
      <c r="BH375" s="9">
        <v>5500</v>
      </c>
      <c r="BI375" s="9">
        <v>800</v>
      </c>
      <c r="BJ375" s="9">
        <v>196000</v>
      </c>
      <c r="BK375" s="9">
        <v>600</v>
      </c>
      <c r="BL375" s="9">
        <v>300</v>
      </c>
      <c r="BM375" s="9">
        <v>333</v>
      </c>
      <c r="BN375" s="9">
        <v>7030</v>
      </c>
      <c r="BO375" s="9">
        <v>5300</v>
      </c>
      <c r="BP375" s="9">
        <v>800</v>
      </c>
      <c r="BQ375" s="9">
        <v>212000</v>
      </c>
      <c r="BR375" s="9">
        <v>600</v>
      </c>
      <c r="BS375" s="9">
        <v>300</v>
      </c>
      <c r="BT375" s="9"/>
      <c r="BU375" s="9">
        <v>8480</v>
      </c>
      <c r="BV375" s="9">
        <v>6200</v>
      </c>
      <c r="BW375" s="9">
        <v>1100</v>
      </c>
      <c r="BX375" s="9">
        <v>237000</v>
      </c>
      <c r="BY375" s="9">
        <v>800</v>
      </c>
      <c r="BZ375" s="10" t="s">
        <v>542</v>
      </c>
      <c r="CA375" s="9">
        <v>300</v>
      </c>
      <c r="CB375" s="9">
        <v>200</v>
      </c>
      <c r="CC375" s="10">
        <f t="shared" si="127"/>
        <v>5.5555548020352106</v>
      </c>
      <c r="CD375" s="10">
        <f t="shared" si="128"/>
        <v>224.44441400222249</v>
      </c>
      <c r="CE375" s="10">
        <f t="shared" si="141"/>
        <v>1122222.0700111126</v>
      </c>
      <c r="CF375" s="10">
        <f t="shared" si="142"/>
        <v>1</v>
      </c>
      <c r="CG375" s="10">
        <f t="shared" si="122"/>
        <v>1</v>
      </c>
      <c r="CH375" s="10">
        <f t="shared" si="123"/>
        <v>24</v>
      </c>
      <c r="CI375" s="9">
        <f t="shared" si="129"/>
        <v>0</v>
      </c>
      <c r="CJ375" s="10">
        <f t="shared" si="124"/>
        <v>46</v>
      </c>
      <c r="CK375" s="10" t="b">
        <f t="shared" si="130"/>
        <v>1</v>
      </c>
      <c r="CL375" s="10" t="b">
        <f t="shared" si="131"/>
        <v>1</v>
      </c>
      <c r="CM375" s="10" t="b">
        <f t="shared" si="132"/>
        <v>1</v>
      </c>
      <c r="CN375" s="9">
        <f t="shared" si="133"/>
        <v>0</v>
      </c>
      <c r="CO375" s="10">
        <f>CJ375</f>
        <v>46</v>
      </c>
      <c r="CP375" s="10" t="b">
        <f t="shared" si="134"/>
        <v>1</v>
      </c>
      <c r="CQ375" s="10" t="b">
        <f t="shared" si="135"/>
        <v>1</v>
      </c>
      <c r="CR375" s="10" cm="1">
        <f t="array" ref="CR375">_xlfn.IFS(AND($CI375=0, CK375=FALSE), NA(), AND($CI375=1, CK375=FALSE), 0, CK375=TRUE, 1)</f>
        <v>1</v>
      </c>
      <c r="CS375" s="10" cm="1">
        <f t="array" ref="CS375">_xlfn.IFS(AND($CI375=0, CL375=FALSE), NA(), AND($CI375=1, CL375=FALSE), 0, CL375=TRUE, 1)</f>
        <v>1</v>
      </c>
      <c r="CT375" s="10" cm="1">
        <f t="array" ref="CT375">_xlfn.IFS(AND($CI375=0, CM375=FALSE), NA(), AND($CI375=1, CM375=FALSE), 0, CM375=TRUE, 1)</f>
        <v>1</v>
      </c>
      <c r="CU375" s="10" cm="1">
        <f t="array" ref="CU375">_xlfn.IFS(AND($CN375=0, CP375=FALSE), NA(), AND($CN375=1, CP375=FALSE), 0, CP375=TRUE, 1)</f>
        <v>1</v>
      </c>
      <c r="CV375" s="10" cm="1">
        <f t="array" ref="CV375">_xlfn.IFS(AND($CN375=0, CQ375=FALSE), NA(), AND($CN375=1, CQ375=FALSE), 0, CQ375=TRUE, 1)</f>
        <v>1</v>
      </c>
    </row>
    <row r="376" spans="1:100" ht="15.75" x14ac:dyDescent="0.25">
      <c r="A376" s="8">
        <v>375</v>
      </c>
      <c r="B376" s="9">
        <v>418</v>
      </c>
      <c r="C376" s="10" t="s">
        <v>29</v>
      </c>
      <c r="D376" s="11" t="s">
        <v>330</v>
      </c>
      <c r="E376" s="12">
        <v>15720</v>
      </c>
      <c r="F376" s="13">
        <v>2</v>
      </c>
      <c r="G376" s="9">
        <v>72.941818237304688</v>
      </c>
      <c r="H376" s="12">
        <v>42362</v>
      </c>
      <c r="I376" s="9">
        <v>1</v>
      </c>
      <c r="J376" s="12">
        <v>42362</v>
      </c>
      <c r="K376" s="9">
        <v>0</v>
      </c>
      <c r="L376" s="9">
        <v>3</v>
      </c>
      <c r="M376" s="10" t="s">
        <v>401</v>
      </c>
      <c r="N376" s="9">
        <v>1</v>
      </c>
      <c r="O376" s="10" t="s">
        <v>401</v>
      </c>
      <c r="P376" s="9">
        <v>1</v>
      </c>
      <c r="Q376" s="10" t="s">
        <v>401</v>
      </c>
      <c r="R376" s="12">
        <v>43181</v>
      </c>
      <c r="S376" s="10" t="s">
        <v>145</v>
      </c>
      <c r="T376" s="9"/>
      <c r="U376" s="10" t="s">
        <v>401</v>
      </c>
      <c r="V376" s="10" t="s">
        <v>401</v>
      </c>
      <c r="W376" s="9"/>
      <c r="X376" s="9"/>
      <c r="Y376" s="9">
        <v>2</v>
      </c>
      <c r="Z376" s="14">
        <v>1</v>
      </c>
      <c r="AA376" s="17">
        <v>13.3</v>
      </c>
      <c r="AB376" s="18"/>
      <c r="AC376" s="18"/>
      <c r="AD376" s="9">
        <v>2</v>
      </c>
      <c r="AE376" s="9">
        <v>2</v>
      </c>
      <c r="AF376" s="9">
        <v>1</v>
      </c>
      <c r="AG376" s="9">
        <v>1</v>
      </c>
      <c r="AH376" s="9">
        <v>1</v>
      </c>
      <c r="AI376" s="9">
        <v>0</v>
      </c>
      <c r="AJ376" s="12">
        <v>43531</v>
      </c>
      <c r="AK376" s="9">
        <v>2</v>
      </c>
      <c r="AL376" s="12">
        <v>43671</v>
      </c>
      <c r="AM376" s="9">
        <v>2</v>
      </c>
      <c r="AN376" s="12">
        <v>43643</v>
      </c>
      <c r="AO376" s="12">
        <v>43699</v>
      </c>
      <c r="AP376" s="12">
        <v>43699</v>
      </c>
      <c r="AQ376" s="9">
        <v>1</v>
      </c>
      <c r="AR376" s="9">
        <f t="shared" si="125"/>
        <v>1</v>
      </c>
      <c r="AS376" s="9">
        <v>1</v>
      </c>
      <c r="AT376" s="9">
        <v>2</v>
      </c>
      <c r="AU376" s="9">
        <v>2</v>
      </c>
      <c r="AV376" s="9">
        <f t="shared" si="126"/>
        <v>1</v>
      </c>
      <c r="AW376" s="12">
        <v>44658</v>
      </c>
      <c r="AX376" s="9">
        <v>5100</v>
      </c>
      <c r="AY376" s="9">
        <v>4030</v>
      </c>
      <c r="AZ376" s="9">
        <v>980</v>
      </c>
      <c r="BA376" s="9">
        <v>4030</v>
      </c>
      <c r="BB376" s="9">
        <v>980.00018310546875</v>
      </c>
      <c r="BC376" s="9">
        <v>164000</v>
      </c>
      <c r="BD376" s="9">
        <v>98</v>
      </c>
      <c r="BE376" s="9">
        <v>15</v>
      </c>
      <c r="BF376" s="9"/>
      <c r="BG376" s="9">
        <v>5820</v>
      </c>
      <c r="BH376" s="9">
        <v>4030</v>
      </c>
      <c r="BI376" s="9">
        <v>1260</v>
      </c>
      <c r="BJ376" s="9">
        <v>203000</v>
      </c>
      <c r="BK376" s="9">
        <v>100</v>
      </c>
      <c r="BL376" s="9">
        <v>27</v>
      </c>
      <c r="BM376" s="9"/>
      <c r="BN376" s="9">
        <v>7000</v>
      </c>
      <c r="BO376" s="9">
        <v>3660</v>
      </c>
      <c r="BP376" s="9">
        <v>2800</v>
      </c>
      <c r="BQ376" s="9">
        <v>223000</v>
      </c>
      <c r="BR376" s="9">
        <v>105</v>
      </c>
      <c r="BS376" s="9">
        <v>57</v>
      </c>
      <c r="BT376" s="9"/>
      <c r="BU376" s="9">
        <v>5960</v>
      </c>
      <c r="BV376" s="9">
        <v>4052</v>
      </c>
      <c r="BW376" s="9">
        <v>1192</v>
      </c>
      <c r="BX376" s="9">
        <v>190000</v>
      </c>
      <c r="BY376" s="9">
        <v>107</v>
      </c>
      <c r="BZ376" s="10" t="s">
        <v>532</v>
      </c>
      <c r="CA376" s="9">
        <v>90</v>
      </c>
      <c r="CB376" s="9"/>
      <c r="CC376" s="10">
        <f t="shared" si="127"/>
        <v>4.1122441296179701</v>
      </c>
      <c r="CD376" s="10">
        <f t="shared" si="128"/>
        <v>167.34690750802659</v>
      </c>
      <c r="CE376" s="10">
        <f t="shared" si="141"/>
        <v>674408.03725734714</v>
      </c>
      <c r="CF376" s="10">
        <f t="shared" si="142"/>
        <v>1</v>
      </c>
      <c r="CG376" s="10">
        <f t="shared" si="122"/>
        <v>1</v>
      </c>
      <c r="CH376" s="10">
        <f t="shared" si="123"/>
        <v>4</v>
      </c>
      <c r="CI376" s="9">
        <f t="shared" si="129"/>
        <v>1</v>
      </c>
      <c r="CJ376" s="10">
        <f t="shared" si="124"/>
        <v>37</v>
      </c>
      <c r="CK376" s="10" t="b">
        <f t="shared" si="130"/>
        <v>1</v>
      </c>
      <c r="CL376" s="10" t="b">
        <f t="shared" si="131"/>
        <v>1</v>
      </c>
      <c r="CM376" s="10" t="b">
        <f t="shared" si="132"/>
        <v>1</v>
      </c>
      <c r="CN376" s="9">
        <f t="shared" si="133"/>
        <v>1</v>
      </c>
      <c r="CO376" s="10">
        <f t="shared" ref="CO376:CO387" si="144">(YEAR(AO376)-YEAR(AJ376))*12+MONTH(AO376)-MONTH(AJ376)</f>
        <v>5</v>
      </c>
      <c r="CP376" s="10" t="b">
        <f t="shared" si="134"/>
        <v>1</v>
      </c>
      <c r="CQ376" s="10" t="b">
        <f t="shared" si="135"/>
        <v>0</v>
      </c>
      <c r="CR376" s="10" cm="1">
        <f t="array" ref="CR376">_xlfn.IFS(AND($CI376=0, CK376=FALSE), NA(), AND($CI376=1, CK376=FALSE), 0, CK376=TRUE, 1)</f>
        <v>1</v>
      </c>
      <c r="CS376" s="10" cm="1">
        <f t="array" ref="CS376">_xlfn.IFS(AND($CI376=0, CL376=FALSE), NA(), AND($CI376=1, CL376=FALSE), 0, CL376=TRUE, 1)</f>
        <v>1</v>
      </c>
      <c r="CT376" s="10" cm="1">
        <f t="array" ref="CT376">_xlfn.IFS(AND($CI376=0, CM376=FALSE), NA(), AND($CI376=1, CM376=FALSE), 0, CM376=TRUE, 1)</f>
        <v>1</v>
      </c>
      <c r="CU376" s="10" cm="1">
        <f t="array" ref="CU376">_xlfn.IFS(AND($CN376=0, CP376=FALSE), NA(), AND($CN376=1, CP376=FALSE), 0, CP376=TRUE, 1)</f>
        <v>1</v>
      </c>
      <c r="CV376" s="10" cm="1">
        <f t="array" ref="CV376">_xlfn.IFS(AND($CN376=0, CQ376=FALSE), NA(), AND($CN376=1, CQ376=FALSE), 0, CQ376=TRUE, 1)</f>
        <v>0</v>
      </c>
    </row>
    <row r="377" spans="1:100" ht="15.75" x14ac:dyDescent="0.25">
      <c r="A377" s="8">
        <v>376</v>
      </c>
      <c r="B377" s="9">
        <v>379</v>
      </c>
      <c r="C377" s="10" t="s">
        <v>28</v>
      </c>
      <c r="D377" s="11" t="s">
        <v>295</v>
      </c>
      <c r="E377" s="12">
        <v>16163</v>
      </c>
      <c r="F377" s="13">
        <v>1</v>
      </c>
      <c r="G377" s="9">
        <v>71.780975341796875</v>
      </c>
      <c r="H377" s="12">
        <v>42381</v>
      </c>
      <c r="I377" s="9">
        <v>0</v>
      </c>
      <c r="J377" s="12"/>
      <c r="K377" s="9">
        <v>1</v>
      </c>
      <c r="L377" s="9">
        <v>1</v>
      </c>
      <c r="M377" s="10" t="s">
        <v>401</v>
      </c>
      <c r="N377" s="9">
        <v>2</v>
      </c>
      <c r="O377" s="10" t="s">
        <v>411</v>
      </c>
      <c r="P377" s="9">
        <v>2</v>
      </c>
      <c r="Q377" s="10" t="s">
        <v>411</v>
      </c>
      <c r="R377" s="12">
        <v>42381</v>
      </c>
      <c r="S377" s="10" t="s">
        <v>146</v>
      </c>
      <c r="T377" s="9"/>
      <c r="U377" s="10" t="s">
        <v>401</v>
      </c>
      <c r="V377" s="10" t="s">
        <v>401</v>
      </c>
      <c r="W377" s="9"/>
      <c r="X377" s="9"/>
      <c r="Y377" s="9">
        <v>2</v>
      </c>
      <c r="Z377" s="14">
        <v>2</v>
      </c>
      <c r="AA377" s="21">
        <v>13</v>
      </c>
      <c r="AB377" s="22">
        <v>101</v>
      </c>
      <c r="AC377" s="22">
        <v>14</v>
      </c>
      <c r="AD377" s="9">
        <v>2</v>
      </c>
      <c r="AE377" s="9">
        <v>2</v>
      </c>
      <c r="AF377" s="9">
        <v>1</v>
      </c>
      <c r="AG377" s="9">
        <v>1</v>
      </c>
      <c r="AH377" s="9">
        <v>1</v>
      </c>
      <c r="AI377" s="9">
        <v>1</v>
      </c>
      <c r="AJ377" s="12">
        <v>42961</v>
      </c>
      <c r="AK377" s="9">
        <v>2</v>
      </c>
      <c r="AL377" s="12">
        <v>42977</v>
      </c>
      <c r="AM377" s="9">
        <v>4</v>
      </c>
      <c r="AN377" s="12">
        <v>42979</v>
      </c>
      <c r="AO377" s="12">
        <v>42979</v>
      </c>
      <c r="AP377" s="12">
        <v>42979</v>
      </c>
      <c r="AQ377" s="9">
        <v>1</v>
      </c>
      <c r="AR377" s="9">
        <f t="shared" si="125"/>
        <v>1</v>
      </c>
      <c r="AS377" s="9">
        <v>1</v>
      </c>
      <c r="AT377" s="9">
        <v>2</v>
      </c>
      <c r="AU377" s="9">
        <v>2</v>
      </c>
      <c r="AV377" s="9">
        <f t="shared" si="126"/>
        <v>1</v>
      </c>
      <c r="AW377" s="12">
        <v>43632</v>
      </c>
      <c r="AX377" s="9">
        <v>5690</v>
      </c>
      <c r="AY377" s="9">
        <v>3640</v>
      </c>
      <c r="AZ377" s="9">
        <v>1090</v>
      </c>
      <c r="BA377" s="9">
        <v>3640</v>
      </c>
      <c r="BB377" s="9">
        <v>1090.000244140625</v>
      </c>
      <c r="BC377" s="9">
        <v>244000</v>
      </c>
      <c r="BD377" s="9">
        <v>800</v>
      </c>
      <c r="BE377" s="9">
        <v>0</v>
      </c>
      <c r="BF377" s="9">
        <v>474</v>
      </c>
      <c r="BG377" s="9">
        <v>7540</v>
      </c>
      <c r="BH377" s="9">
        <v>5340</v>
      </c>
      <c r="BI377" s="9">
        <v>1130</v>
      </c>
      <c r="BJ377" s="9">
        <v>204000</v>
      </c>
      <c r="BK377" s="9">
        <v>900</v>
      </c>
      <c r="BL377" s="9">
        <v>10</v>
      </c>
      <c r="BM377" s="9">
        <v>508</v>
      </c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10" t="s">
        <v>401</v>
      </c>
      <c r="CA377" s="9"/>
      <c r="CB377" s="9"/>
      <c r="CC377" s="10">
        <f t="shared" si="127"/>
        <v>3.3394487933072337</v>
      </c>
      <c r="CD377" s="10">
        <f t="shared" si="128"/>
        <v>223.85316087004531</v>
      </c>
      <c r="CE377" s="10">
        <f t="shared" si="141"/>
        <v>814825.50556696497</v>
      </c>
      <c r="CF377" s="10">
        <f t="shared" si="142"/>
        <v>0</v>
      </c>
      <c r="CG377" s="10">
        <f t="shared" si="122"/>
        <v>0</v>
      </c>
      <c r="CH377" s="10">
        <f t="shared" si="123"/>
        <v>0</v>
      </c>
      <c r="CI377" s="9">
        <f t="shared" si="129"/>
        <v>1</v>
      </c>
      <c r="CJ377" s="10">
        <f t="shared" si="124"/>
        <v>22</v>
      </c>
      <c r="CK377" s="10" t="b">
        <f t="shared" si="130"/>
        <v>1</v>
      </c>
      <c r="CL377" s="10" t="b">
        <f t="shared" si="131"/>
        <v>1</v>
      </c>
      <c r="CM377" s="10" t="b">
        <f t="shared" si="132"/>
        <v>0</v>
      </c>
      <c r="CN377" s="9">
        <f t="shared" si="133"/>
        <v>1</v>
      </c>
      <c r="CO377" s="10">
        <f t="shared" si="144"/>
        <v>1</v>
      </c>
      <c r="CP377" s="10" t="b">
        <f t="shared" si="134"/>
        <v>0</v>
      </c>
      <c r="CQ377" s="10" t="b">
        <f t="shared" si="135"/>
        <v>0</v>
      </c>
      <c r="CR377" s="10" cm="1">
        <f t="array" ref="CR377">_xlfn.IFS(AND($CI377=0, CK377=FALSE), NA(), AND($CI377=1, CK377=FALSE), 0, CK377=TRUE, 1)</f>
        <v>1</v>
      </c>
      <c r="CS377" s="10" cm="1">
        <f t="array" ref="CS377">_xlfn.IFS(AND($CI377=0, CL377=FALSE), NA(), AND($CI377=1, CL377=FALSE), 0, CL377=TRUE, 1)</f>
        <v>1</v>
      </c>
      <c r="CT377" s="10" cm="1">
        <f t="array" ref="CT377">_xlfn.IFS(AND($CI377=0, CM377=FALSE), NA(), AND($CI377=1, CM377=FALSE), 0, CM377=TRUE, 1)</f>
        <v>0</v>
      </c>
      <c r="CU377" s="10" cm="1">
        <f t="array" ref="CU377">_xlfn.IFS(AND($CN377=0, CP377=FALSE), NA(), AND($CN377=1, CP377=FALSE), 0, CP377=TRUE, 1)</f>
        <v>0</v>
      </c>
      <c r="CV377" s="10" cm="1">
        <f t="array" ref="CV377">_xlfn.IFS(AND($CN377=0, CQ377=FALSE), NA(), AND($CN377=1, CQ377=FALSE), 0, CQ377=TRUE, 1)</f>
        <v>0</v>
      </c>
    </row>
    <row r="378" spans="1:100" ht="15.75" x14ac:dyDescent="0.25">
      <c r="A378" s="8">
        <v>377</v>
      </c>
      <c r="B378" s="9">
        <v>550</v>
      </c>
      <c r="C378" s="10" t="s">
        <v>35</v>
      </c>
      <c r="D378" s="11" t="s">
        <v>211</v>
      </c>
      <c r="E378" s="12">
        <v>18511</v>
      </c>
      <c r="F378" s="13">
        <v>1</v>
      </c>
      <c r="G378" s="9">
        <v>65.355239868164063</v>
      </c>
      <c r="H378" s="12">
        <v>42382</v>
      </c>
      <c r="I378" s="9">
        <v>1</v>
      </c>
      <c r="J378" s="12">
        <v>42382</v>
      </c>
      <c r="K378" s="9">
        <v>0</v>
      </c>
      <c r="L378" s="9">
        <v>1</v>
      </c>
      <c r="M378" s="10" t="s">
        <v>401</v>
      </c>
      <c r="N378" s="9">
        <v>2</v>
      </c>
      <c r="O378" s="10" t="s">
        <v>145</v>
      </c>
      <c r="P378" s="9">
        <v>2</v>
      </c>
      <c r="Q378" s="10" t="s">
        <v>145</v>
      </c>
      <c r="R378" s="12">
        <v>42584</v>
      </c>
      <c r="S378" s="10" t="s">
        <v>145</v>
      </c>
      <c r="T378" s="9"/>
      <c r="U378" s="10" t="s">
        <v>401</v>
      </c>
      <c r="V378" s="10" t="s">
        <v>401</v>
      </c>
      <c r="W378" s="9"/>
      <c r="X378" s="9"/>
      <c r="Y378" s="9">
        <v>2</v>
      </c>
      <c r="Z378" s="14">
        <v>1</v>
      </c>
      <c r="AA378" s="17">
        <v>14.3</v>
      </c>
      <c r="AB378" s="18">
        <v>96</v>
      </c>
      <c r="AC378" s="9"/>
      <c r="AD378" s="9">
        <v>2</v>
      </c>
      <c r="AE378" s="9">
        <v>2</v>
      </c>
      <c r="AF378" s="9">
        <v>1</v>
      </c>
      <c r="AG378" s="9">
        <v>0</v>
      </c>
      <c r="AH378" s="9">
        <v>1</v>
      </c>
      <c r="AI378" s="9">
        <v>0</v>
      </c>
      <c r="AJ378" s="12">
        <v>43067</v>
      </c>
      <c r="AK378" s="9">
        <v>2</v>
      </c>
      <c r="AL378" s="12">
        <v>43109</v>
      </c>
      <c r="AM378" s="9">
        <v>4</v>
      </c>
      <c r="AN378" s="12">
        <v>43109</v>
      </c>
      <c r="AO378" s="12">
        <v>43147</v>
      </c>
      <c r="AP378" s="12">
        <v>43147</v>
      </c>
      <c r="AQ378" s="9">
        <v>1</v>
      </c>
      <c r="AR378" s="9">
        <f t="shared" si="125"/>
        <v>1</v>
      </c>
      <c r="AS378" s="9">
        <v>1</v>
      </c>
      <c r="AT378" s="9">
        <v>2</v>
      </c>
      <c r="AU378" s="9">
        <v>2</v>
      </c>
      <c r="AV378" s="9">
        <f t="shared" si="126"/>
        <v>1</v>
      </c>
      <c r="AW378" s="12">
        <v>43626</v>
      </c>
      <c r="AX378" s="9">
        <v>4800</v>
      </c>
      <c r="AY378" s="9">
        <v>2920</v>
      </c>
      <c r="AZ378" s="9">
        <v>1390</v>
      </c>
      <c r="BA378" s="9">
        <v>2920</v>
      </c>
      <c r="BB378" s="9">
        <v>1390.0001220703125</v>
      </c>
      <c r="BC378" s="9">
        <v>176000</v>
      </c>
      <c r="BD378" s="9">
        <v>260</v>
      </c>
      <c r="BE378" s="9">
        <v>200</v>
      </c>
      <c r="BF378" s="9"/>
      <c r="BG378" s="9">
        <v>6700</v>
      </c>
      <c r="BH378" s="9">
        <v>4340</v>
      </c>
      <c r="BI378" s="9">
        <v>1600</v>
      </c>
      <c r="BJ378" s="9">
        <v>184000</v>
      </c>
      <c r="BK378" s="9">
        <v>540</v>
      </c>
      <c r="BL378" s="9">
        <v>240</v>
      </c>
      <c r="BM378" s="9"/>
      <c r="BN378" s="9">
        <v>7600</v>
      </c>
      <c r="BO378" s="9">
        <v>5010</v>
      </c>
      <c r="BP378" s="9">
        <v>1680</v>
      </c>
      <c r="BQ378" s="9">
        <v>245000</v>
      </c>
      <c r="BR378" s="9">
        <v>600</v>
      </c>
      <c r="BS378" s="9">
        <v>320</v>
      </c>
      <c r="BT378" s="9"/>
      <c r="BU378" s="9">
        <v>7100</v>
      </c>
      <c r="BV378" s="9">
        <v>4460</v>
      </c>
      <c r="BW378" s="9">
        <v>1590</v>
      </c>
      <c r="BX378" s="9">
        <v>224000</v>
      </c>
      <c r="BY378" s="9">
        <v>680</v>
      </c>
      <c r="BZ378" s="10" t="s">
        <v>529</v>
      </c>
      <c r="CA378" s="9">
        <v>310</v>
      </c>
      <c r="CB378" s="9"/>
      <c r="CC378" s="10">
        <f t="shared" si="127"/>
        <v>2.1007192399744934</v>
      </c>
      <c r="CD378" s="10">
        <f t="shared" si="128"/>
        <v>126.61869391627084</v>
      </c>
      <c r="CE378" s="10">
        <f t="shared" si="141"/>
        <v>369726.58623551083</v>
      </c>
      <c r="CF378" s="10">
        <f t="shared" si="142"/>
        <v>0</v>
      </c>
      <c r="CG378" s="10">
        <f t="shared" si="122"/>
        <v>0</v>
      </c>
      <c r="CH378" s="10">
        <f t="shared" si="123"/>
        <v>2</v>
      </c>
      <c r="CI378" s="9">
        <f t="shared" si="129"/>
        <v>1</v>
      </c>
      <c r="CJ378" s="10">
        <f t="shared" si="124"/>
        <v>19</v>
      </c>
      <c r="CK378" s="10" t="b">
        <f t="shared" si="130"/>
        <v>1</v>
      </c>
      <c r="CL378" s="10" t="b">
        <f t="shared" si="131"/>
        <v>1</v>
      </c>
      <c r="CM378" s="10" t="b">
        <f t="shared" si="132"/>
        <v>0</v>
      </c>
      <c r="CN378" s="9">
        <f t="shared" si="133"/>
        <v>1</v>
      </c>
      <c r="CO378" s="10">
        <f t="shared" si="144"/>
        <v>3</v>
      </c>
      <c r="CP378" s="10" t="b">
        <f t="shared" si="134"/>
        <v>1</v>
      </c>
      <c r="CQ378" s="10" t="b">
        <f t="shared" si="135"/>
        <v>0</v>
      </c>
      <c r="CR378" s="10" cm="1">
        <f t="array" ref="CR378">_xlfn.IFS(AND($CI378=0, CK378=FALSE), NA(), AND($CI378=1, CK378=FALSE), 0, CK378=TRUE, 1)</f>
        <v>1</v>
      </c>
      <c r="CS378" s="10" cm="1">
        <f t="array" ref="CS378">_xlfn.IFS(AND($CI378=0, CL378=FALSE), NA(), AND($CI378=1, CL378=FALSE), 0, CL378=TRUE, 1)</f>
        <v>1</v>
      </c>
      <c r="CT378" s="10" cm="1">
        <f t="array" ref="CT378">_xlfn.IFS(AND($CI378=0, CM378=FALSE), NA(), AND($CI378=1, CM378=FALSE), 0, CM378=TRUE, 1)</f>
        <v>0</v>
      </c>
      <c r="CU378" s="10" cm="1">
        <f t="array" ref="CU378">_xlfn.IFS(AND($CN378=0, CP378=FALSE), NA(), AND($CN378=1, CP378=FALSE), 0, CP378=TRUE, 1)</f>
        <v>1</v>
      </c>
      <c r="CV378" s="10" cm="1">
        <f t="array" ref="CV378">_xlfn.IFS(AND($CN378=0, CQ378=FALSE), NA(), AND($CN378=1, CQ378=FALSE), 0, CQ378=TRUE, 1)</f>
        <v>0</v>
      </c>
    </row>
    <row r="379" spans="1:100" ht="15.75" x14ac:dyDescent="0.25">
      <c r="A379" s="8">
        <v>378</v>
      </c>
      <c r="B379" s="9">
        <v>567</v>
      </c>
      <c r="C379" s="10" t="s">
        <v>36</v>
      </c>
      <c r="D379" s="11" t="s">
        <v>395</v>
      </c>
      <c r="E379" s="12">
        <v>16092</v>
      </c>
      <c r="F379" s="13">
        <v>1</v>
      </c>
      <c r="G379" s="9">
        <v>71.983573913574219</v>
      </c>
      <c r="H379" s="12">
        <v>42384</v>
      </c>
      <c r="I379" s="9">
        <v>1</v>
      </c>
      <c r="J379" s="12">
        <v>42384</v>
      </c>
      <c r="K379" s="9">
        <v>1</v>
      </c>
      <c r="L379" s="9">
        <v>1</v>
      </c>
      <c r="M379" s="10" t="s">
        <v>401</v>
      </c>
      <c r="N379" s="9">
        <v>2</v>
      </c>
      <c r="O379" s="10" t="s">
        <v>421</v>
      </c>
      <c r="P379" s="9">
        <v>2</v>
      </c>
      <c r="Q379" s="10" t="s">
        <v>421</v>
      </c>
      <c r="R379" s="12">
        <v>42384</v>
      </c>
      <c r="S379" s="10" t="s">
        <v>145</v>
      </c>
      <c r="T379" s="9"/>
      <c r="U379" s="10" t="s">
        <v>401</v>
      </c>
      <c r="V379" s="10" t="s">
        <v>401</v>
      </c>
      <c r="W379" s="9"/>
      <c r="X379" s="9"/>
      <c r="Y379" s="9">
        <v>2</v>
      </c>
      <c r="Z379" s="14">
        <v>1</v>
      </c>
      <c r="AA379" s="17">
        <v>8.8000000000000007</v>
      </c>
      <c r="AB379" s="18">
        <v>97</v>
      </c>
      <c r="AC379" s="18">
        <v>14</v>
      </c>
      <c r="AD379" s="9">
        <v>2</v>
      </c>
      <c r="AE379" s="9">
        <v>2</v>
      </c>
      <c r="AF379" s="9">
        <v>1</v>
      </c>
      <c r="AG379" s="9">
        <v>0</v>
      </c>
      <c r="AH379" s="9">
        <v>1</v>
      </c>
      <c r="AI379" s="9">
        <v>0</v>
      </c>
      <c r="AJ379" s="12">
        <v>42961</v>
      </c>
      <c r="AK379" s="9">
        <v>2</v>
      </c>
      <c r="AL379" s="12">
        <v>43045</v>
      </c>
      <c r="AM379" s="9">
        <v>4</v>
      </c>
      <c r="AN379" s="12">
        <v>43054</v>
      </c>
      <c r="AO379" s="12">
        <v>43054</v>
      </c>
      <c r="AP379" s="12">
        <v>43054</v>
      </c>
      <c r="AQ379" s="9">
        <v>1</v>
      </c>
      <c r="AR379" s="9">
        <f t="shared" si="125"/>
        <v>1</v>
      </c>
      <c r="AS379" s="9">
        <v>1</v>
      </c>
      <c r="AT379" s="9">
        <v>2</v>
      </c>
      <c r="AU379" s="9">
        <v>2</v>
      </c>
      <c r="AV379" s="9">
        <f t="shared" si="126"/>
        <v>1</v>
      </c>
      <c r="AW379" s="12">
        <v>43462</v>
      </c>
      <c r="AX379" s="9">
        <v>3600</v>
      </c>
      <c r="AY379" s="9">
        <v>2300</v>
      </c>
      <c r="AZ379" s="9">
        <v>800</v>
      </c>
      <c r="BA379" s="9">
        <v>2300</v>
      </c>
      <c r="BB379" s="9">
        <v>800.00006103515625</v>
      </c>
      <c r="BC379" s="9">
        <v>219000</v>
      </c>
      <c r="BD379" s="9">
        <v>400</v>
      </c>
      <c r="BE379" s="9">
        <v>100</v>
      </c>
      <c r="BF379" s="9">
        <v>122</v>
      </c>
      <c r="BG379" s="9">
        <v>6700</v>
      </c>
      <c r="BH379" s="9">
        <v>4800</v>
      </c>
      <c r="BI379" s="9">
        <v>1100</v>
      </c>
      <c r="BJ379" s="9">
        <v>162000</v>
      </c>
      <c r="BK379" s="9">
        <v>600</v>
      </c>
      <c r="BL379" s="9">
        <v>100</v>
      </c>
      <c r="BM379" s="9">
        <v>126</v>
      </c>
      <c r="BN379" s="9">
        <v>7000</v>
      </c>
      <c r="BO379" s="9">
        <v>4800</v>
      </c>
      <c r="BP379" s="9">
        <v>1100</v>
      </c>
      <c r="BQ379" s="9">
        <v>228000</v>
      </c>
      <c r="BR379" s="9">
        <v>700</v>
      </c>
      <c r="BS379" s="9">
        <v>300</v>
      </c>
      <c r="BT379" s="9">
        <v>147</v>
      </c>
      <c r="BU379" s="9">
        <v>9000</v>
      </c>
      <c r="BV379" s="9">
        <v>6700</v>
      </c>
      <c r="BW379" s="9">
        <v>1300</v>
      </c>
      <c r="BX379" s="9">
        <v>279</v>
      </c>
      <c r="BY379" s="9">
        <v>700</v>
      </c>
      <c r="BZ379" s="10" t="s">
        <v>542</v>
      </c>
      <c r="CA379" s="9">
        <v>300</v>
      </c>
      <c r="CB379" s="9">
        <v>155</v>
      </c>
      <c r="CC379" s="10">
        <f t="shared" si="127"/>
        <v>2.8749997806549241</v>
      </c>
      <c r="CD379" s="10">
        <f t="shared" si="128"/>
        <v>273.74997911453409</v>
      </c>
      <c r="CE379" s="10">
        <f t="shared" si="141"/>
        <v>629624.95196342841</v>
      </c>
      <c r="CF379" s="10">
        <f t="shared" si="142"/>
        <v>0</v>
      </c>
      <c r="CG379" s="10">
        <f t="shared" si="122"/>
        <v>0</v>
      </c>
      <c r="CH379" s="10">
        <f t="shared" si="123"/>
        <v>3</v>
      </c>
      <c r="CI379" s="9">
        <f t="shared" si="129"/>
        <v>1</v>
      </c>
      <c r="CJ379" s="10">
        <f t="shared" si="124"/>
        <v>16</v>
      </c>
      <c r="CK379" s="10" t="b">
        <f t="shared" si="130"/>
        <v>1</v>
      </c>
      <c r="CL379" s="10" t="b">
        <f t="shared" si="131"/>
        <v>0</v>
      </c>
      <c r="CM379" s="10" t="b">
        <f t="shared" si="132"/>
        <v>0</v>
      </c>
      <c r="CN379" s="9">
        <f t="shared" si="133"/>
        <v>1</v>
      </c>
      <c r="CO379" s="10">
        <f t="shared" si="144"/>
        <v>3</v>
      </c>
      <c r="CP379" s="10" t="b">
        <f t="shared" si="134"/>
        <v>1</v>
      </c>
      <c r="CQ379" s="10" t="b">
        <f t="shared" si="135"/>
        <v>0</v>
      </c>
      <c r="CR379" s="10" cm="1">
        <f t="array" ref="CR379">_xlfn.IFS(AND($CI379=0, CK379=FALSE), NA(), AND($CI379=1, CK379=FALSE), 0, CK379=TRUE, 1)</f>
        <v>1</v>
      </c>
      <c r="CS379" s="10" cm="1">
        <f t="array" ref="CS379">_xlfn.IFS(AND($CI379=0, CL379=FALSE), NA(), AND($CI379=1, CL379=FALSE), 0, CL379=TRUE, 1)</f>
        <v>0</v>
      </c>
      <c r="CT379" s="10" cm="1">
        <f t="array" ref="CT379">_xlfn.IFS(AND($CI379=0, CM379=FALSE), NA(), AND($CI379=1, CM379=FALSE), 0, CM379=TRUE, 1)</f>
        <v>0</v>
      </c>
      <c r="CU379" s="10" cm="1">
        <f t="array" ref="CU379">_xlfn.IFS(AND($CN379=0, CP379=FALSE), NA(), AND($CN379=1, CP379=FALSE), 0, CP379=TRUE, 1)</f>
        <v>1</v>
      </c>
      <c r="CV379" s="10" cm="1">
        <f t="array" ref="CV379">_xlfn.IFS(AND($CN379=0, CQ379=FALSE), NA(), AND($CN379=1, CQ379=FALSE), 0, CQ379=TRUE, 1)</f>
        <v>0</v>
      </c>
    </row>
    <row r="380" spans="1:100" ht="15.75" x14ac:dyDescent="0.25">
      <c r="A380" s="8">
        <v>379</v>
      </c>
      <c r="B380" s="9">
        <v>441</v>
      </c>
      <c r="C380" s="10" t="s">
        <v>30</v>
      </c>
      <c r="D380" s="11" t="s">
        <v>346</v>
      </c>
      <c r="E380" s="12">
        <v>19128</v>
      </c>
      <c r="F380" s="13">
        <v>1</v>
      </c>
      <c r="G380" s="9">
        <v>63.682411193847656</v>
      </c>
      <c r="H380" s="12">
        <v>42388</v>
      </c>
      <c r="I380" s="9">
        <v>1</v>
      </c>
      <c r="J380" s="12">
        <v>42450</v>
      </c>
      <c r="K380" s="9">
        <v>0</v>
      </c>
      <c r="L380" s="9">
        <v>2</v>
      </c>
      <c r="M380" s="10" t="s">
        <v>401</v>
      </c>
      <c r="N380" s="9">
        <v>2</v>
      </c>
      <c r="O380" s="10" t="s">
        <v>145</v>
      </c>
      <c r="P380" s="9">
        <v>2</v>
      </c>
      <c r="Q380" s="10" t="s">
        <v>145</v>
      </c>
      <c r="R380" s="12">
        <v>42571</v>
      </c>
      <c r="S380" s="10" t="s">
        <v>145</v>
      </c>
      <c r="T380" s="9"/>
      <c r="U380" s="10" t="s">
        <v>401</v>
      </c>
      <c r="V380" s="10" t="s">
        <v>401</v>
      </c>
      <c r="W380" s="9"/>
      <c r="X380" s="9"/>
      <c r="Y380" s="9">
        <v>2</v>
      </c>
      <c r="Z380" s="14">
        <v>1</v>
      </c>
      <c r="AA380" s="15">
        <v>13.5</v>
      </c>
      <c r="AB380" s="16">
        <v>101</v>
      </c>
      <c r="AC380" s="16">
        <v>10</v>
      </c>
      <c r="AD380" s="9">
        <v>2</v>
      </c>
      <c r="AE380" s="9">
        <v>2</v>
      </c>
      <c r="AF380" s="9">
        <v>1</v>
      </c>
      <c r="AG380" s="9">
        <v>1</v>
      </c>
      <c r="AH380" s="9">
        <v>1</v>
      </c>
      <c r="AI380" s="9">
        <v>1</v>
      </c>
      <c r="AJ380" s="12">
        <v>43409</v>
      </c>
      <c r="AK380" s="9">
        <v>2</v>
      </c>
      <c r="AL380" s="12">
        <v>43720</v>
      </c>
      <c r="AM380" s="9">
        <v>3</v>
      </c>
      <c r="AN380" s="12">
        <v>43502</v>
      </c>
      <c r="AO380" s="12">
        <v>43706</v>
      </c>
      <c r="AP380" s="12">
        <v>43706</v>
      </c>
      <c r="AQ380" s="9">
        <v>1</v>
      </c>
      <c r="AR380" s="9">
        <f t="shared" si="125"/>
        <v>1</v>
      </c>
      <c r="AS380" s="9">
        <v>1</v>
      </c>
      <c r="AT380" s="9">
        <v>2</v>
      </c>
      <c r="AU380" s="9">
        <v>2</v>
      </c>
      <c r="AV380" s="9">
        <f t="shared" si="126"/>
        <v>1</v>
      </c>
      <c r="AW380" s="12">
        <v>43931</v>
      </c>
      <c r="AX380" s="9">
        <v>3500</v>
      </c>
      <c r="AY380" s="9">
        <v>1890</v>
      </c>
      <c r="AZ380" s="9">
        <v>830</v>
      </c>
      <c r="BA380" s="9">
        <v>1890</v>
      </c>
      <c r="BB380" s="9">
        <v>829.9998779296875</v>
      </c>
      <c r="BC380" s="9">
        <v>119000</v>
      </c>
      <c r="BD380" s="9">
        <v>540</v>
      </c>
      <c r="BE380" s="9">
        <v>130</v>
      </c>
      <c r="BF380" s="9">
        <v>347</v>
      </c>
      <c r="BG380" s="9">
        <v>4330</v>
      </c>
      <c r="BH380" s="9">
        <v>2760</v>
      </c>
      <c r="BI380" s="9">
        <v>870</v>
      </c>
      <c r="BJ380" s="9">
        <v>320000</v>
      </c>
      <c r="BK380" s="9">
        <v>560</v>
      </c>
      <c r="BL380" s="9">
        <v>130</v>
      </c>
      <c r="BM380" s="9">
        <v>305</v>
      </c>
      <c r="BN380" s="9">
        <v>5560</v>
      </c>
      <c r="BO380" s="9">
        <v>3630</v>
      </c>
      <c r="BP380" s="9">
        <v>1180</v>
      </c>
      <c r="BQ380" s="9">
        <v>316000</v>
      </c>
      <c r="BR380" s="9">
        <v>600</v>
      </c>
      <c r="BS380" s="9">
        <v>140</v>
      </c>
      <c r="BT380" s="9"/>
      <c r="BU380" s="9">
        <v>9540</v>
      </c>
      <c r="BV380" s="9">
        <v>7890</v>
      </c>
      <c r="BW380" s="9">
        <v>940</v>
      </c>
      <c r="BX380" s="9">
        <v>294000</v>
      </c>
      <c r="BY380" s="9">
        <v>560</v>
      </c>
      <c r="BZ380" s="10" t="s">
        <v>530</v>
      </c>
      <c r="CA380" s="9">
        <v>140</v>
      </c>
      <c r="CB380" s="9"/>
      <c r="CC380" s="10">
        <f t="shared" si="127"/>
        <v>2.2771087686353964</v>
      </c>
      <c r="CD380" s="10">
        <f t="shared" si="128"/>
        <v>143.37351506222865</v>
      </c>
      <c r="CE380" s="10">
        <f t="shared" si="141"/>
        <v>270975.94346761215</v>
      </c>
      <c r="CF380" s="10">
        <f t="shared" si="142"/>
        <v>1</v>
      </c>
      <c r="CG380" s="10">
        <f t="shared" si="122"/>
        <v>0</v>
      </c>
      <c r="CH380" s="10">
        <f t="shared" si="123"/>
        <v>10</v>
      </c>
      <c r="CI380" s="9">
        <f t="shared" si="129"/>
        <v>1</v>
      </c>
      <c r="CJ380" s="10">
        <f t="shared" si="124"/>
        <v>17</v>
      </c>
      <c r="CK380" s="10" t="b">
        <f t="shared" si="130"/>
        <v>1</v>
      </c>
      <c r="CL380" s="10" t="b">
        <f t="shared" si="131"/>
        <v>0</v>
      </c>
      <c r="CM380" s="10" t="b">
        <f t="shared" si="132"/>
        <v>0</v>
      </c>
      <c r="CN380" s="9">
        <f t="shared" si="133"/>
        <v>1</v>
      </c>
      <c r="CO380" s="10">
        <f t="shared" si="144"/>
        <v>9</v>
      </c>
      <c r="CP380" s="10" t="b">
        <f t="shared" si="134"/>
        <v>1</v>
      </c>
      <c r="CQ380" s="10" t="b">
        <f t="shared" si="135"/>
        <v>1</v>
      </c>
      <c r="CR380" s="10" cm="1">
        <f t="array" ref="CR380">_xlfn.IFS(AND($CI380=0, CK380=FALSE), NA(), AND($CI380=1, CK380=FALSE), 0, CK380=TRUE, 1)</f>
        <v>1</v>
      </c>
      <c r="CS380" s="10" cm="1">
        <f t="array" ref="CS380">_xlfn.IFS(AND($CI380=0, CL380=FALSE), NA(), AND($CI380=1, CL380=FALSE), 0, CL380=TRUE, 1)</f>
        <v>0</v>
      </c>
      <c r="CT380" s="10" cm="1">
        <f t="array" ref="CT380">_xlfn.IFS(AND($CI380=0, CM380=FALSE), NA(), AND($CI380=1, CM380=FALSE), 0, CM380=TRUE, 1)</f>
        <v>0</v>
      </c>
      <c r="CU380" s="10" cm="1">
        <f t="array" ref="CU380">_xlfn.IFS(AND($CN380=0, CP380=FALSE), NA(), AND($CN380=1, CP380=FALSE), 0, CP380=TRUE, 1)</f>
        <v>1</v>
      </c>
      <c r="CV380" s="10" cm="1">
        <f t="array" ref="CV380">_xlfn.IFS(AND($CN380=0, CQ380=FALSE), NA(), AND($CN380=1, CQ380=FALSE), 0, CQ380=TRUE, 1)</f>
        <v>1</v>
      </c>
    </row>
    <row r="381" spans="1:100" ht="15.75" x14ac:dyDescent="0.25">
      <c r="A381" s="8">
        <v>380</v>
      </c>
      <c r="B381" s="9">
        <v>301</v>
      </c>
      <c r="C381" s="10" t="s">
        <v>23</v>
      </c>
      <c r="D381" s="11" t="s">
        <v>259</v>
      </c>
      <c r="E381" s="12">
        <v>13163</v>
      </c>
      <c r="F381" s="13">
        <v>1</v>
      </c>
      <c r="G381" s="9">
        <v>80.016426086425781</v>
      </c>
      <c r="H381" s="12">
        <v>42389</v>
      </c>
      <c r="I381" s="9">
        <v>1</v>
      </c>
      <c r="J381" s="12">
        <v>42408</v>
      </c>
      <c r="K381" s="9">
        <v>1</v>
      </c>
      <c r="L381" s="9">
        <v>1</v>
      </c>
      <c r="M381" s="10" t="s">
        <v>401</v>
      </c>
      <c r="N381" s="9">
        <v>2</v>
      </c>
      <c r="O381" s="10" t="s">
        <v>420</v>
      </c>
      <c r="P381" s="9">
        <v>2</v>
      </c>
      <c r="Q381" s="10" t="s">
        <v>420</v>
      </c>
      <c r="R381" s="12">
        <v>42389</v>
      </c>
      <c r="S381" s="10" t="s">
        <v>146</v>
      </c>
      <c r="T381" s="9"/>
      <c r="U381" s="10" t="s">
        <v>401</v>
      </c>
      <c r="V381" s="10" t="s">
        <v>401</v>
      </c>
      <c r="W381" s="9"/>
      <c r="X381" s="9"/>
      <c r="Y381" s="9">
        <v>2</v>
      </c>
      <c r="Z381" s="14">
        <v>2</v>
      </c>
      <c r="AA381" s="15">
        <v>11.4</v>
      </c>
      <c r="AB381" s="16">
        <v>102</v>
      </c>
      <c r="AC381" s="16">
        <v>13</v>
      </c>
      <c r="AD381" s="9">
        <v>2</v>
      </c>
      <c r="AE381" s="9">
        <v>2</v>
      </c>
      <c r="AF381" s="9">
        <v>2</v>
      </c>
      <c r="AG381" s="9">
        <v>1</v>
      </c>
      <c r="AH381" s="9">
        <v>1</v>
      </c>
      <c r="AI381" s="9">
        <v>0</v>
      </c>
      <c r="AJ381" s="12">
        <v>43031</v>
      </c>
      <c r="AK381" s="9">
        <v>2</v>
      </c>
      <c r="AL381" s="12">
        <v>43612</v>
      </c>
      <c r="AM381" s="9">
        <v>2</v>
      </c>
      <c r="AN381" s="12">
        <v>43115</v>
      </c>
      <c r="AO381" s="12">
        <v>44131</v>
      </c>
      <c r="AP381" s="12">
        <v>44131</v>
      </c>
      <c r="AQ381" s="9">
        <v>1</v>
      </c>
      <c r="AR381" s="9">
        <f t="shared" si="125"/>
        <v>1</v>
      </c>
      <c r="AS381" s="9">
        <v>1</v>
      </c>
      <c r="AT381" s="9">
        <v>2</v>
      </c>
      <c r="AU381" s="9">
        <v>2</v>
      </c>
      <c r="AV381" s="9">
        <f t="shared" si="126"/>
        <v>1</v>
      </c>
      <c r="AW381" s="12">
        <v>44131</v>
      </c>
      <c r="AX381" s="9">
        <v>7740</v>
      </c>
      <c r="AY381" s="9">
        <v>5200</v>
      </c>
      <c r="AZ381" s="9">
        <v>1700</v>
      </c>
      <c r="BA381" s="9">
        <v>5200</v>
      </c>
      <c r="BB381" s="9">
        <v>1700.0001220703125</v>
      </c>
      <c r="BC381" s="9">
        <v>206000</v>
      </c>
      <c r="BD381" s="9">
        <v>400</v>
      </c>
      <c r="BE381" s="9">
        <v>100</v>
      </c>
      <c r="BF381" s="9">
        <v>171</v>
      </c>
      <c r="BG381" s="9">
        <v>8800</v>
      </c>
      <c r="BH381" s="9">
        <v>5500</v>
      </c>
      <c r="BI381" s="9">
        <v>2100</v>
      </c>
      <c r="BJ381" s="9">
        <v>349000</v>
      </c>
      <c r="BK381" s="9">
        <v>600</v>
      </c>
      <c r="BL381" s="9">
        <v>200</v>
      </c>
      <c r="BM381" s="9">
        <v>175</v>
      </c>
      <c r="BN381" s="9">
        <v>10730</v>
      </c>
      <c r="BO381" s="9">
        <v>6900</v>
      </c>
      <c r="BP381" s="9">
        <v>2500</v>
      </c>
      <c r="BQ381" s="9">
        <v>379000</v>
      </c>
      <c r="BR381" s="9">
        <v>700</v>
      </c>
      <c r="BS381" s="9">
        <v>300</v>
      </c>
      <c r="BT381" s="9">
        <v>177</v>
      </c>
      <c r="BU381" s="9">
        <v>9940</v>
      </c>
      <c r="BV381" s="9">
        <v>6200</v>
      </c>
      <c r="BW381" s="9">
        <v>2500</v>
      </c>
      <c r="BX381" s="9">
        <v>298000</v>
      </c>
      <c r="BY381" s="9">
        <v>700</v>
      </c>
      <c r="BZ381" s="10" t="s">
        <v>542</v>
      </c>
      <c r="CA381" s="9">
        <v>300</v>
      </c>
      <c r="CB381" s="9">
        <v>177</v>
      </c>
      <c r="CC381" s="10">
        <f t="shared" si="127"/>
        <v>3.0588233097696955</v>
      </c>
      <c r="CD381" s="10">
        <f t="shared" si="128"/>
        <v>121.17646188703026</v>
      </c>
      <c r="CE381" s="10">
        <f t="shared" si="141"/>
        <v>630117.60181255732</v>
      </c>
      <c r="CF381" s="10">
        <f t="shared" si="142"/>
        <v>1</v>
      </c>
      <c r="CG381" s="10">
        <f t="shared" si="122"/>
        <v>1</v>
      </c>
      <c r="CH381" s="10">
        <f t="shared" si="123"/>
        <v>19</v>
      </c>
      <c r="CI381" s="9">
        <f t="shared" si="129"/>
        <v>1</v>
      </c>
      <c r="CJ381" s="10">
        <f t="shared" si="124"/>
        <v>36</v>
      </c>
      <c r="CK381" s="10" t="b">
        <f t="shared" si="130"/>
        <v>1</v>
      </c>
      <c r="CL381" s="10" t="b">
        <f t="shared" si="131"/>
        <v>1</v>
      </c>
      <c r="CM381" s="10" t="b">
        <f t="shared" si="132"/>
        <v>1</v>
      </c>
      <c r="CN381" s="9">
        <f t="shared" si="133"/>
        <v>1</v>
      </c>
      <c r="CO381" s="10">
        <f t="shared" si="144"/>
        <v>36</v>
      </c>
      <c r="CP381" s="10" t="b">
        <f t="shared" si="134"/>
        <v>1</v>
      </c>
      <c r="CQ381" s="10" t="b">
        <f t="shared" si="135"/>
        <v>1</v>
      </c>
      <c r="CR381" s="10" cm="1">
        <f t="array" ref="CR381">_xlfn.IFS(AND($CI381=0, CK381=FALSE), NA(), AND($CI381=1, CK381=FALSE), 0, CK381=TRUE, 1)</f>
        <v>1</v>
      </c>
      <c r="CS381" s="10" cm="1">
        <f t="array" ref="CS381">_xlfn.IFS(AND($CI381=0, CL381=FALSE), NA(), AND($CI381=1, CL381=FALSE), 0, CL381=TRUE, 1)</f>
        <v>1</v>
      </c>
      <c r="CT381" s="10" cm="1">
        <f t="array" ref="CT381">_xlfn.IFS(AND($CI381=0, CM381=FALSE), NA(), AND($CI381=1, CM381=FALSE), 0, CM381=TRUE, 1)</f>
        <v>1</v>
      </c>
      <c r="CU381" s="10" cm="1">
        <f t="array" ref="CU381">_xlfn.IFS(AND($CN381=0, CP381=FALSE), NA(), AND($CN381=1, CP381=FALSE), 0, CP381=TRUE, 1)</f>
        <v>1</v>
      </c>
      <c r="CV381" s="10" cm="1">
        <f t="array" ref="CV381">_xlfn.IFS(AND($CN381=0, CQ381=FALSE), NA(), AND($CN381=1, CQ381=FALSE), 0, CQ381=TRUE, 1)</f>
        <v>1</v>
      </c>
    </row>
    <row r="382" spans="1:100" ht="15.75" x14ac:dyDescent="0.25">
      <c r="A382" s="8">
        <v>381</v>
      </c>
      <c r="B382" s="9">
        <v>225</v>
      </c>
      <c r="C382" s="10" t="s">
        <v>19</v>
      </c>
      <c r="D382" s="11" t="s">
        <v>46</v>
      </c>
      <c r="E382" s="12">
        <v>20698</v>
      </c>
      <c r="F382" s="13">
        <v>2</v>
      </c>
      <c r="G382" s="9">
        <v>59.403148651123047</v>
      </c>
      <c r="H382" s="12">
        <v>42395</v>
      </c>
      <c r="I382" s="9">
        <v>0</v>
      </c>
      <c r="J382" s="12"/>
      <c r="K382" s="9">
        <v>1</v>
      </c>
      <c r="L382" s="9">
        <v>1</v>
      </c>
      <c r="M382" s="10" t="s">
        <v>401</v>
      </c>
      <c r="N382" s="9">
        <v>2</v>
      </c>
      <c r="O382" s="10" t="s">
        <v>145</v>
      </c>
      <c r="P382" s="9">
        <v>2</v>
      </c>
      <c r="Q382" s="10" t="s">
        <v>145</v>
      </c>
      <c r="R382" s="12">
        <v>42405</v>
      </c>
      <c r="S382" s="10" t="s">
        <v>146</v>
      </c>
      <c r="T382" s="9">
        <v>3</v>
      </c>
      <c r="U382" s="10" t="s">
        <v>401</v>
      </c>
      <c r="V382" s="10" t="s">
        <v>401</v>
      </c>
      <c r="W382" s="9"/>
      <c r="X382" s="9"/>
      <c r="Y382" s="9">
        <v>3</v>
      </c>
      <c r="Z382" s="14">
        <v>2</v>
      </c>
      <c r="AA382" s="34">
        <v>12.9</v>
      </c>
      <c r="AB382" s="14">
        <v>91</v>
      </c>
      <c r="AC382" s="14">
        <v>14</v>
      </c>
      <c r="AD382" s="9">
        <v>2</v>
      </c>
      <c r="AE382" s="9">
        <v>2</v>
      </c>
      <c r="AF382" s="9">
        <v>1</v>
      </c>
      <c r="AG382" s="9">
        <v>1</v>
      </c>
      <c r="AH382" s="9">
        <v>1</v>
      </c>
      <c r="AI382" s="9">
        <v>0</v>
      </c>
      <c r="AJ382" s="12">
        <v>43031</v>
      </c>
      <c r="AK382" s="9">
        <v>2</v>
      </c>
      <c r="AL382" s="12">
        <v>43647</v>
      </c>
      <c r="AM382" s="9">
        <v>2</v>
      </c>
      <c r="AN382" s="12">
        <v>43118</v>
      </c>
      <c r="AO382" s="12">
        <v>43936</v>
      </c>
      <c r="AP382" s="12">
        <v>43936</v>
      </c>
      <c r="AQ382" s="9">
        <v>1</v>
      </c>
      <c r="AR382" s="9">
        <f t="shared" si="125"/>
        <v>1</v>
      </c>
      <c r="AS382" s="9">
        <v>1</v>
      </c>
      <c r="AT382" s="9">
        <v>2</v>
      </c>
      <c r="AU382" s="9">
        <v>2</v>
      </c>
      <c r="AV382" s="9">
        <f t="shared" si="126"/>
        <v>1</v>
      </c>
      <c r="AW382" s="12">
        <v>43928</v>
      </c>
      <c r="AX382" s="9">
        <v>8910</v>
      </c>
      <c r="AY382" s="9">
        <v>6700</v>
      </c>
      <c r="AZ382" s="9">
        <v>1300</v>
      </c>
      <c r="BA382" s="9">
        <v>6700</v>
      </c>
      <c r="BB382" s="9">
        <v>1300.000244140625</v>
      </c>
      <c r="BC382" s="9">
        <v>360000</v>
      </c>
      <c r="BD382" s="9">
        <v>600</v>
      </c>
      <c r="BE382" s="9">
        <v>100</v>
      </c>
      <c r="BF382" s="9">
        <v>322</v>
      </c>
      <c r="BG382" s="9">
        <v>7650</v>
      </c>
      <c r="BH382" s="9">
        <v>5700</v>
      </c>
      <c r="BI382" s="9">
        <v>110</v>
      </c>
      <c r="BJ382" s="9">
        <v>437000</v>
      </c>
      <c r="BK382" s="9">
        <v>500</v>
      </c>
      <c r="BL382" s="9">
        <v>200</v>
      </c>
      <c r="BM382" s="9">
        <v>287</v>
      </c>
      <c r="BN382" s="9">
        <v>8310</v>
      </c>
      <c r="BO382" s="9">
        <v>5700</v>
      </c>
      <c r="BP382" s="9">
        <v>1400</v>
      </c>
      <c r="BQ382" s="9">
        <v>437000</v>
      </c>
      <c r="BR382" s="9">
        <v>500</v>
      </c>
      <c r="BS382" s="9">
        <v>400</v>
      </c>
      <c r="BT382" s="9">
        <v>322</v>
      </c>
      <c r="BU382" s="9">
        <v>11170</v>
      </c>
      <c r="BV382" s="9">
        <v>9800</v>
      </c>
      <c r="BW382" s="9">
        <v>800</v>
      </c>
      <c r="BX382" s="9">
        <v>406000</v>
      </c>
      <c r="BY382" s="9">
        <v>400</v>
      </c>
      <c r="BZ382" s="10" t="s">
        <v>525</v>
      </c>
      <c r="CA382" s="9">
        <v>100</v>
      </c>
      <c r="CB382" s="9">
        <v>268</v>
      </c>
      <c r="CC382" s="10">
        <f t="shared" si="127"/>
        <v>5.1538451859515497</v>
      </c>
      <c r="CD382" s="10">
        <f t="shared" si="128"/>
        <v>276.9230249167997</v>
      </c>
      <c r="CE382" s="10">
        <f t="shared" si="141"/>
        <v>1855384.2669425579</v>
      </c>
      <c r="CF382" s="10">
        <f t="shared" si="142"/>
        <v>1</v>
      </c>
      <c r="CG382" s="10">
        <f t="shared" si="122"/>
        <v>1</v>
      </c>
      <c r="CH382" s="10">
        <f t="shared" si="123"/>
        <v>21</v>
      </c>
      <c r="CI382" s="9">
        <f t="shared" si="129"/>
        <v>1</v>
      </c>
      <c r="CJ382" s="10">
        <f t="shared" si="124"/>
        <v>30</v>
      </c>
      <c r="CK382" s="10" t="b">
        <f t="shared" si="130"/>
        <v>1</v>
      </c>
      <c r="CL382" s="10" t="b">
        <f t="shared" si="131"/>
        <v>1</v>
      </c>
      <c r="CM382" s="10" t="b">
        <f t="shared" si="132"/>
        <v>1</v>
      </c>
      <c r="CN382" s="9">
        <f t="shared" si="133"/>
        <v>1</v>
      </c>
      <c r="CO382" s="10">
        <f t="shared" si="144"/>
        <v>30</v>
      </c>
      <c r="CP382" s="10" t="b">
        <f t="shared" si="134"/>
        <v>1</v>
      </c>
      <c r="CQ382" s="10" t="b">
        <f t="shared" si="135"/>
        <v>1</v>
      </c>
      <c r="CR382" s="10" cm="1">
        <f t="array" ref="CR382">_xlfn.IFS(AND($CI382=0, CK382=FALSE), NA(), AND($CI382=1, CK382=FALSE), 0, CK382=TRUE, 1)</f>
        <v>1</v>
      </c>
      <c r="CS382" s="10" cm="1">
        <f t="array" ref="CS382">_xlfn.IFS(AND($CI382=0, CL382=FALSE), NA(), AND($CI382=1, CL382=FALSE), 0, CL382=TRUE, 1)</f>
        <v>1</v>
      </c>
      <c r="CT382" s="10" cm="1">
        <f t="array" ref="CT382">_xlfn.IFS(AND($CI382=0, CM382=FALSE), NA(), AND($CI382=1, CM382=FALSE), 0, CM382=TRUE, 1)</f>
        <v>1</v>
      </c>
      <c r="CU382" s="10" cm="1">
        <f t="array" ref="CU382">_xlfn.IFS(AND($CN382=0, CP382=FALSE), NA(), AND($CN382=1, CP382=FALSE), 0, CP382=TRUE, 1)</f>
        <v>1</v>
      </c>
      <c r="CV382" s="10" cm="1">
        <f t="array" ref="CV382">_xlfn.IFS(AND($CN382=0, CQ382=FALSE), NA(), AND($CN382=1, CQ382=FALSE), 0, CQ382=TRUE, 1)</f>
        <v>1</v>
      </c>
    </row>
    <row r="383" spans="1:100" ht="15.75" x14ac:dyDescent="0.25">
      <c r="A383" s="8">
        <v>382</v>
      </c>
      <c r="B383" s="9">
        <v>508</v>
      </c>
      <c r="C383" s="10" t="s">
        <v>33</v>
      </c>
      <c r="D383" s="11" t="s">
        <v>379</v>
      </c>
      <c r="E383" s="12">
        <v>20311</v>
      </c>
      <c r="F383" s="13">
        <v>1</v>
      </c>
      <c r="G383" s="9">
        <v>60.481861114501953</v>
      </c>
      <c r="H383" s="12">
        <v>42402</v>
      </c>
      <c r="I383" s="9">
        <v>1</v>
      </c>
      <c r="J383" s="12">
        <v>42425</v>
      </c>
      <c r="K383" s="9">
        <v>1</v>
      </c>
      <c r="L383" s="9">
        <v>1</v>
      </c>
      <c r="M383" s="10" t="s">
        <v>401</v>
      </c>
      <c r="N383" s="9">
        <v>2</v>
      </c>
      <c r="O383" s="10" t="s">
        <v>145</v>
      </c>
      <c r="P383" s="9">
        <v>2</v>
      </c>
      <c r="Q383" s="10" t="s">
        <v>145</v>
      </c>
      <c r="R383" s="12">
        <v>42402</v>
      </c>
      <c r="S383" s="10" t="s">
        <v>145</v>
      </c>
      <c r="T383" s="9"/>
      <c r="U383" s="10" t="s">
        <v>401</v>
      </c>
      <c r="V383" s="10" t="s">
        <v>401</v>
      </c>
      <c r="W383" s="9"/>
      <c r="X383" s="9"/>
      <c r="Y383" s="9">
        <v>2</v>
      </c>
      <c r="Z383" s="14">
        <v>1</v>
      </c>
      <c r="AA383" s="15">
        <v>15.4</v>
      </c>
      <c r="AB383" s="16">
        <v>114</v>
      </c>
      <c r="AC383" s="16">
        <v>15.7</v>
      </c>
      <c r="AD383" s="9">
        <v>2</v>
      </c>
      <c r="AE383" s="9">
        <v>2</v>
      </c>
      <c r="AF383" s="9">
        <v>1</v>
      </c>
      <c r="AG383" s="9">
        <v>1</v>
      </c>
      <c r="AH383" s="9">
        <v>1</v>
      </c>
      <c r="AI383" s="9">
        <v>1</v>
      </c>
      <c r="AJ383" s="12">
        <v>43068</v>
      </c>
      <c r="AK383" s="9">
        <v>2</v>
      </c>
      <c r="AL383" s="12">
        <v>43497</v>
      </c>
      <c r="AM383" s="9">
        <v>2</v>
      </c>
      <c r="AN383" s="12">
        <v>43329</v>
      </c>
      <c r="AO383" s="12">
        <v>43511</v>
      </c>
      <c r="AP383" s="12">
        <v>43511</v>
      </c>
      <c r="AQ383" s="9">
        <v>1</v>
      </c>
      <c r="AR383" s="9">
        <f t="shared" si="125"/>
        <v>1</v>
      </c>
      <c r="AS383" s="9">
        <v>1</v>
      </c>
      <c r="AT383" s="9">
        <v>2</v>
      </c>
      <c r="AU383" s="9">
        <v>2</v>
      </c>
      <c r="AV383" s="9">
        <f t="shared" si="126"/>
        <v>1</v>
      </c>
      <c r="AW383" s="12">
        <v>43784</v>
      </c>
      <c r="AX383" s="9"/>
      <c r="AY383" s="9"/>
      <c r="AZ383" s="9"/>
      <c r="BA383" s="9">
        <v>3219.093017578125</v>
      </c>
      <c r="BB383" s="9">
        <v>1466.8934326171875</v>
      </c>
      <c r="BC383" s="9"/>
      <c r="BD383" s="9"/>
      <c r="BE383" s="9"/>
      <c r="BF383" s="9"/>
      <c r="BG383" s="9">
        <v>5820</v>
      </c>
      <c r="BH383" s="9">
        <v>4200</v>
      </c>
      <c r="BI383" s="9">
        <v>800</v>
      </c>
      <c r="BJ383" s="9">
        <v>280000</v>
      </c>
      <c r="BK383" s="9">
        <v>600</v>
      </c>
      <c r="BL383" s="9">
        <v>100</v>
      </c>
      <c r="BM383" s="9"/>
      <c r="BN383" s="9">
        <v>7820</v>
      </c>
      <c r="BO383" s="9">
        <v>6500</v>
      </c>
      <c r="BP383" s="9">
        <v>700</v>
      </c>
      <c r="BQ383" s="9">
        <v>273000</v>
      </c>
      <c r="BR383" s="9">
        <v>600</v>
      </c>
      <c r="BS383" s="9">
        <v>100</v>
      </c>
      <c r="BT383" s="9"/>
      <c r="BU383" s="9">
        <v>8600</v>
      </c>
      <c r="BV383" s="9">
        <v>6700</v>
      </c>
      <c r="BW383" s="9">
        <v>900</v>
      </c>
      <c r="BX383" s="9">
        <v>293000</v>
      </c>
      <c r="BY383" s="9">
        <v>700</v>
      </c>
      <c r="BZ383" s="10" t="s">
        <v>524</v>
      </c>
      <c r="CA383" s="9">
        <v>200</v>
      </c>
      <c r="CB383" s="9"/>
      <c r="CC383" s="10">
        <f t="shared" si="127"/>
        <v>2.1944968502822424</v>
      </c>
      <c r="CF383" s="10">
        <f t="shared" si="142"/>
        <v>1</v>
      </c>
      <c r="CG383" s="10">
        <f t="shared" si="122"/>
        <v>1</v>
      </c>
      <c r="CH383" s="10">
        <f t="shared" si="123"/>
        <v>15</v>
      </c>
      <c r="CI383" s="9">
        <f t="shared" si="129"/>
        <v>1</v>
      </c>
      <c r="CJ383" s="10">
        <f t="shared" si="124"/>
        <v>24</v>
      </c>
      <c r="CK383" s="10" t="b">
        <f t="shared" si="130"/>
        <v>1</v>
      </c>
      <c r="CL383" s="10" t="b">
        <f t="shared" si="131"/>
        <v>1</v>
      </c>
      <c r="CM383" s="10" t="b">
        <f t="shared" si="132"/>
        <v>1</v>
      </c>
      <c r="CN383" s="9">
        <f t="shared" si="133"/>
        <v>1</v>
      </c>
      <c r="CO383" s="10">
        <f t="shared" si="144"/>
        <v>15</v>
      </c>
      <c r="CP383" s="10" t="b">
        <f t="shared" si="134"/>
        <v>1</v>
      </c>
      <c r="CQ383" s="10" t="b">
        <f t="shared" si="135"/>
        <v>1</v>
      </c>
      <c r="CR383" s="10" cm="1">
        <f t="array" ref="CR383">_xlfn.IFS(AND($CI383=0, CK383=FALSE), NA(), AND($CI383=1, CK383=FALSE), 0, CK383=TRUE, 1)</f>
        <v>1</v>
      </c>
      <c r="CS383" s="10" cm="1">
        <f t="array" ref="CS383">_xlfn.IFS(AND($CI383=0, CL383=FALSE), NA(), AND($CI383=1, CL383=FALSE), 0, CL383=TRUE, 1)</f>
        <v>1</v>
      </c>
      <c r="CT383" s="10" cm="1">
        <f t="array" ref="CT383">_xlfn.IFS(AND($CI383=0, CM383=FALSE), NA(), AND($CI383=1, CM383=FALSE), 0, CM383=TRUE, 1)</f>
        <v>1</v>
      </c>
      <c r="CU383" s="10" cm="1">
        <f t="array" ref="CU383">_xlfn.IFS(AND($CN383=0, CP383=FALSE), NA(), AND($CN383=1, CP383=FALSE), 0, CP383=TRUE, 1)</f>
        <v>1</v>
      </c>
      <c r="CV383" s="10" cm="1">
        <f t="array" ref="CV383">_xlfn.IFS(AND($CN383=0, CQ383=FALSE), NA(), AND($CN383=1, CQ383=FALSE), 0, CQ383=TRUE, 1)</f>
        <v>1</v>
      </c>
    </row>
    <row r="384" spans="1:100" x14ac:dyDescent="0.25">
      <c r="A384" s="8">
        <v>383</v>
      </c>
      <c r="B384" s="9">
        <v>99</v>
      </c>
      <c r="C384" s="10" t="s">
        <v>11</v>
      </c>
      <c r="D384" s="11" t="s">
        <v>126</v>
      </c>
      <c r="E384" s="12">
        <v>18391</v>
      </c>
      <c r="F384" s="13">
        <v>2</v>
      </c>
      <c r="G384" s="9">
        <v>65.746749877929688</v>
      </c>
      <c r="H384" s="12">
        <v>42405</v>
      </c>
      <c r="I384" s="9">
        <v>0</v>
      </c>
      <c r="J384" s="12"/>
      <c r="K384" s="9">
        <v>1</v>
      </c>
      <c r="L384" s="9">
        <v>1</v>
      </c>
      <c r="M384" s="10" t="s">
        <v>401</v>
      </c>
      <c r="N384" s="9">
        <v>2</v>
      </c>
      <c r="O384" s="10" t="s">
        <v>145</v>
      </c>
      <c r="P384" s="9">
        <v>2</v>
      </c>
      <c r="Q384" s="10" t="s">
        <v>145</v>
      </c>
      <c r="R384" s="12">
        <v>42405</v>
      </c>
      <c r="S384" s="10" t="s">
        <v>145</v>
      </c>
      <c r="T384" s="9"/>
      <c r="U384" s="10" t="s">
        <v>401</v>
      </c>
      <c r="V384" s="10" t="s">
        <v>401</v>
      </c>
      <c r="W384" s="9"/>
      <c r="X384" s="9"/>
      <c r="Y384" s="9">
        <v>2</v>
      </c>
      <c r="Z384" s="19">
        <v>1</v>
      </c>
      <c r="AB384" s="9"/>
      <c r="AC384" s="9"/>
      <c r="AD384" s="9">
        <v>2</v>
      </c>
      <c r="AE384" s="9">
        <v>2</v>
      </c>
      <c r="AF384" s="9">
        <v>1</v>
      </c>
      <c r="AG384" s="9">
        <v>1</v>
      </c>
      <c r="AH384" s="9">
        <v>1</v>
      </c>
      <c r="AI384" s="9">
        <v>0</v>
      </c>
      <c r="AJ384" s="12">
        <v>42937</v>
      </c>
      <c r="AK384" s="9">
        <v>2</v>
      </c>
      <c r="AL384" s="12">
        <v>42993</v>
      </c>
      <c r="AM384" s="9">
        <v>4</v>
      </c>
      <c r="AN384" s="12">
        <v>42999</v>
      </c>
      <c r="AO384" s="12">
        <v>42999</v>
      </c>
      <c r="AP384" s="12">
        <v>42999</v>
      </c>
      <c r="AQ384" s="9">
        <v>1</v>
      </c>
      <c r="AR384" s="9">
        <f t="shared" si="125"/>
        <v>1</v>
      </c>
      <c r="AS384" s="9">
        <v>1</v>
      </c>
      <c r="AT384" s="9">
        <v>2</v>
      </c>
      <c r="AU384" s="9">
        <v>2</v>
      </c>
      <c r="AV384" s="9">
        <f t="shared" si="126"/>
        <v>1</v>
      </c>
      <c r="AW384" s="12">
        <v>43064</v>
      </c>
      <c r="AX384" s="9">
        <v>6400</v>
      </c>
      <c r="AY384" s="9">
        <v>4500</v>
      </c>
      <c r="AZ384" s="9">
        <v>1900</v>
      </c>
      <c r="BA384" s="9">
        <v>4500</v>
      </c>
      <c r="BB384" s="9">
        <v>1900</v>
      </c>
      <c r="BC384" s="9">
        <v>339000</v>
      </c>
      <c r="BD384" s="9">
        <v>200</v>
      </c>
      <c r="BE384" s="9">
        <v>100</v>
      </c>
      <c r="BF384" s="9"/>
      <c r="BG384" s="9"/>
      <c r="BH384" s="9"/>
      <c r="BI384" s="9"/>
      <c r="BJ384" s="9"/>
      <c r="BK384" s="9"/>
      <c r="BL384" s="9"/>
      <c r="BM384" s="9"/>
      <c r="BN384" s="9">
        <v>6400</v>
      </c>
      <c r="BO384" s="9">
        <v>4300</v>
      </c>
      <c r="BP384" s="9">
        <v>1500</v>
      </c>
      <c r="BQ384" s="9">
        <v>428000</v>
      </c>
      <c r="BR384" s="9">
        <v>500</v>
      </c>
      <c r="BS384" s="9">
        <v>100</v>
      </c>
      <c r="BT384" s="9"/>
      <c r="BU384" s="9">
        <v>6600</v>
      </c>
      <c r="BV384" s="9">
        <v>4700</v>
      </c>
      <c r="BW384" s="9">
        <v>2100</v>
      </c>
      <c r="BX384" s="9">
        <v>339000</v>
      </c>
      <c r="BY384" s="9">
        <v>600</v>
      </c>
      <c r="BZ384" s="10" t="s">
        <v>525</v>
      </c>
      <c r="CA384" s="9">
        <v>100</v>
      </c>
      <c r="CB384" s="9"/>
      <c r="CC384" s="10">
        <f t="shared" si="127"/>
        <v>2.3684210526315788</v>
      </c>
      <c r="CD384" s="10">
        <f t="shared" si="128"/>
        <v>178.42105263157896</v>
      </c>
      <c r="CE384" s="10">
        <f t="shared" ref="CE384:CE393" si="145">BC384*CC384</f>
        <v>802894.73684210517</v>
      </c>
      <c r="CF384" s="10">
        <f t="shared" si="142"/>
        <v>0</v>
      </c>
      <c r="CG384" s="10">
        <f t="shared" si="122"/>
        <v>0</v>
      </c>
      <c r="CH384" s="10">
        <f t="shared" si="123"/>
        <v>2</v>
      </c>
      <c r="CI384" s="9">
        <f t="shared" si="129"/>
        <v>1</v>
      </c>
      <c r="CJ384" s="10">
        <f t="shared" si="124"/>
        <v>4</v>
      </c>
      <c r="CK384" s="10" t="b">
        <f t="shared" si="130"/>
        <v>0</v>
      </c>
      <c r="CL384" s="10" t="b">
        <f t="shared" si="131"/>
        <v>0</v>
      </c>
      <c r="CM384" s="10" t="b">
        <f t="shared" si="132"/>
        <v>0</v>
      </c>
      <c r="CN384" s="9">
        <f t="shared" si="133"/>
        <v>1</v>
      </c>
      <c r="CO384" s="10">
        <f t="shared" si="144"/>
        <v>2</v>
      </c>
      <c r="CP384" s="10" t="b">
        <f t="shared" si="134"/>
        <v>0</v>
      </c>
      <c r="CQ384" s="10" t="b">
        <f t="shared" si="135"/>
        <v>0</v>
      </c>
      <c r="CR384" s="10" cm="1">
        <f t="array" ref="CR384">_xlfn.IFS(AND($CI384=0, CK384=FALSE), NA(), AND($CI384=1, CK384=FALSE), 0, CK384=TRUE, 1)</f>
        <v>0</v>
      </c>
      <c r="CS384" s="10" cm="1">
        <f t="array" ref="CS384">_xlfn.IFS(AND($CI384=0, CL384=FALSE), NA(), AND($CI384=1, CL384=FALSE), 0, CL384=TRUE, 1)</f>
        <v>0</v>
      </c>
      <c r="CT384" s="10" cm="1">
        <f t="array" ref="CT384">_xlfn.IFS(AND($CI384=0, CM384=FALSE), NA(), AND($CI384=1, CM384=FALSE), 0, CM384=TRUE, 1)</f>
        <v>0</v>
      </c>
      <c r="CU384" s="10" cm="1">
        <f t="array" ref="CU384">_xlfn.IFS(AND($CN384=0, CP384=FALSE), NA(), AND($CN384=1, CP384=FALSE), 0, CP384=TRUE, 1)</f>
        <v>0</v>
      </c>
      <c r="CV384" s="10" cm="1">
        <f t="array" ref="CV384">_xlfn.IFS(AND($CN384=0, CQ384=FALSE), NA(), AND($CN384=1, CQ384=FALSE), 0, CQ384=TRUE, 1)</f>
        <v>0</v>
      </c>
    </row>
    <row r="385" spans="1:100" x14ac:dyDescent="0.25">
      <c r="A385" s="8">
        <v>384</v>
      </c>
      <c r="B385" s="9">
        <v>489</v>
      </c>
      <c r="C385" s="10" t="s">
        <v>31</v>
      </c>
      <c r="D385" s="11" t="s">
        <v>373</v>
      </c>
      <c r="E385" s="12"/>
      <c r="F385" s="13">
        <v>2</v>
      </c>
      <c r="G385" s="9">
        <v>80</v>
      </c>
      <c r="H385" s="12">
        <v>42423</v>
      </c>
      <c r="I385" s="9">
        <v>1</v>
      </c>
      <c r="J385" s="12">
        <v>42423</v>
      </c>
      <c r="K385" s="9">
        <v>0</v>
      </c>
      <c r="L385" s="9">
        <v>2</v>
      </c>
      <c r="M385" s="10" t="s">
        <v>401</v>
      </c>
      <c r="N385" s="9">
        <v>2</v>
      </c>
      <c r="O385" s="10" t="s">
        <v>145</v>
      </c>
      <c r="P385" s="9">
        <v>2</v>
      </c>
      <c r="Q385" s="10" t="s">
        <v>145</v>
      </c>
      <c r="R385" s="12">
        <v>42647</v>
      </c>
      <c r="S385" s="10" t="s">
        <v>146</v>
      </c>
      <c r="T385" s="9"/>
      <c r="U385" s="10" t="s">
        <v>401</v>
      </c>
      <c r="V385" s="10" t="s">
        <v>401</v>
      </c>
      <c r="W385" s="9"/>
      <c r="X385" s="9"/>
      <c r="Y385" s="9">
        <v>2</v>
      </c>
      <c r="Z385" s="19">
        <v>2</v>
      </c>
      <c r="AB385" s="9"/>
      <c r="AC385" s="9"/>
      <c r="AD385" s="9">
        <v>2</v>
      </c>
      <c r="AE385" s="9">
        <v>2</v>
      </c>
      <c r="AF385" s="9">
        <v>1</v>
      </c>
      <c r="AG385" s="9">
        <v>0</v>
      </c>
      <c r="AH385" s="9">
        <v>1</v>
      </c>
      <c r="AI385" s="9">
        <v>0</v>
      </c>
      <c r="AJ385" s="12">
        <v>42814</v>
      </c>
      <c r="AK385" s="9">
        <v>2</v>
      </c>
      <c r="AL385" s="12">
        <v>42858</v>
      </c>
      <c r="AM385" s="9">
        <v>4</v>
      </c>
      <c r="AN385" s="12">
        <v>42867</v>
      </c>
      <c r="AO385" s="12">
        <v>42867</v>
      </c>
      <c r="AP385" s="12">
        <v>42867</v>
      </c>
      <c r="AQ385" s="9">
        <v>1</v>
      </c>
      <c r="AR385" s="9">
        <f t="shared" si="125"/>
        <v>1</v>
      </c>
      <c r="AS385" s="9">
        <v>1</v>
      </c>
      <c r="AT385" s="9">
        <v>2</v>
      </c>
      <c r="AU385" s="9">
        <v>2</v>
      </c>
      <c r="AV385" s="9">
        <f t="shared" si="126"/>
        <v>1</v>
      </c>
      <c r="AW385" s="12">
        <v>43101</v>
      </c>
      <c r="AX385" s="9">
        <v>8690</v>
      </c>
      <c r="AY385" s="9">
        <v>6160</v>
      </c>
      <c r="AZ385" s="9">
        <v>1430</v>
      </c>
      <c r="BA385" s="9">
        <v>6160</v>
      </c>
      <c r="BB385" s="9">
        <v>1429.9996337890625</v>
      </c>
      <c r="BC385" s="9">
        <v>537000</v>
      </c>
      <c r="BD385" s="9">
        <v>750</v>
      </c>
      <c r="BE385" s="9">
        <v>310</v>
      </c>
      <c r="BF385" s="9"/>
      <c r="BG385" s="9">
        <v>6490</v>
      </c>
      <c r="BH385" s="9">
        <v>4040</v>
      </c>
      <c r="BI385" s="9">
        <v>1590</v>
      </c>
      <c r="BJ385" s="9">
        <v>382000</v>
      </c>
      <c r="BK385" s="9">
        <v>530</v>
      </c>
      <c r="BL385" s="9">
        <v>270</v>
      </c>
      <c r="BM385" s="9">
        <v>457</v>
      </c>
      <c r="BN385" s="9">
        <v>6100</v>
      </c>
      <c r="BO385" s="9">
        <v>3720</v>
      </c>
      <c r="BP385" s="9">
        <v>1520</v>
      </c>
      <c r="BQ385" s="9">
        <v>400000</v>
      </c>
      <c r="BR385" s="9">
        <v>480</v>
      </c>
      <c r="BS385" s="9">
        <v>340</v>
      </c>
      <c r="BT385" s="9">
        <v>373</v>
      </c>
      <c r="BU385" s="9">
        <v>5770</v>
      </c>
      <c r="BV385" s="9">
        <v>3550</v>
      </c>
      <c r="BW385" s="9">
        <v>1250</v>
      </c>
      <c r="BX385" s="9">
        <v>480000</v>
      </c>
      <c r="BY385" s="9">
        <v>610</v>
      </c>
      <c r="BZ385" s="10" t="s">
        <v>529</v>
      </c>
      <c r="CA385" s="9">
        <v>310</v>
      </c>
      <c r="CB385" s="9">
        <v>448</v>
      </c>
      <c r="CC385" s="10">
        <f t="shared" si="127"/>
        <v>4.3076934108562535</v>
      </c>
      <c r="CD385" s="10">
        <f t="shared" si="128"/>
        <v>375.52457169315068</v>
      </c>
      <c r="CE385" s="10">
        <f t="shared" si="145"/>
        <v>2313231.3616298083</v>
      </c>
      <c r="CF385" s="10">
        <f t="shared" si="142"/>
        <v>0</v>
      </c>
      <c r="CG385" s="10">
        <f t="shared" si="122"/>
        <v>0</v>
      </c>
      <c r="CH385" s="10">
        <f t="shared" si="123"/>
        <v>2</v>
      </c>
      <c r="CI385" s="9">
        <f t="shared" si="129"/>
        <v>1</v>
      </c>
      <c r="CJ385" s="10">
        <f t="shared" si="124"/>
        <v>10</v>
      </c>
      <c r="CK385" s="10" t="b">
        <f t="shared" si="130"/>
        <v>1</v>
      </c>
      <c r="CL385" s="10" t="b">
        <f t="shared" si="131"/>
        <v>0</v>
      </c>
      <c r="CM385" s="10" t="b">
        <f t="shared" si="132"/>
        <v>0</v>
      </c>
      <c r="CN385" s="9">
        <f t="shared" si="133"/>
        <v>1</v>
      </c>
      <c r="CO385" s="10">
        <f t="shared" si="144"/>
        <v>2</v>
      </c>
      <c r="CP385" s="10" t="b">
        <f t="shared" si="134"/>
        <v>0</v>
      </c>
      <c r="CQ385" s="10" t="b">
        <f t="shared" si="135"/>
        <v>0</v>
      </c>
      <c r="CR385" s="10" cm="1">
        <f t="array" ref="CR385">_xlfn.IFS(AND($CI385=0, CK385=FALSE), NA(), AND($CI385=1, CK385=FALSE), 0, CK385=TRUE, 1)</f>
        <v>1</v>
      </c>
      <c r="CS385" s="10" cm="1">
        <f t="array" ref="CS385">_xlfn.IFS(AND($CI385=0, CL385=FALSE), NA(), AND($CI385=1, CL385=FALSE), 0, CL385=TRUE, 1)</f>
        <v>0</v>
      </c>
      <c r="CT385" s="10" cm="1">
        <f t="array" ref="CT385">_xlfn.IFS(AND($CI385=0, CM385=FALSE), NA(), AND($CI385=1, CM385=FALSE), 0, CM385=TRUE, 1)</f>
        <v>0</v>
      </c>
      <c r="CU385" s="10" cm="1">
        <f t="array" ref="CU385">_xlfn.IFS(AND($CN385=0, CP385=FALSE), NA(), AND($CN385=1, CP385=FALSE), 0, CP385=TRUE, 1)</f>
        <v>0</v>
      </c>
      <c r="CV385" s="10" cm="1">
        <f t="array" ref="CV385">_xlfn.IFS(AND($CN385=0, CQ385=FALSE), NA(), AND($CN385=1, CQ385=FALSE), 0, CQ385=TRUE, 1)</f>
        <v>0</v>
      </c>
    </row>
    <row r="386" spans="1:100" ht="15.75" x14ac:dyDescent="0.25">
      <c r="A386" s="8">
        <v>385</v>
      </c>
      <c r="B386" s="9">
        <v>369</v>
      </c>
      <c r="C386" s="10" t="s">
        <v>28</v>
      </c>
      <c r="D386" s="11" t="s">
        <v>245</v>
      </c>
      <c r="E386" s="12">
        <v>20665</v>
      </c>
      <c r="F386" s="13">
        <v>1</v>
      </c>
      <c r="G386" s="9">
        <v>59.578369140625</v>
      </c>
      <c r="H386" s="12">
        <v>42426</v>
      </c>
      <c r="I386" s="9">
        <v>1</v>
      </c>
      <c r="J386" s="12">
        <v>42468</v>
      </c>
      <c r="K386" s="9">
        <v>1</v>
      </c>
      <c r="L386" s="9">
        <v>1</v>
      </c>
      <c r="M386" s="10" t="s">
        <v>401</v>
      </c>
      <c r="N386" s="9">
        <v>2</v>
      </c>
      <c r="O386" s="10" t="s">
        <v>409</v>
      </c>
      <c r="P386" s="9">
        <v>2</v>
      </c>
      <c r="Q386" s="10" t="s">
        <v>409</v>
      </c>
      <c r="R386" s="12">
        <v>42423</v>
      </c>
      <c r="S386" s="10" t="s">
        <v>145</v>
      </c>
      <c r="T386" s="9"/>
      <c r="U386" s="10" t="s">
        <v>401</v>
      </c>
      <c r="V386" s="10" t="s">
        <v>401</v>
      </c>
      <c r="W386" s="9"/>
      <c r="X386" s="9"/>
      <c r="Y386" s="9">
        <v>2</v>
      </c>
      <c r="Z386" s="14">
        <v>1</v>
      </c>
      <c r="AA386" s="15">
        <v>13.3</v>
      </c>
      <c r="AB386" s="16">
        <v>110</v>
      </c>
      <c r="AC386" s="16">
        <v>13</v>
      </c>
      <c r="AD386" s="9">
        <v>2</v>
      </c>
      <c r="AE386" s="9">
        <v>2</v>
      </c>
      <c r="AF386" s="9">
        <v>1</v>
      </c>
      <c r="AG386" s="9">
        <v>0</v>
      </c>
      <c r="AH386" s="9">
        <v>1</v>
      </c>
      <c r="AI386" s="9">
        <v>1</v>
      </c>
      <c r="AJ386" s="12">
        <v>43179</v>
      </c>
      <c r="AK386" s="9">
        <v>2</v>
      </c>
      <c r="AL386" s="12">
        <v>43179</v>
      </c>
      <c r="AM386" s="9">
        <v>4</v>
      </c>
      <c r="AN386" s="12">
        <v>43385</v>
      </c>
      <c r="AO386" s="12">
        <v>43385</v>
      </c>
      <c r="AP386" s="12">
        <v>43385</v>
      </c>
      <c r="AQ386" s="9">
        <v>1</v>
      </c>
      <c r="AR386" s="9">
        <f t="shared" si="125"/>
        <v>1</v>
      </c>
      <c r="AS386" s="9">
        <v>1</v>
      </c>
      <c r="AT386" s="9">
        <v>2</v>
      </c>
      <c r="AU386" s="9">
        <v>2</v>
      </c>
      <c r="AV386" s="9">
        <f t="shared" si="126"/>
        <v>1</v>
      </c>
      <c r="AW386" s="12">
        <v>43385</v>
      </c>
      <c r="AX386" s="9">
        <v>7770</v>
      </c>
      <c r="AY386" s="9">
        <v>4740</v>
      </c>
      <c r="AZ386" s="9">
        <v>2120</v>
      </c>
      <c r="BA386" s="9">
        <v>4740</v>
      </c>
      <c r="BB386" s="9">
        <v>2120.00048828125</v>
      </c>
      <c r="BC386" s="9">
        <v>236000</v>
      </c>
      <c r="BD386" s="9">
        <v>690</v>
      </c>
      <c r="BE386" s="9">
        <v>180</v>
      </c>
      <c r="BF386" s="9">
        <v>380</v>
      </c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10" t="s">
        <v>401</v>
      </c>
      <c r="CA386" s="9"/>
      <c r="CB386" s="9"/>
      <c r="CC386" s="10">
        <f t="shared" si="127"/>
        <v>2.2358485416401317</v>
      </c>
      <c r="CD386" s="10">
        <f t="shared" si="128"/>
        <v>111.32072907744116</v>
      </c>
      <c r="CE386" s="10">
        <f t="shared" si="145"/>
        <v>527660.25582707103</v>
      </c>
      <c r="CF386" s="10">
        <f t="shared" si="142"/>
        <v>0</v>
      </c>
      <c r="CG386" s="10">
        <f t="shared" ref="CG386:CG449" si="146">IF(OR(AM386=4,AM386=3), 0,1)</f>
        <v>0</v>
      </c>
      <c r="CH386" s="10">
        <f t="shared" ref="CH386:CH449" si="147">(YEAR(AL386)-YEAR(AJ386))*12+MONTH(AL386)-MONTH(AJ386)</f>
        <v>0</v>
      </c>
      <c r="CI386" s="9">
        <f t="shared" si="129"/>
        <v>1</v>
      </c>
      <c r="CJ386" s="10">
        <f t="shared" ref="CJ386:CJ449" si="148">(YEAR(AW386)-YEAR(AJ386))*12+MONTH(AW386)-MONTH(AJ386)</f>
        <v>7</v>
      </c>
      <c r="CK386" s="10" t="b">
        <f t="shared" si="130"/>
        <v>1</v>
      </c>
      <c r="CL386" s="10" t="b">
        <f t="shared" si="131"/>
        <v>0</v>
      </c>
      <c r="CM386" s="10" t="b">
        <f t="shared" si="132"/>
        <v>0</v>
      </c>
      <c r="CN386" s="9">
        <f t="shared" si="133"/>
        <v>1</v>
      </c>
      <c r="CO386" s="10">
        <f t="shared" si="144"/>
        <v>7</v>
      </c>
      <c r="CP386" s="10" t="b">
        <f t="shared" si="134"/>
        <v>1</v>
      </c>
      <c r="CQ386" s="10" t="b">
        <f t="shared" si="135"/>
        <v>0</v>
      </c>
      <c r="CR386" s="10" cm="1">
        <f t="array" ref="CR386">_xlfn.IFS(AND($CI386=0, CK386=FALSE), NA(), AND($CI386=1, CK386=FALSE), 0, CK386=TRUE, 1)</f>
        <v>1</v>
      </c>
      <c r="CS386" s="10" cm="1">
        <f t="array" ref="CS386">_xlfn.IFS(AND($CI386=0, CL386=FALSE), NA(), AND($CI386=1, CL386=FALSE), 0, CL386=TRUE, 1)</f>
        <v>0</v>
      </c>
      <c r="CT386" s="10" cm="1">
        <f t="array" ref="CT386">_xlfn.IFS(AND($CI386=0, CM386=FALSE), NA(), AND($CI386=1, CM386=FALSE), 0, CM386=TRUE, 1)</f>
        <v>0</v>
      </c>
      <c r="CU386" s="10" cm="1">
        <f t="array" ref="CU386">_xlfn.IFS(AND($CN386=0, CP386=FALSE), NA(), AND($CN386=1, CP386=FALSE), 0, CP386=TRUE, 1)</f>
        <v>1</v>
      </c>
      <c r="CV386" s="10" cm="1">
        <f t="array" ref="CV386">_xlfn.IFS(AND($CN386=0, CQ386=FALSE), NA(), AND($CN386=1, CQ386=FALSE), 0, CQ386=TRUE, 1)</f>
        <v>0</v>
      </c>
    </row>
    <row r="387" spans="1:100" ht="15.75" x14ac:dyDescent="0.25">
      <c r="A387" s="8">
        <v>386</v>
      </c>
      <c r="B387" s="9">
        <v>388</v>
      </c>
      <c r="C387" s="10" t="s">
        <v>29</v>
      </c>
      <c r="D387" s="11" t="s">
        <v>303</v>
      </c>
      <c r="E387" s="12">
        <v>18668</v>
      </c>
      <c r="F387" s="13">
        <v>1</v>
      </c>
      <c r="G387" s="9">
        <v>65.045860290527344</v>
      </c>
      <c r="H387" s="12">
        <v>42426</v>
      </c>
      <c r="I387" s="9">
        <v>1</v>
      </c>
      <c r="J387" s="12">
        <v>42383</v>
      </c>
      <c r="K387" s="9">
        <v>1</v>
      </c>
      <c r="L387" s="9">
        <v>4</v>
      </c>
      <c r="M387" s="10" t="s">
        <v>402</v>
      </c>
      <c r="N387" s="9">
        <v>2</v>
      </c>
      <c r="O387" s="10" t="s">
        <v>145</v>
      </c>
      <c r="P387" s="9">
        <v>2</v>
      </c>
      <c r="Q387" s="10" t="s">
        <v>145</v>
      </c>
      <c r="R387" s="12">
        <v>42407</v>
      </c>
      <c r="S387" s="10" t="s">
        <v>145</v>
      </c>
      <c r="T387" s="9"/>
      <c r="U387" s="10" t="s">
        <v>401</v>
      </c>
      <c r="V387" s="10" t="s">
        <v>401</v>
      </c>
      <c r="W387" s="9"/>
      <c r="X387" s="9"/>
      <c r="Y387" s="9">
        <v>2</v>
      </c>
      <c r="Z387" s="14">
        <v>1</v>
      </c>
      <c r="AA387" s="17">
        <v>12.5</v>
      </c>
      <c r="AB387" s="18">
        <v>97</v>
      </c>
      <c r="AC387" s="18"/>
      <c r="AD387" s="9">
        <v>2</v>
      </c>
      <c r="AE387" s="9">
        <v>2</v>
      </c>
      <c r="AF387" s="9">
        <v>2</v>
      </c>
      <c r="AG387" s="9">
        <v>1</v>
      </c>
      <c r="AH387" s="9">
        <v>1</v>
      </c>
      <c r="AI387" s="9">
        <v>1</v>
      </c>
      <c r="AJ387" s="12">
        <v>43676</v>
      </c>
      <c r="AK387" s="9">
        <v>2</v>
      </c>
      <c r="AL387" s="12">
        <v>43731</v>
      </c>
      <c r="AM387" s="9">
        <v>4</v>
      </c>
      <c r="AN387" s="12">
        <v>43768</v>
      </c>
      <c r="AO387" s="12">
        <v>43768</v>
      </c>
      <c r="AP387" s="12">
        <v>43768</v>
      </c>
      <c r="AQ387" s="9">
        <v>1</v>
      </c>
      <c r="AR387" s="9">
        <f t="shared" ref="AR387:AR450" si="149">IF(AQ387=1,1,0)</f>
        <v>1</v>
      </c>
      <c r="AS387" s="9">
        <v>1</v>
      </c>
      <c r="AT387" s="9">
        <v>2</v>
      </c>
      <c r="AU387" s="9">
        <v>2</v>
      </c>
      <c r="AV387" s="9">
        <f t="shared" ref="AV387:AV450" si="150">IF(AU387=2,1,0)</f>
        <v>1</v>
      </c>
      <c r="AW387" s="12">
        <v>43777</v>
      </c>
      <c r="AX387" s="9">
        <v>5800</v>
      </c>
      <c r="AY387" s="9">
        <v>2820</v>
      </c>
      <c r="AZ387" s="9">
        <v>2020</v>
      </c>
      <c r="BA387" s="9">
        <v>2820</v>
      </c>
      <c r="BB387" s="9">
        <v>2019.9998779296875</v>
      </c>
      <c r="BC387" s="9">
        <v>192000</v>
      </c>
      <c r="BD387" s="9">
        <v>92</v>
      </c>
      <c r="BE387" s="9">
        <v>3</v>
      </c>
      <c r="BF387" s="9"/>
      <c r="BG387" s="9">
        <v>10760</v>
      </c>
      <c r="BH387" s="9">
        <v>7480</v>
      </c>
      <c r="BI387" s="9">
        <v>2065</v>
      </c>
      <c r="BJ387" s="9">
        <v>310000</v>
      </c>
      <c r="BK387" s="9">
        <v>80</v>
      </c>
      <c r="BL387" s="9">
        <v>10</v>
      </c>
      <c r="BM387" s="9"/>
      <c r="BN387" s="9">
        <v>8430</v>
      </c>
      <c r="BO387" s="9">
        <v>5648</v>
      </c>
      <c r="BP387" s="9">
        <v>1601</v>
      </c>
      <c r="BQ387" s="9">
        <v>294000</v>
      </c>
      <c r="BR387" s="9">
        <v>95</v>
      </c>
      <c r="BS387" s="9">
        <v>20</v>
      </c>
      <c r="BT387" s="9"/>
      <c r="BU387" s="9"/>
      <c r="BV387" s="9"/>
      <c r="BW387" s="9"/>
      <c r="BX387" s="9"/>
      <c r="BY387" s="9"/>
      <c r="BZ387" s="10" t="s">
        <v>401</v>
      </c>
      <c r="CA387" s="9"/>
      <c r="CB387" s="9"/>
      <c r="CC387" s="10">
        <f t="shared" ref="CC387:CC450" si="151">BA387/BB387</f>
        <v>1.3960396883242578</v>
      </c>
      <c r="CD387" s="10">
        <f t="shared" ref="CD387:CD450" si="152">BC387/BB387</f>
        <v>95.049510694417563</v>
      </c>
      <c r="CE387" s="10">
        <f t="shared" si="145"/>
        <v>268039.62015825749</v>
      </c>
      <c r="CF387" s="10">
        <f t="shared" si="142"/>
        <v>0</v>
      </c>
      <c r="CG387" s="10">
        <f t="shared" si="146"/>
        <v>0</v>
      </c>
      <c r="CH387" s="10">
        <f t="shared" si="147"/>
        <v>2</v>
      </c>
      <c r="CI387" s="9">
        <f t="shared" ref="CI387:CI450" si="153">AV387</f>
        <v>1</v>
      </c>
      <c r="CJ387" s="10">
        <f t="shared" si="148"/>
        <v>4</v>
      </c>
      <c r="CK387" s="10" t="b">
        <f t="shared" ref="CK387:CK450" si="154">IF(CJ387&gt;=6, TRUE, FALSE)</f>
        <v>0</v>
      </c>
      <c r="CL387" s="10" t="b">
        <f t="shared" ref="CL387:CL450" si="155">IF(CJ387&gt;=18, TRUE, FALSE)</f>
        <v>0</v>
      </c>
      <c r="CM387" s="10" t="b">
        <f t="shared" ref="CM387:CM450" si="156">IF(CJ387&gt;=24, TRUE, FALSE)</f>
        <v>0</v>
      </c>
      <c r="CN387" s="9">
        <f t="shared" ref="CN387:CN450" si="157">AR387</f>
        <v>1</v>
      </c>
      <c r="CO387" s="10">
        <f t="shared" si="144"/>
        <v>3</v>
      </c>
      <c r="CP387" s="10" t="b">
        <f t="shared" ref="CP387:CP450" si="158">IF(CO387&gt;=3, TRUE, FALSE)</f>
        <v>1</v>
      </c>
      <c r="CQ387" s="10" t="b">
        <f t="shared" ref="CQ387:CQ450" si="159">IF(CO387&gt;=9, TRUE, FALSE)</f>
        <v>0</v>
      </c>
      <c r="CR387" s="10" cm="1">
        <f t="array" ref="CR387">_xlfn.IFS(AND($CI387=0, CK387=FALSE), NA(), AND($CI387=1, CK387=FALSE), 0, CK387=TRUE, 1)</f>
        <v>0</v>
      </c>
      <c r="CS387" s="10" cm="1">
        <f t="array" ref="CS387">_xlfn.IFS(AND($CI387=0, CL387=FALSE), NA(), AND($CI387=1, CL387=FALSE), 0, CL387=TRUE, 1)</f>
        <v>0</v>
      </c>
      <c r="CT387" s="10" cm="1">
        <f t="array" ref="CT387">_xlfn.IFS(AND($CI387=0, CM387=FALSE), NA(), AND($CI387=1, CM387=FALSE), 0, CM387=TRUE, 1)</f>
        <v>0</v>
      </c>
      <c r="CU387" s="10" cm="1">
        <f t="array" ref="CU387">_xlfn.IFS(AND($CN387=0, CP387=FALSE), NA(), AND($CN387=1, CP387=FALSE), 0, CP387=TRUE, 1)</f>
        <v>1</v>
      </c>
      <c r="CV387" s="10" cm="1">
        <f t="array" ref="CV387">_xlfn.IFS(AND($CN387=0, CQ387=FALSE), NA(), AND($CN387=1, CQ387=FALSE), 0, CQ387=TRUE, 1)</f>
        <v>0</v>
      </c>
    </row>
    <row r="388" spans="1:100" ht="15.75" x14ac:dyDescent="0.25">
      <c r="A388" s="8">
        <v>387</v>
      </c>
      <c r="B388" s="9">
        <v>325</v>
      </c>
      <c r="C388" s="10" t="s">
        <v>25</v>
      </c>
      <c r="D388" s="11" t="s">
        <v>205</v>
      </c>
      <c r="E388" s="12">
        <v>26634</v>
      </c>
      <c r="F388" s="13">
        <v>2</v>
      </c>
      <c r="G388" s="9">
        <v>43.244354248046875</v>
      </c>
      <c r="H388" s="12">
        <v>42429</v>
      </c>
      <c r="I388" s="9">
        <v>1</v>
      </c>
      <c r="J388" s="12">
        <v>42429</v>
      </c>
      <c r="K388" s="9">
        <v>0</v>
      </c>
      <c r="L388" s="9">
        <v>3</v>
      </c>
      <c r="M388" s="10" t="s">
        <v>401</v>
      </c>
      <c r="N388" s="9">
        <v>2</v>
      </c>
      <c r="O388" s="10" t="s">
        <v>421</v>
      </c>
      <c r="P388" s="9">
        <v>2</v>
      </c>
      <c r="Q388" s="10" t="s">
        <v>421</v>
      </c>
      <c r="R388" s="12">
        <v>42468</v>
      </c>
      <c r="S388" s="10" t="s">
        <v>145</v>
      </c>
      <c r="T388" s="9"/>
      <c r="U388" s="10" t="s">
        <v>401</v>
      </c>
      <c r="V388" s="10" t="s">
        <v>401</v>
      </c>
      <c r="W388" s="9"/>
      <c r="X388" s="9"/>
      <c r="Y388" s="9">
        <v>2</v>
      </c>
      <c r="Z388" s="14">
        <v>1</v>
      </c>
      <c r="AA388" s="17"/>
      <c r="AB388" s="18"/>
      <c r="AC388" s="18"/>
      <c r="AD388" s="9">
        <v>2</v>
      </c>
      <c r="AE388" s="9">
        <v>2</v>
      </c>
      <c r="AF388" s="9">
        <v>1</v>
      </c>
      <c r="AG388" s="9">
        <v>1</v>
      </c>
      <c r="AH388" s="9">
        <v>1</v>
      </c>
      <c r="AI388" s="9">
        <v>0</v>
      </c>
      <c r="AJ388" s="12">
        <v>43173</v>
      </c>
      <c r="AK388" s="9">
        <v>2</v>
      </c>
      <c r="AL388" s="12">
        <v>43270</v>
      </c>
      <c r="AM388" s="9">
        <v>1</v>
      </c>
      <c r="AN388" s="12">
        <v>43270</v>
      </c>
      <c r="AO388" s="12"/>
      <c r="AP388" s="12"/>
      <c r="AQ388" s="9">
        <v>2</v>
      </c>
      <c r="AR388" s="9">
        <f t="shared" si="149"/>
        <v>0</v>
      </c>
      <c r="AS388" s="9">
        <v>2</v>
      </c>
      <c r="AT388" s="9"/>
      <c r="AU388" s="9">
        <v>1</v>
      </c>
      <c r="AV388" s="9">
        <f t="shared" si="150"/>
        <v>0</v>
      </c>
      <c r="AW388" s="12">
        <v>44867</v>
      </c>
      <c r="AX388" s="9">
        <v>8050</v>
      </c>
      <c r="AY388" s="9">
        <v>4800</v>
      </c>
      <c r="AZ388" s="9">
        <v>2500</v>
      </c>
      <c r="BA388" s="9">
        <v>4800</v>
      </c>
      <c r="BB388" s="9">
        <v>2500.000244140625</v>
      </c>
      <c r="BC388" s="9">
        <v>312000</v>
      </c>
      <c r="BD388" s="9">
        <v>400</v>
      </c>
      <c r="BE388" s="9">
        <v>100</v>
      </c>
      <c r="BF388" s="9">
        <v>159</v>
      </c>
      <c r="BG388" s="9">
        <v>6430</v>
      </c>
      <c r="BH388" s="9">
        <v>3600</v>
      </c>
      <c r="BI388" s="9">
        <v>2100</v>
      </c>
      <c r="BJ388" s="9">
        <v>406000</v>
      </c>
      <c r="BK388" s="9">
        <v>400</v>
      </c>
      <c r="BL388" s="9">
        <v>200</v>
      </c>
      <c r="BM388" s="9">
        <v>186</v>
      </c>
      <c r="BN388" s="9">
        <v>9540</v>
      </c>
      <c r="BO388" s="9">
        <v>5000</v>
      </c>
      <c r="BP388" s="9">
        <v>3500</v>
      </c>
      <c r="BQ388" s="9">
        <v>383000</v>
      </c>
      <c r="BR388" s="9">
        <v>600</v>
      </c>
      <c r="BS388" s="9">
        <v>200</v>
      </c>
      <c r="BT388" s="9"/>
      <c r="BU388" s="9">
        <v>7180</v>
      </c>
      <c r="BV388" s="9">
        <v>3800</v>
      </c>
      <c r="BW388" s="9">
        <v>2500</v>
      </c>
      <c r="BX388" s="9">
        <v>372000</v>
      </c>
      <c r="BY388" s="9">
        <v>400</v>
      </c>
      <c r="BZ388" s="10" t="s">
        <v>542</v>
      </c>
      <c r="CA388" s="9">
        <v>300</v>
      </c>
      <c r="CB388" s="9">
        <v>192</v>
      </c>
      <c r="CC388" s="10">
        <f t="shared" si="151"/>
        <v>1.9199998125000184</v>
      </c>
      <c r="CD388" s="10">
        <f t="shared" si="152"/>
        <v>124.79998781250119</v>
      </c>
      <c r="CE388" s="10">
        <f t="shared" si="145"/>
        <v>599039.94150000578</v>
      </c>
      <c r="CF388" s="10">
        <f t="shared" si="142"/>
        <v>1</v>
      </c>
      <c r="CG388" s="10">
        <f t="shared" si="146"/>
        <v>1</v>
      </c>
      <c r="CH388" s="10">
        <f t="shared" si="147"/>
        <v>3</v>
      </c>
      <c r="CI388" s="9">
        <f t="shared" si="153"/>
        <v>0</v>
      </c>
      <c r="CJ388" s="10">
        <f t="shared" si="148"/>
        <v>56</v>
      </c>
      <c r="CK388" s="10" t="b">
        <f t="shared" si="154"/>
        <v>1</v>
      </c>
      <c r="CL388" s="10" t="b">
        <f t="shared" si="155"/>
        <v>1</v>
      </c>
      <c r="CM388" s="10" t="b">
        <f t="shared" si="156"/>
        <v>1</v>
      </c>
      <c r="CN388" s="9">
        <f t="shared" si="157"/>
        <v>0</v>
      </c>
      <c r="CO388" s="10">
        <f>CJ388</f>
        <v>56</v>
      </c>
      <c r="CP388" s="10" t="b">
        <f t="shared" si="158"/>
        <v>1</v>
      </c>
      <c r="CQ388" s="10" t="b">
        <f t="shared" si="159"/>
        <v>1</v>
      </c>
      <c r="CR388" s="10" cm="1">
        <f t="array" ref="CR388">_xlfn.IFS(AND($CI388=0, CK388=FALSE), NA(), AND($CI388=1, CK388=FALSE), 0, CK388=TRUE, 1)</f>
        <v>1</v>
      </c>
      <c r="CS388" s="10" cm="1">
        <f t="array" ref="CS388">_xlfn.IFS(AND($CI388=0, CL388=FALSE), NA(), AND($CI388=1, CL388=FALSE), 0, CL388=TRUE, 1)</f>
        <v>1</v>
      </c>
      <c r="CT388" s="10" cm="1">
        <f t="array" ref="CT388">_xlfn.IFS(AND($CI388=0, CM388=FALSE), NA(), AND($CI388=1, CM388=FALSE), 0, CM388=TRUE, 1)</f>
        <v>1</v>
      </c>
      <c r="CU388" s="10" cm="1">
        <f t="array" ref="CU388">_xlfn.IFS(AND($CN388=0, CP388=FALSE), NA(), AND($CN388=1, CP388=FALSE), 0, CP388=TRUE, 1)</f>
        <v>1</v>
      </c>
      <c r="CV388" s="10" cm="1">
        <f t="array" ref="CV388">_xlfn.IFS(AND($CN388=0, CQ388=FALSE), NA(), AND($CN388=1, CQ388=FALSE), 0, CQ388=TRUE, 1)</f>
        <v>1</v>
      </c>
    </row>
    <row r="389" spans="1:100" x14ac:dyDescent="0.25">
      <c r="A389" s="8">
        <v>388</v>
      </c>
      <c r="B389" s="9">
        <v>114</v>
      </c>
      <c r="C389" s="10" t="s">
        <v>12</v>
      </c>
      <c r="D389" s="11" t="s">
        <v>137</v>
      </c>
      <c r="E389" s="12">
        <v>15371</v>
      </c>
      <c r="F389" s="13">
        <v>2</v>
      </c>
      <c r="G389" s="9">
        <v>74.083503723144531</v>
      </c>
      <c r="H389" s="12">
        <v>42430</v>
      </c>
      <c r="I389" s="9">
        <v>1</v>
      </c>
      <c r="J389" s="12">
        <v>42489</v>
      </c>
      <c r="K389" s="9">
        <v>0</v>
      </c>
      <c r="L389" s="9">
        <v>1</v>
      </c>
      <c r="M389" s="10" t="s">
        <v>401</v>
      </c>
      <c r="N389" s="9">
        <v>2</v>
      </c>
      <c r="O389" s="10" t="s">
        <v>145</v>
      </c>
      <c r="P389" s="9">
        <v>2</v>
      </c>
      <c r="Q389" s="10" t="s">
        <v>145</v>
      </c>
      <c r="R389" s="12">
        <v>42648</v>
      </c>
      <c r="S389" s="10" t="s">
        <v>145</v>
      </c>
      <c r="T389" s="9"/>
      <c r="U389" s="10" t="s">
        <v>401</v>
      </c>
      <c r="V389" s="10" t="s">
        <v>401</v>
      </c>
      <c r="W389" s="9"/>
      <c r="X389" s="9"/>
      <c r="Y389" s="9">
        <v>2</v>
      </c>
      <c r="Z389" s="19">
        <v>1</v>
      </c>
      <c r="AB389" s="9"/>
      <c r="AC389" s="9"/>
      <c r="AD389" s="9">
        <v>2</v>
      </c>
      <c r="AE389" s="9">
        <v>2</v>
      </c>
      <c r="AF389" s="9">
        <v>1</v>
      </c>
      <c r="AG389" s="9">
        <v>0</v>
      </c>
      <c r="AH389" s="9">
        <v>1</v>
      </c>
      <c r="AI389" s="9">
        <v>0</v>
      </c>
      <c r="AJ389" s="12">
        <v>43105</v>
      </c>
      <c r="AK389" s="9">
        <v>2</v>
      </c>
      <c r="AL389" s="12">
        <v>43350</v>
      </c>
      <c r="AM389" s="9">
        <v>4</v>
      </c>
      <c r="AN389" s="12">
        <v>43195</v>
      </c>
      <c r="AO389" s="12">
        <v>43195</v>
      </c>
      <c r="AP389" s="12">
        <v>43361</v>
      </c>
      <c r="AQ389" s="9">
        <v>1</v>
      </c>
      <c r="AR389" s="9">
        <f t="shared" si="149"/>
        <v>1</v>
      </c>
      <c r="AS389" s="9">
        <v>1</v>
      </c>
      <c r="AT389" s="9">
        <v>1</v>
      </c>
      <c r="AU389" s="9">
        <v>2</v>
      </c>
      <c r="AV389" s="9">
        <f t="shared" si="150"/>
        <v>1</v>
      </c>
      <c r="AW389" s="12">
        <v>43396</v>
      </c>
      <c r="AX389" s="9">
        <v>5410</v>
      </c>
      <c r="AY389" s="9">
        <v>3070</v>
      </c>
      <c r="AZ389" s="9">
        <v>1950</v>
      </c>
      <c r="BA389" s="9">
        <v>3070</v>
      </c>
      <c r="BB389" s="9">
        <v>1950.00048828125</v>
      </c>
      <c r="BC389" s="9">
        <v>364000</v>
      </c>
      <c r="BD389" s="9">
        <v>330</v>
      </c>
      <c r="BE389" s="9">
        <v>50</v>
      </c>
      <c r="BF389" s="9"/>
      <c r="BG389" s="9">
        <v>3760</v>
      </c>
      <c r="BH389" s="9">
        <v>1700</v>
      </c>
      <c r="BI389" s="9">
        <v>1410</v>
      </c>
      <c r="BJ389" s="9">
        <v>309000</v>
      </c>
      <c r="BK389" s="9">
        <v>580</v>
      </c>
      <c r="BL389" s="9">
        <v>60</v>
      </c>
      <c r="BM389" s="9"/>
      <c r="BN389" s="9">
        <v>6690</v>
      </c>
      <c r="BO389" s="9">
        <v>3930</v>
      </c>
      <c r="BP389" s="9">
        <v>2130</v>
      </c>
      <c r="BQ389" s="9">
        <v>455000</v>
      </c>
      <c r="BR389" s="9">
        <v>630</v>
      </c>
      <c r="BS389" s="9">
        <v>0</v>
      </c>
      <c r="BT389" s="9"/>
      <c r="BU389" s="9">
        <v>7370</v>
      </c>
      <c r="BV389" s="9">
        <v>4660</v>
      </c>
      <c r="BW389" s="9">
        <v>2010</v>
      </c>
      <c r="BX389" s="9">
        <v>428000</v>
      </c>
      <c r="BY389" s="9">
        <v>700</v>
      </c>
      <c r="BZ389" s="10" t="s">
        <v>442</v>
      </c>
      <c r="CA389" s="9">
        <v>0</v>
      </c>
      <c r="CB389" s="9"/>
      <c r="CC389" s="10">
        <f t="shared" si="151"/>
        <v>1.5743585801385767</v>
      </c>
      <c r="CD389" s="10">
        <f t="shared" si="152"/>
        <v>186.66661992522538</v>
      </c>
      <c r="CE389" s="10">
        <f t="shared" si="145"/>
        <v>573066.52317044185</v>
      </c>
      <c r="CF389" s="10">
        <f t="shared" si="142"/>
        <v>0</v>
      </c>
      <c r="CG389" s="10">
        <f t="shared" si="146"/>
        <v>0</v>
      </c>
      <c r="CH389" s="10">
        <f t="shared" si="147"/>
        <v>8</v>
      </c>
      <c r="CI389" s="9">
        <f t="shared" si="153"/>
        <v>1</v>
      </c>
      <c r="CJ389" s="10">
        <f t="shared" si="148"/>
        <v>9</v>
      </c>
      <c r="CK389" s="10" t="b">
        <f t="shared" si="154"/>
        <v>1</v>
      </c>
      <c r="CL389" s="10" t="b">
        <f t="shared" si="155"/>
        <v>0</v>
      </c>
      <c r="CM389" s="10" t="b">
        <f t="shared" si="156"/>
        <v>0</v>
      </c>
      <c r="CN389" s="9">
        <f t="shared" si="157"/>
        <v>1</v>
      </c>
      <c r="CO389" s="10">
        <f t="shared" ref="CO389:CO402" si="160">(YEAR(AO389)-YEAR(AJ389))*12+MONTH(AO389)-MONTH(AJ389)</f>
        <v>3</v>
      </c>
      <c r="CP389" s="10" t="b">
        <f t="shared" si="158"/>
        <v>1</v>
      </c>
      <c r="CQ389" s="10" t="b">
        <f t="shared" si="159"/>
        <v>0</v>
      </c>
      <c r="CR389" s="10" cm="1">
        <f t="array" ref="CR389">_xlfn.IFS(AND($CI389=0, CK389=FALSE), NA(), AND($CI389=1, CK389=FALSE), 0, CK389=TRUE, 1)</f>
        <v>1</v>
      </c>
      <c r="CS389" s="10" cm="1">
        <f t="array" ref="CS389">_xlfn.IFS(AND($CI389=0, CL389=FALSE), NA(), AND($CI389=1, CL389=FALSE), 0, CL389=TRUE, 1)</f>
        <v>0</v>
      </c>
      <c r="CT389" s="10" cm="1">
        <f t="array" ref="CT389">_xlfn.IFS(AND($CI389=0, CM389=FALSE), NA(), AND($CI389=1, CM389=FALSE), 0, CM389=TRUE, 1)</f>
        <v>0</v>
      </c>
      <c r="CU389" s="10" cm="1">
        <f t="array" ref="CU389">_xlfn.IFS(AND($CN389=0, CP389=FALSE), NA(), AND($CN389=1, CP389=FALSE), 0, CP389=TRUE, 1)</f>
        <v>1</v>
      </c>
      <c r="CV389" s="10" cm="1">
        <f t="array" ref="CV389">_xlfn.IFS(AND($CN389=0, CQ389=FALSE), NA(), AND($CN389=1, CQ389=FALSE), 0, CQ389=TRUE, 1)</f>
        <v>0</v>
      </c>
    </row>
    <row r="390" spans="1:100" ht="15.75" x14ac:dyDescent="0.25">
      <c r="A390" s="8">
        <v>389</v>
      </c>
      <c r="B390" s="9">
        <v>288</v>
      </c>
      <c r="C390" s="10" t="s">
        <v>22</v>
      </c>
      <c r="D390" s="11" t="s">
        <v>253</v>
      </c>
      <c r="E390" s="12">
        <v>26629</v>
      </c>
      <c r="F390" s="13">
        <v>1</v>
      </c>
      <c r="G390" s="9">
        <v>43.266254425048828</v>
      </c>
      <c r="H390" s="12">
        <v>42432</v>
      </c>
      <c r="I390" s="9">
        <v>1</v>
      </c>
      <c r="J390" s="12">
        <v>42432</v>
      </c>
      <c r="K390" s="9">
        <v>0</v>
      </c>
      <c r="L390" s="9">
        <v>1</v>
      </c>
      <c r="M390" s="10" t="s">
        <v>401</v>
      </c>
      <c r="N390" s="9">
        <v>1</v>
      </c>
      <c r="O390" s="10" t="s">
        <v>401</v>
      </c>
      <c r="P390" s="9">
        <v>1</v>
      </c>
      <c r="Q390" s="10" t="s">
        <v>401</v>
      </c>
      <c r="R390" s="12">
        <v>43112</v>
      </c>
      <c r="S390" s="10" t="s">
        <v>146</v>
      </c>
      <c r="T390" s="9"/>
      <c r="U390" s="10" t="s">
        <v>401</v>
      </c>
      <c r="V390" s="10" t="s">
        <v>401</v>
      </c>
      <c r="W390" s="9"/>
      <c r="X390" s="9"/>
      <c r="Y390" s="9">
        <v>2</v>
      </c>
      <c r="Z390" s="14">
        <v>2</v>
      </c>
      <c r="AB390" s="9"/>
      <c r="AC390" s="9"/>
      <c r="AD390" s="9">
        <v>1</v>
      </c>
      <c r="AE390" s="9">
        <v>1</v>
      </c>
      <c r="AF390" s="9">
        <v>1</v>
      </c>
      <c r="AG390" s="9">
        <v>0</v>
      </c>
      <c r="AH390" s="9">
        <v>1</v>
      </c>
      <c r="AI390" s="9">
        <v>1</v>
      </c>
      <c r="AJ390" s="12">
        <v>43560</v>
      </c>
      <c r="AK390" s="9">
        <v>1</v>
      </c>
      <c r="AL390" s="12">
        <v>43840</v>
      </c>
      <c r="AM390" s="9">
        <v>3</v>
      </c>
      <c r="AN390" s="12">
        <v>43686</v>
      </c>
      <c r="AO390" s="12">
        <v>43860</v>
      </c>
      <c r="AP390" s="12">
        <v>43860</v>
      </c>
      <c r="AQ390" s="9">
        <v>1</v>
      </c>
      <c r="AR390" s="9">
        <f t="shared" si="149"/>
        <v>1</v>
      </c>
      <c r="AS390" s="9">
        <v>1</v>
      </c>
      <c r="AT390" s="9">
        <v>2</v>
      </c>
      <c r="AU390" s="9">
        <v>2</v>
      </c>
      <c r="AV390" s="9">
        <f t="shared" si="150"/>
        <v>1</v>
      </c>
      <c r="AW390" s="12">
        <v>43958</v>
      </c>
      <c r="AX390" s="9">
        <v>5970</v>
      </c>
      <c r="AY390" s="9">
        <v>2890</v>
      </c>
      <c r="AZ390" s="9">
        <v>1650</v>
      </c>
      <c r="BA390" s="9">
        <v>2890</v>
      </c>
      <c r="BB390" s="9">
        <v>1650.000244140625</v>
      </c>
      <c r="BC390" s="9">
        <v>142000</v>
      </c>
      <c r="BD390" s="9">
        <v>350</v>
      </c>
      <c r="BE390" s="9">
        <v>210</v>
      </c>
      <c r="BF390" s="9"/>
      <c r="BG390" s="9">
        <v>6120</v>
      </c>
      <c r="BH390" s="9">
        <v>3140</v>
      </c>
      <c r="BI390" s="9">
        <v>1630</v>
      </c>
      <c r="BJ390" s="9">
        <v>162000</v>
      </c>
      <c r="BK390" s="9">
        <v>340</v>
      </c>
      <c r="BL390" s="9">
        <v>210</v>
      </c>
      <c r="BM390" s="9"/>
      <c r="BN390" s="9">
        <v>5970</v>
      </c>
      <c r="BO390" s="9">
        <v>2750</v>
      </c>
      <c r="BP390" s="9">
        <v>1400</v>
      </c>
      <c r="BQ390" s="9">
        <v>169000</v>
      </c>
      <c r="BR390" s="9">
        <v>550</v>
      </c>
      <c r="BS390" s="9">
        <v>240</v>
      </c>
      <c r="BT390" s="9"/>
      <c r="BU390" s="9">
        <v>4990</v>
      </c>
      <c r="BV390" s="9">
        <v>2050</v>
      </c>
      <c r="BW390" s="9">
        <v>1400</v>
      </c>
      <c r="BX390" s="9">
        <v>167000</v>
      </c>
      <c r="BY390" s="9">
        <v>440</v>
      </c>
      <c r="BZ390" s="10" t="s">
        <v>524</v>
      </c>
      <c r="CA390" s="9">
        <v>200</v>
      </c>
      <c r="CB390" s="9"/>
      <c r="CC390" s="10">
        <f t="shared" si="151"/>
        <v>1.7515148923539754</v>
      </c>
      <c r="CD390" s="10">
        <f t="shared" si="152"/>
        <v>86.06059332673513</v>
      </c>
      <c r="CE390" s="10">
        <f t="shared" si="145"/>
        <v>248715.11471426452</v>
      </c>
      <c r="CF390" s="10">
        <f t="shared" si="142"/>
        <v>1</v>
      </c>
      <c r="CG390" s="10">
        <f t="shared" si="146"/>
        <v>0</v>
      </c>
      <c r="CH390" s="10">
        <f t="shared" si="147"/>
        <v>9</v>
      </c>
      <c r="CI390" s="9">
        <f t="shared" si="153"/>
        <v>1</v>
      </c>
      <c r="CJ390" s="10">
        <f t="shared" si="148"/>
        <v>13</v>
      </c>
      <c r="CK390" s="10" t="b">
        <f t="shared" si="154"/>
        <v>1</v>
      </c>
      <c r="CL390" s="10" t="b">
        <f t="shared" si="155"/>
        <v>0</v>
      </c>
      <c r="CM390" s="10" t="b">
        <f t="shared" si="156"/>
        <v>0</v>
      </c>
      <c r="CN390" s="9">
        <f t="shared" si="157"/>
        <v>1</v>
      </c>
      <c r="CO390" s="10">
        <f t="shared" si="160"/>
        <v>9</v>
      </c>
      <c r="CP390" s="10" t="b">
        <f t="shared" si="158"/>
        <v>1</v>
      </c>
      <c r="CQ390" s="10" t="b">
        <f t="shared" si="159"/>
        <v>1</v>
      </c>
      <c r="CR390" s="10" cm="1">
        <f t="array" ref="CR390">_xlfn.IFS(AND($CI390=0, CK390=FALSE), NA(), AND($CI390=1, CK390=FALSE), 0, CK390=TRUE, 1)</f>
        <v>1</v>
      </c>
      <c r="CS390" s="10" cm="1">
        <f t="array" ref="CS390">_xlfn.IFS(AND($CI390=0, CL390=FALSE), NA(), AND($CI390=1, CL390=FALSE), 0, CL390=TRUE, 1)</f>
        <v>0</v>
      </c>
      <c r="CT390" s="10" cm="1">
        <f t="array" ref="CT390">_xlfn.IFS(AND($CI390=0, CM390=FALSE), NA(), AND($CI390=1, CM390=FALSE), 0, CM390=TRUE, 1)</f>
        <v>0</v>
      </c>
      <c r="CU390" s="10" cm="1">
        <f t="array" ref="CU390">_xlfn.IFS(AND($CN390=0, CP390=FALSE), NA(), AND($CN390=1, CP390=FALSE), 0, CP390=TRUE, 1)</f>
        <v>1</v>
      </c>
      <c r="CV390" s="10" cm="1">
        <f t="array" ref="CV390">_xlfn.IFS(AND($CN390=0, CQ390=FALSE), NA(), AND($CN390=1, CQ390=FALSE), 0, CQ390=TRUE, 1)</f>
        <v>1</v>
      </c>
    </row>
    <row r="391" spans="1:100" ht="15.75" x14ac:dyDescent="0.25">
      <c r="A391" s="8">
        <v>390</v>
      </c>
      <c r="B391" s="9">
        <v>214</v>
      </c>
      <c r="C391" s="10" t="s">
        <v>19</v>
      </c>
      <c r="D391" s="11" t="s">
        <v>214</v>
      </c>
      <c r="E391" s="12">
        <v>24103</v>
      </c>
      <c r="F391" s="13">
        <v>1</v>
      </c>
      <c r="G391" s="9">
        <v>50.195755004882813</v>
      </c>
      <c r="H391" s="12">
        <v>42437</v>
      </c>
      <c r="I391" s="9">
        <v>0</v>
      </c>
      <c r="J391" s="12"/>
      <c r="K391" s="9">
        <v>0</v>
      </c>
      <c r="L391" s="9">
        <v>1</v>
      </c>
      <c r="M391" s="10" t="s">
        <v>401</v>
      </c>
      <c r="N391" s="9">
        <v>2</v>
      </c>
      <c r="O391" s="10" t="s">
        <v>145</v>
      </c>
      <c r="P391" s="9">
        <v>2</v>
      </c>
      <c r="Q391" s="10" t="s">
        <v>145</v>
      </c>
      <c r="R391" s="12">
        <v>42696</v>
      </c>
      <c r="S391" s="10" t="s">
        <v>145</v>
      </c>
      <c r="T391" s="9">
        <v>5</v>
      </c>
      <c r="U391" s="10" t="s">
        <v>450</v>
      </c>
      <c r="V391" s="10" t="s">
        <v>401</v>
      </c>
      <c r="W391" s="9"/>
      <c r="X391" s="9"/>
      <c r="Y391" s="9">
        <v>4</v>
      </c>
      <c r="Z391" s="14">
        <v>1</v>
      </c>
      <c r="AA391" s="34">
        <v>13.8</v>
      </c>
      <c r="AB391" s="14">
        <v>98</v>
      </c>
      <c r="AC391" s="14">
        <v>14</v>
      </c>
      <c r="AD391" s="9">
        <v>2</v>
      </c>
      <c r="AE391" s="9">
        <v>2</v>
      </c>
      <c r="AF391" s="9">
        <v>1</v>
      </c>
      <c r="AG391" s="9">
        <v>1</v>
      </c>
      <c r="AH391" s="9">
        <v>1</v>
      </c>
      <c r="AI391" s="9">
        <v>0</v>
      </c>
      <c r="AJ391" s="12">
        <v>42984</v>
      </c>
      <c r="AK391" s="9">
        <v>2</v>
      </c>
      <c r="AL391" s="12">
        <v>43075</v>
      </c>
      <c r="AM391" s="9">
        <v>4</v>
      </c>
      <c r="AN391" s="12">
        <v>43074</v>
      </c>
      <c r="AO391" s="12">
        <v>43074</v>
      </c>
      <c r="AP391" s="12">
        <v>43074</v>
      </c>
      <c r="AQ391" s="9">
        <v>1</v>
      </c>
      <c r="AR391" s="9">
        <f t="shared" si="149"/>
        <v>1</v>
      </c>
      <c r="AS391" s="9">
        <v>1</v>
      </c>
      <c r="AT391" s="9">
        <v>2</v>
      </c>
      <c r="AU391" s="9">
        <v>2</v>
      </c>
      <c r="AV391" s="9">
        <f t="shared" si="150"/>
        <v>1</v>
      </c>
      <c r="AW391" s="12">
        <v>43466</v>
      </c>
      <c r="AX391" s="9">
        <v>6830</v>
      </c>
      <c r="AY391" s="9">
        <v>5100</v>
      </c>
      <c r="AZ391" s="9">
        <v>1200</v>
      </c>
      <c r="BA391" s="9">
        <v>5100</v>
      </c>
      <c r="BB391" s="9">
        <v>1200.0001220703125</v>
      </c>
      <c r="BC391" s="9">
        <v>308000</v>
      </c>
      <c r="BD391" s="9">
        <v>300</v>
      </c>
      <c r="BE391" s="9">
        <v>100</v>
      </c>
      <c r="BF391" s="9">
        <v>386</v>
      </c>
      <c r="BG391" s="9">
        <v>7750</v>
      </c>
      <c r="BH391" s="9">
        <v>6000</v>
      </c>
      <c r="BI391" s="9">
        <v>1200</v>
      </c>
      <c r="BJ391" s="9">
        <v>262000</v>
      </c>
      <c r="BK391" s="9">
        <v>300</v>
      </c>
      <c r="BL391" s="9">
        <v>100</v>
      </c>
      <c r="BM391" s="9">
        <v>417</v>
      </c>
      <c r="BN391" s="9">
        <v>6390</v>
      </c>
      <c r="BO391" s="9">
        <v>4600</v>
      </c>
      <c r="BP391" s="9">
        <v>1200</v>
      </c>
      <c r="BQ391" s="9">
        <v>298000</v>
      </c>
      <c r="BR391" s="9">
        <v>300</v>
      </c>
      <c r="BS391" s="9">
        <v>100</v>
      </c>
      <c r="BT391" s="9">
        <v>389</v>
      </c>
      <c r="BU391" s="9">
        <v>7090</v>
      </c>
      <c r="BV391" s="9">
        <v>3300</v>
      </c>
      <c r="BW391" s="9">
        <v>1100</v>
      </c>
      <c r="BX391" s="9">
        <v>292000</v>
      </c>
      <c r="BY391" s="9">
        <v>400</v>
      </c>
      <c r="BZ391" s="10" t="s">
        <v>524</v>
      </c>
      <c r="CA391" s="9">
        <v>200</v>
      </c>
      <c r="CB391" s="9">
        <v>390</v>
      </c>
      <c r="CC391" s="10">
        <f t="shared" si="151"/>
        <v>4.2499995676676869</v>
      </c>
      <c r="CD391" s="10">
        <f t="shared" si="152"/>
        <v>256.66664055718581</v>
      </c>
      <c r="CE391" s="10">
        <f t="shared" si="145"/>
        <v>1308999.8668416475</v>
      </c>
      <c r="CF391" s="10">
        <f t="shared" si="142"/>
        <v>0</v>
      </c>
      <c r="CG391" s="10">
        <f t="shared" si="146"/>
        <v>0</v>
      </c>
      <c r="CH391" s="10">
        <f t="shared" si="147"/>
        <v>3</v>
      </c>
      <c r="CI391" s="9">
        <f t="shared" si="153"/>
        <v>1</v>
      </c>
      <c r="CJ391" s="10">
        <f t="shared" si="148"/>
        <v>16</v>
      </c>
      <c r="CK391" s="10" t="b">
        <f t="shared" si="154"/>
        <v>1</v>
      </c>
      <c r="CL391" s="10" t="b">
        <f t="shared" si="155"/>
        <v>0</v>
      </c>
      <c r="CM391" s="10" t="b">
        <f t="shared" si="156"/>
        <v>0</v>
      </c>
      <c r="CN391" s="9">
        <f t="shared" si="157"/>
        <v>1</v>
      </c>
      <c r="CO391" s="10">
        <f t="shared" si="160"/>
        <v>3</v>
      </c>
      <c r="CP391" s="10" t="b">
        <f t="shared" si="158"/>
        <v>1</v>
      </c>
      <c r="CQ391" s="10" t="b">
        <f t="shared" si="159"/>
        <v>0</v>
      </c>
      <c r="CR391" s="10" cm="1">
        <f t="array" ref="CR391">_xlfn.IFS(AND($CI391=0, CK391=FALSE), NA(), AND($CI391=1, CK391=FALSE), 0, CK391=TRUE, 1)</f>
        <v>1</v>
      </c>
      <c r="CS391" s="10" cm="1">
        <f t="array" ref="CS391">_xlfn.IFS(AND($CI391=0, CL391=FALSE), NA(), AND($CI391=1, CL391=FALSE), 0, CL391=TRUE, 1)</f>
        <v>0</v>
      </c>
      <c r="CT391" s="10" cm="1">
        <f t="array" ref="CT391">_xlfn.IFS(AND($CI391=0, CM391=FALSE), NA(), AND($CI391=1, CM391=FALSE), 0, CM391=TRUE, 1)</f>
        <v>0</v>
      </c>
      <c r="CU391" s="10" cm="1">
        <f t="array" ref="CU391">_xlfn.IFS(AND($CN391=0, CP391=FALSE), NA(), AND($CN391=1, CP391=FALSE), 0, CP391=TRUE, 1)</f>
        <v>1</v>
      </c>
      <c r="CV391" s="10" cm="1">
        <f t="array" ref="CV391">_xlfn.IFS(AND($CN391=0, CQ391=FALSE), NA(), AND($CN391=1, CQ391=FALSE), 0, CQ391=TRUE, 1)</f>
        <v>0</v>
      </c>
    </row>
    <row r="392" spans="1:100" ht="15.75" x14ac:dyDescent="0.25">
      <c r="A392" s="8">
        <v>391</v>
      </c>
      <c r="B392" s="9">
        <v>213</v>
      </c>
      <c r="C392" s="10" t="s">
        <v>19</v>
      </c>
      <c r="D392" s="11" t="s">
        <v>213</v>
      </c>
      <c r="E392" s="12">
        <v>19553</v>
      </c>
      <c r="F392" s="13">
        <v>1</v>
      </c>
      <c r="G392" s="9">
        <v>62.655715942382813</v>
      </c>
      <c r="H392" s="12">
        <v>42438</v>
      </c>
      <c r="I392" s="9">
        <v>1</v>
      </c>
      <c r="J392" s="12">
        <v>42454</v>
      </c>
      <c r="K392" s="9">
        <v>1</v>
      </c>
      <c r="L392" s="9">
        <v>1</v>
      </c>
      <c r="M392" s="10" t="s">
        <v>401</v>
      </c>
      <c r="N392" s="9">
        <v>2</v>
      </c>
      <c r="O392" s="10" t="s">
        <v>145</v>
      </c>
      <c r="P392" s="9">
        <v>2</v>
      </c>
      <c r="Q392" s="10" t="s">
        <v>145</v>
      </c>
      <c r="R392" s="12">
        <v>42438</v>
      </c>
      <c r="S392" s="10" t="s">
        <v>145</v>
      </c>
      <c r="T392" s="9"/>
      <c r="U392" s="10" t="s">
        <v>401</v>
      </c>
      <c r="V392" s="10" t="s">
        <v>401</v>
      </c>
      <c r="W392" s="9"/>
      <c r="X392" s="9"/>
      <c r="Y392" s="9">
        <v>2</v>
      </c>
      <c r="Z392" s="14">
        <v>1</v>
      </c>
      <c r="AA392" s="34">
        <v>15.3</v>
      </c>
      <c r="AB392" s="14">
        <v>97</v>
      </c>
      <c r="AC392" s="14">
        <v>15</v>
      </c>
      <c r="AD392" s="9">
        <v>2</v>
      </c>
      <c r="AE392" s="9">
        <v>2</v>
      </c>
      <c r="AF392" s="9">
        <v>1</v>
      </c>
      <c r="AG392" s="9">
        <v>0</v>
      </c>
      <c r="AH392" s="9">
        <v>1</v>
      </c>
      <c r="AI392" s="9">
        <v>1</v>
      </c>
      <c r="AJ392" s="12">
        <v>42972</v>
      </c>
      <c r="AK392" s="9">
        <v>2</v>
      </c>
      <c r="AL392" s="12">
        <v>43075</v>
      </c>
      <c r="AM392" s="9">
        <v>2</v>
      </c>
      <c r="AN392" s="12">
        <v>43039</v>
      </c>
      <c r="AO392" s="12">
        <v>43166</v>
      </c>
      <c r="AP392" s="12">
        <v>43166</v>
      </c>
      <c r="AQ392" s="9">
        <v>1</v>
      </c>
      <c r="AR392" s="9">
        <f t="shared" si="149"/>
        <v>1</v>
      </c>
      <c r="AS392" s="9">
        <v>1</v>
      </c>
      <c r="AT392" s="9">
        <v>2</v>
      </c>
      <c r="AU392" s="9">
        <v>2</v>
      </c>
      <c r="AV392" s="9">
        <f t="shared" si="150"/>
        <v>1</v>
      </c>
      <c r="AW392" s="12">
        <v>44367</v>
      </c>
      <c r="AX392" s="9">
        <v>7680</v>
      </c>
      <c r="AY392" s="9">
        <v>4100</v>
      </c>
      <c r="AZ392" s="9">
        <v>2900</v>
      </c>
      <c r="BA392" s="9">
        <v>4100</v>
      </c>
      <c r="BB392" s="9">
        <v>2900</v>
      </c>
      <c r="BC392" s="9">
        <v>260000</v>
      </c>
      <c r="BD392" s="9">
        <v>200</v>
      </c>
      <c r="BE392" s="9">
        <v>300</v>
      </c>
      <c r="BF392" s="9">
        <v>294</v>
      </c>
      <c r="BG392" s="9">
        <v>8180</v>
      </c>
      <c r="BH392" s="9">
        <v>5100</v>
      </c>
      <c r="BI392" s="9">
        <v>2300</v>
      </c>
      <c r="BJ392" s="9">
        <v>377000</v>
      </c>
      <c r="BK392" s="9">
        <v>500</v>
      </c>
      <c r="BL392" s="9">
        <v>200</v>
      </c>
      <c r="BM392" s="9">
        <v>247</v>
      </c>
      <c r="BN392" s="9">
        <v>8270</v>
      </c>
      <c r="BO392" s="9">
        <v>5500</v>
      </c>
      <c r="BP392" s="9">
        <v>2000</v>
      </c>
      <c r="BQ392" s="9">
        <v>296000</v>
      </c>
      <c r="BR392" s="9">
        <v>500</v>
      </c>
      <c r="BS392" s="9">
        <v>200</v>
      </c>
      <c r="BT392" s="9">
        <v>260</v>
      </c>
      <c r="BU392" s="9">
        <v>9360</v>
      </c>
      <c r="BV392" s="9">
        <v>6300</v>
      </c>
      <c r="BW392" s="9">
        <v>2100</v>
      </c>
      <c r="BX392" s="9">
        <v>348000</v>
      </c>
      <c r="BY392" s="9">
        <v>500</v>
      </c>
      <c r="BZ392" s="10" t="s">
        <v>543</v>
      </c>
      <c r="CA392" s="9">
        <v>400</v>
      </c>
      <c r="CB392" s="9">
        <v>328</v>
      </c>
      <c r="CC392" s="10">
        <f t="shared" si="151"/>
        <v>1.4137931034482758</v>
      </c>
      <c r="CD392" s="10">
        <f t="shared" si="152"/>
        <v>89.65517241379311</v>
      </c>
      <c r="CE392" s="10">
        <f t="shared" si="145"/>
        <v>367586.20689655171</v>
      </c>
      <c r="CF392" s="10">
        <f t="shared" ref="CF392:CF408" si="161">IF(AM392=4, 0,1)</f>
        <v>1</v>
      </c>
      <c r="CG392" s="10">
        <f t="shared" si="146"/>
        <v>1</v>
      </c>
      <c r="CH392" s="10">
        <f t="shared" si="147"/>
        <v>4</v>
      </c>
      <c r="CI392" s="9">
        <f t="shared" si="153"/>
        <v>1</v>
      </c>
      <c r="CJ392" s="10">
        <f t="shared" si="148"/>
        <v>46</v>
      </c>
      <c r="CK392" s="10" t="b">
        <f t="shared" si="154"/>
        <v>1</v>
      </c>
      <c r="CL392" s="10" t="b">
        <f t="shared" si="155"/>
        <v>1</v>
      </c>
      <c r="CM392" s="10" t="b">
        <f t="shared" si="156"/>
        <v>1</v>
      </c>
      <c r="CN392" s="9">
        <f t="shared" si="157"/>
        <v>1</v>
      </c>
      <c r="CO392" s="10">
        <f t="shared" si="160"/>
        <v>7</v>
      </c>
      <c r="CP392" s="10" t="b">
        <f t="shared" si="158"/>
        <v>1</v>
      </c>
      <c r="CQ392" s="10" t="b">
        <f t="shared" si="159"/>
        <v>0</v>
      </c>
      <c r="CR392" s="10" cm="1">
        <f t="array" ref="CR392">_xlfn.IFS(AND($CI392=0, CK392=FALSE), NA(), AND($CI392=1, CK392=FALSE), 0, CK392=TRUE, 1)</f>
        <v>1</v>
      </c>
      <c r="CS392" s="10" cm="1">
        <f t="array" ref="CS392">_xlfn.IFS(AND($CI392=0, CL392=FALSE), NA(), AND($CI392=1, CL392=FALSE), 0, CL392=TRUE, 1)</f>
        <v>1</v>
      </c>
      <c r="CT392" s="10" cm="1">
        <f t="array" ref="CT392">_xlfn.IFS(AND($CI392=0, CM392=FALSE), NA(), AND($CI392=1, CM392=FALSE), 0, CM392=TRUE, 1)</f>
        <v>1</v>
      </c>
      <c r="CU392" s="10" cm="1">
        <f t="array" ref="CU392">_xlfn.IFS(AND($CN392=0, CP392=FALSE), NA(), AND($CN392=1, CP392=FALSE), 0, CP392=TRUE, 1)</f>
        <v>1</v>
      </c>
      <c r="CV392" s="10" cm="1">
        <f t="array" ref="CV392">_xlfn.IFS(AND($CN392=0, CQ392=FALSE), NA(), AND($CN392=1, CQ392=FALSE), 0, CQ392=TRUE, 1)</f>
        <v>0</v>
      </c>
    </row>
    <row r="393" spans="1:100" ht="15.75" x14ac:dyDescent="0.25">
      <c r="A393" s="8">
        <v>392</v>
      </c>
      <c r="B393" s="9">
        <v>406</v>
      </c>
      <c r="C393" s="10" t="s">
        <v>29</v>
      </c>
      <c r="D393" s="11" t="s">
        <v>319</v>
      </c>
      <c r="E393" s="12">
        <v>15307</v>
      </c>
      <c r="F393" s="13">
        <v>1</v>
      </c>
      <c r="G393" s="9">
        <v>74.294319152832031</v>
      </c>
      <c r="H393" s="12">
        <v>42443</v>
      </c>
      <c r="I393" s="9">
        <v>1</v>
      </c>
      <c r="J393" s="12">
        <v>42443</v>
      </c>
      <c r="K393" s="9">
        <v>1</v>
      </c>
      <c r="L393" s="9">
        <v>1</v>
      </c>
      <c r="M393" s="10" t="s">
        <v>401</v>
      </c>
      <c r="N393" s="9">
        <v>2</v>
      </c>
      <c r="O393" s="10" t="s">
        <v>409</v>
      </c>
      <c r="P393" s="9">
        <v>2</v>
      </c>
      <c r="Q393" s="10" t="s">
        <v>409</v>
      </c>
      <c r="R393" s="12">
        <v>42417</v>
      </c>
      <c r="S393" s="10" t="s">
        <v>145</v>
      </c>
      <c r="T393" s="9"/>
      <c r="U393" s="10" t="s">
        <v>401</v>
      </c>
      <c r="V393" s="10" t="s">
        <v>401</v>
      </c>
      <c r="W393" s="9"/>
      <c r="X393" s="9"/>
      <c r="Y393" s="9">
        <v>2</v>
      </c>
      <c r="Z393" s="14">
        <v>1</v>
      </c>
      <c r="AA393" s="17">
        <v>13</v>
      </c>
      <c r="AB393" s="18"/>
      <c r="AC393" s="18"/>
      <c r="AD393" s="9">
        <v>2</v>
      </c>
      <c r="AE393" s="9">
        <v>2</v>
      </c>
      <c r="AF393" s="9">
        <v>1</v>
      </c>
      <c r="AG393" s="9">
        <v>1</v>
      </c>
      <c r="AH393" s="9">
        <v>0</v>
      </c>
      <c r="AI393" s="9">
        <v>0</v>
      </c>
      <c r="AJ393" s="12">
        <v>43209</v>
      </c>
      <c r="AK393" s="9">
        <v>2</v>
      </c>
      <c r="AL393" s="12">
        <v>43265</v>
      </c>
      <c r="AM393" s="9">
        <v>4</v>
      </c>
      <c r="AN393" s="12">
        <v>43282</v>
      </c>
      <c r="AO393" s="12">
        <v>43282</v>
      </c>
      <c r="AP393" s="12">
        <v>43282</v>
      </c>
      <c r="AQ393" s="9">
        <v>1</v>
      </c>
      <c r="AR393" s="9">
        <f t="shared" si="149"/>
        <v>1</v>
      </c>
      <c r="AS393" s="9">
        <v>1</v>
      </c>
      <c r="AT393" s="9">
        <v>2</v>
      </c>
      <c r="AU393" s="9">
        <v>2</v>
      </c>
      <c r="AV393" s="9">
        <f t="shared" si="150"/>
        <v>1</v>
      </c>
      <c r="AW393" s="12">
        <v>43328</v>
      </c>
      <c r="AX393" s="9">
        <v>3700</v>
      </c>
      <c r="AY393" s="9">
        <v>1332</v>
      </c>
      <c r="AZ393" s="9">
        <v>1184</v>
      </c>
      <c r="BA393" s="9">
        <v>1332</v>
      </c>
      <c r="BB393" s="9">
        <v>1184.0001220703125</v>
      </c>
      <c r="BC393" s="9">
        <v>187000</v>
      </c>
      <c r="BD393" s="9">
        <v>580</v>
      </c>
      <c r="BE393" s="9">
        <v>120</v>
      </c>
      <c r="BF393" s="9"/>
      <c r="BG393" s="9">
        <v>5310</v>
      </c>
      <c r="BH393" s="9">
        <v>3150</v>
      </c>
      <c r="BI393" s="9">
        <v>1370</v>
      </c>
      <c r="BJ393" s="9">
        <v>215000</v>
      </c>
      <c r="BK393" s="9">
        <v>380</v>
      </c>
      <c r="BL393" s="9">
        <v>390</v>
      </c>
      <c r="BM393" s="9"/>
      <c r="BN393" s="9">
        <v>6800</v>
      </c>
      <c r="BO393" s="9">
        <v>4188</v>
      </c>
      <c r="BP393" s="9">
        <v>1124</v>
      </c>
      <c r="BQ393" s="9">
        <v>295000</v>
      </c>
      <c r="BR393" s="9">
        <v>350</v>
      </c>
      <c r="BS393" s="9">
        <v>310</v>
      </c>
      <c r="BT393" s="9"/>
      <c r="BU393" s="9">
        <v>6400</v>
      </c>
      <c r="BV393" s="9">
        <v>3900</v>
      </c>
      <c r="BW393" s="9">
        <v>1056</v>
      </c>
      <c r="BX393" s="9">
        <v>180000</v>
      </c>
      <c r="BY393" s="9">
        <v>370</v>
      </c>
      <c r="BZ393" s="10" t="s">
        <v>548</v>
      </c>
      <c r="CA393" s="9">
        <v>290</v>
      </c>
      <c r="CB393" s="9"/>
      <c r="CC393" s="10">
        <f t="shared" si="151"/>
        <v>1.1249998840125952</v>
      </c>
      <c r="CD393" s="10">
        <f t="shared" si="152"/>
        <v>157.93917290567214</v>
      </c>
      <c r="CE393" s="10">
        <f t="shared" si="145"/>
        <v>210374.97831035531</v>
      </c>
      <c r="CF393" s="10">
        <f t="shared" si="161"/>
        <v>0</v>
      </c>
      <c r="CG393" s="10">
        <f t="shared" si="146"/>
        <v>0</v>
      </c>
      <c r="CH393" s="10">
        <f t="shared" si="147"/>
        <v>2</v>
      </c>
      <c r="CI393" s="9">
        <f t="shared" si="153"/>
        <v>1</v>
      </c>
      <c r="CJ393" s="10">
        <f t="shared" si="148"/>
        <v>4</v>
      </c>
      <c r="CK393" s="10" t="b">
        <f t="shared" si="154"/>
        <v>0</v>
      </c>
      <c r="CL393" s="10" t="b">
        <f t="shared" si="155"/>
        <v>0</v>
      </c>
      <c r="CM393" s="10" t="b">
        <f t="shared" si="156"/>
        <v>0</v>
      </c>
      <c r="CN393" s="9">
        <f t="shared" si="157"/>
        <v>1</v>
      </c>
      <c r="CO393" s="10">
        <f t="shared" si="160"/>
        <v>3</v>
      </c>
      <c r="CP393" s="10" t="b">
        <f t="shared" si="158"/>
        <v>1</v>
      </c>
      <c r="CQ393" s="10" t="b">
        <f t="shared" si="159"/>
        <v>0</v>
      </c>
      <c r="CR393" s="10" cm="1">
        <f t="array" ref="CR393">_xlfn.IFS(AND($CI393=0, CK393=FALSE), NA(), AND($CI393=1, CK393=FALSE), 0, CK393=TRUE, 1)</f>
        <v>0</v>
      </c>
      <c r="CS393" s="10" cm="1">
        <f t="array" ref="CS393">_xlfn.IFS(AND($CI393=0, CL393=FALSE), NA(), AND($CI393=1, CL393=FALSE), 0, CL393=TRUE, 1)</f>
        <v>0</v>
      </c>
      <c r="CT393" s="10" cm="1">
        <f t="array" ref="CT393">_xlfn.IFS(AND($CI393=0, CM393=FALSE), NA(), AND($CI393=1, CM393=FALSE), 0, CM393=TRUE, 1)</f>
        <v>0</v>
      </c>
      <c r="CU393" s="10" cm="1">
        <f t="array" ref="CU393">_xlfn.IFS(AND($CN393=0, CP393=FALSE), NA(), AND($CN393=1, CP393=FALSE), 0, CP393=TRUE, 1)</f>
        <v>1</v>
      </c>
      <c r="CV393" s="10" cm="1">
        <f t="array" ref="CV393">_xlfn.IFS(AND($CN393=0, CQ393=FALSE), NA(), AND($CN393=1, CQ393=FALSE), 0, CQ393=TRUE, 1)</f>
        <v>0</v>
      </c>
    </row>
    <row r="394" spans="1:100" ht="15.75" x14ac:dyDescent="0.25">
      <c r="A394" s="8">
        <v>393</v>
      </c>
      <c r="B394" s="9">
        <v>500</v>
      </c>
      <c r="C394" s="10" t="s">
        <v>33</v>
      </c>
      <c r="D394" s="11" t="s">
        <v>59</v>
      </c>
      <c r="E394" s="12">
        <v>15933</v>
      </c>
      <c r="F394" s="13">
        <v>1</v>
      </c>
      <c r="G394" s="9">
        <v>72.585899353027344</v>
      </c>
      <c r="H394" s="12">
        <v>42445</v>
      </c>
      <c r="I394" s="9">
        <v>1</v>
      </c>
      <c r="J394" s="12">
        <v>42445</v>
      </c>
      <c r="K394" s="9">
        <v>0</v>
      </c>
      <c r="L394" s="9">
        <v>2</v>
      </c>
      <c r="M394" s="10" t="s">
        <v>401</v>
      </c>
      <c r="N394" s="9">
        <v>2</v>
      </c>
      <c r="O394" s="10" t="s">
        <v>145</v>
      </c>
      <c r="P394" s="9">
        <v>2</v>
      </c>
      <c r="Q394" s="10" t="s">
        <v>145</v>
      </c>
      <c r="R394" s="12">
        <v>42628</v>
      </c>
      <c r="S394" s="10" t="s">
        <v>145</v>
      </c>
      <c r="T394" s="9"/>
      <c r="U394" s="10" t="s">
        <v>401</v>
      </c>
      <c r="V394" s="10" t="s">
        <v>401</v>
      </c>
      <c r="W394" s="9"/>
      <c r="X394" s="9"/>
      <c r="Y394" s="9">
        <v>2</v>
      </c>
      <c r="Z394" s="14">
        <v>1</v>
      </c>
      <c r="AA394" s="17">
        <v>12.4</v>
      </c>
      <c r="AB394" s="18">
        <v>89</v>
      </c>
      <c r="AC394" s="18">
        <v>13</v>
      </c>
      <c r="AD394" s="9">
        <v>2</v>
      </c>
      <c r="AE394" s="9">
        <v>2</v>
      </c>
      <c r="AF394" s="9">
        <v>1</v>
      </c>
      <c r="AG394" s="9">
        <v>1</v>
      </c>
      <c r="AH394" s="9">
        <v>1</v>
      </c>
      <c r="AI394" s="9">
        <v>0</v>
      </c>
      <c r="AJ394" s="12">
        <v>43175</v>
      </c>
      <c r="AK394" s="9">
        <v>2</v>
      </c>
      <c r="AL394" s="12">
        <v>43336</v>
      </c>
      <c r="AM394" s="9">
        <v>3</v>
      </c>
      <c r="AN394" s="12">
        <v>43236</v>
      </c>
      <c r="AO394" s="12">
        <v>43340</v>
      </c>
      <c r="AP394" s="12">
        <v>43340</v>
      </c>
      <c r="AQ394" s="9">
        <v>1</v>
      </c>
      <c r="AR394" s="9">
        <f t="shared" si="149"/>
        <v>1</v>
      </c>
      <c r="AS394" s="9">
        <v>1</v>
      </c>
      <c r="AT394" s="9">
        <v>2</v>
      </c>
      <c r="AU394" s="9">
        <v>1</v>
      </c>
      <c r="AV394" s="9">
        <f t="shared" si="150"/>
        <v>0</v>
      </c>
      <c r="AW394" s="12">
        <v>43838</v>
      </c>
      <c r="AX394" s="9"/>
      <c r="AY394" s="9"/>
      <c r="AZ394" s="9"/>
      <c r="BA394" s="9">
        <v>4052.621337890625</v>
      </c>
      <c r="BB394" s="9">
        <v>1704.2457275390625</v>
      </c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>
        <v>6300</v>
      </c>
      <c r="BO394" s="9">
        <v>4390</v>
      </c>
      <c r="BP394" s="9">
        <v>1060</v>
      </c>
      <c r="BQ394" s="9">
        <v>142000</v>
      </c>
      <c r="BR394" s="9">
        <v>670</v>
      </c>
      <c r="BS394" s="9">
        <v>150</v>
      </c>
      <c r="BT394" s="9"/>
      <c r="BU394" s="9"/>
      <c r="BV394" s="9"/>
      <c r="BW394" s="9"/>
      <c r="BX394" s="9"/>
      <c r="BY394" s="9"/>
      <c r="BZ394" s="10" t="s">
        <v>401</v>
      </c>
      <c r="CA394" s="9"/>
      <c r="CB394" s="9"/>
      <c r="CC394" s="10">
        <f t="shared" si="151"/>
        <v>2.3779559909723971</v>
      </c>
      <c r="CF394" s="10">
        <f t="shared" si="161"/>
        <v>1</v>
      </c>
      <c r="CG394" s="10">
        <f t="shared" si="146"/>
        <v>0</v>
      </c>
      <c r="CH394" s="10">
        <f t="shared" si="147"/>
        <v>5</v>
      </c>
      <c r="CI394" s="9">
        <f t="shared" si="153"/>
        <v>0</v>
      </c>
      <c r="CJ394" s="10">
        <f t="shared" si="148"/>
        <v>22</v>
      </c>
      <c r="CK394" s="10" t="b">
        <f t="shared" si="154"/>
        <v>1</v>
      </c>
      <c r="CL394" s="10" t="b">
        <f t="shared" si="155"/>
        <v>1</v>
      </c>
      <c r="CM394" s="10" t="b">
        <f t="shared" si="156"/>
        <v>0</v>
      </c>
      <c r="CN394" s="9">
        <f t="shared" si="157"/>
        <v>1</v>
      </c>
      <c r="CO394" s="10">
        <f t="shared" si="160"/>
        <v>5</v>
      </c>
      <c r="CP394" s="10" t="b">
        <f t="shared" si="158"/>
        <v>1</v>
      </c>
      <c r="CQ394" s="10" t="b">
        <f t="shared" si="159"/>
        <v>0</v>
      </c>
      <c r="CR394" s="10" cm="1">
        <f t="array" ref="CR394">_xlfn.IFS(AND($CI394=0, CK394=FALSE), NA(), AND($CI394=1, CK394=FALSE), 0, CK394=TRUE, 1)</f>
        <v>1</v>
      </c>
      <c r="CS394" s="10" cm="1">
        <f t="array" ref="CS394">_xlfn.IFS(AND($CI394=0, CL394=FALSE), NA(), AND($CI394=1, CL394=FALSE), 0, CL394=TRUE, 1)</f>
        <v>1</v>
      </c>
      <c r="CT394" s="10" t="e" cm="1">
        <f t="array" ref="CT394">_xlfn.IFS(AND($CI394=0, CM394=FALSE), NA(), AND($CI394=1, CM394=FALSE), 0, CM394=TRUE, 1)</f>
        <v>#N/A</v>
      </c>
      <c r="CU394" s="10" cm="1">
        <f t="array" ref="CU394">_xlfn.IFS(AND($CN394=0, CP394=FALSE), NA(), AND($CN394=1, CP394=FALSE), 0, CP394=TRUE, 1)</f>
        <v>1</v>
      </c>
      <c r="CV394" s="10" cm="1">
        <f t="array" ref="CV394">_xlfn.IFS(AND($CN394=0, CQ394=FALSE), NA(), AND($CN394=1, CQ394=FALSE), 0, CQ394=TRUE, 1)</f>
        <v>0</v>
      </c>
    </row>
    <row r="395" spans="1:100" ht="15.75" x14ac:dyDescent="0.25">
      <c r="A395" s="8">
        <v>394</v>
      </c>
      <c r="B395" s="9">
        <v>309</v>
      </c>
      <c r="C395" s="10" t="s">
        <v>24</v>
      </c>
      <c r="D395" s="11" t="s">
        <v>85</v>
      </c>
      <c r="E395" s="12"/>
      <c r="F395" s="13">
        <v>1</v>
      </c>
      <c r="G395" s="9">
        <v>74</v>
      </c>
      <c r="H395" s="12">
        <v>42446</v>
      </c>
      <c r="I395" s="9">
        <v>1</v>
      </c>
      <c r="J395" s="12">
        <v>42446</v>
      </c>
      <c r="K395" s="9">
        <v>1</v>
      </c>
      <c r="L395" s="9">
        <v>1</v>
      </c>
      <c r="M395" s="10" t="s">
        <v>401</v>
      </c>
      <c r="N395" s="9">
        <v>2</v>
      </c>
      <c r="O395" s="10" t="s">
        <v>145</v>
      </c>
      <c r="P395" s="9">
        <v>2</v>
      </c>
      <c r="Q395" s="10" t="s">
        <v>145</v>
      </c>
      <c r="R395" s="12">
        <v>42446</v>
      </c>
      <c r="S395" s="10" t="s">
        <v>146</v>
      </c>
      <c r="T395" s="9"/>
      <c r="U395" s="10" t="s">
        <v>401</v>
      </c>
      <c r="V395" s="10" t="s">
        <v>401</v>
      </c>
      <c r="W395" s="9"/>
      <c r="X395" s="9"/>
      <c r="Y395" s="9">
        <v>2</v>
      </c>
      <c r="Z395" s="14">
        <v>2</v>
      </c>
      <c r="AA395" s="21">
        <v>10.5</v>
      </c>
      <c r="AB395" s="22">
        <v>96</v>
      </c>
      <c r="AC395" s="22">
        <v>16</v>
      </c>
      <c r="AD395" s="9">
        <v>2</v>
      </c>
      <c r="AE395" s="9">
        <v>2</v>
      </c>
      <c r="AF395" s="9">
        <v>1</v>
      </c>
      <c r="AG395" s="9">
        <v>1</v>
      </c>
      <c r="AH395" s="9">
        <v>1</v>
      </c>
      <c r="AI395" s="9">
        <v>1</v>
      </c>
      <c r="AJ395" s="12">
        <v>42857</v>
      </c>
      <c r="AK395" s="9">
        <v>2</v>
      </c>
      <c r="AL395" s="12">
        <v>42913</v>
      </c>
      <c r="AM395" s="9">
        <v>4</v>
      </c>
      <c r="AN395" s="12">
        <v>43082</v>
      </c>
      <c r="AO395" s="12">
        <v>43082</v>
      </c>
      <c r="AP395" s="12">
        <v>43082</v>
      </c>
      <c r="AQ395" s="9">
        <v>1</v>
      </c>
      <c r="AR395" s="9">
        <f t="shared" si="149"/>
        <v>1</v>
      </c>
      <c r="AS395" s="9">
        <v>1</v>
      </c>
      <c r="AT395" s="9">
        <v>2</v>
      </c>
      <c r="AU395" s="9">
        <v>2</v>
      </c>
      <c r="AV395" s="9">
        <f t="shared" si="150"/>
        <v>1</v>
      </c>
      <c r="AW395" s="12">
        <v>43082</v>
      </c>
      <c r="AX395" s="9">
        <v>5910</v>
      </c>
      <c r="AY395" s="9">
        <v>3450</v>
      </c>
      <c r="AZ395" s="9">
        <v>1120</v>
      </c>
      <c r="BA395" s="9">
        <v>3450</v>
      </c>
      <c r="BB395" s="9">
        <v>1119.9998779296875</v>
      </c>
      <c r="BC395" s="9">
        <v>233000</v>
      </c>
      <c r="BD395" s="9">
        <v>400</v>
      </c>
      <c r="BE395" s="9">
        <v>140</v>
      </c>
      <c r="BF395" s="9">
        <v>242</v>
      </c>
      <c r="BG395" s="9">
        <v>6300</v>
      </c>
      <c r="BH395" s="9">
        <v>3597</v>
      </c>
      <c r="BI395" s="9"/>
      <c r="BJ395" s="9">
        <v>274000</v>
      </c>
      <c r="BK395" s="9"/>
      <c r="BL395" s="9"/>
      <c r="BM395" s="9">
        <v>281</v>
      </c>
      <c r="BN395" s="9">
        <v>5640</v>
      </c>
      <c r="BO395" s="9">
        <v>3395</v>
      </c>
      <c r="BP395" s="9"/>
      <c r="BQ395" s="9">
        <v>224000</v>
      </c>
      <c r="BR395" s="9"/>
      <c r="BS395" s="9"/>
      <c r="BT395" s="9">
        <v>312</v>
      </c>
      <c r="BU395" s="9">
        <v>6570</v>
      </c>
      <c r="BV395" s="9">
        <v>3764</v>
      </c>
      <c r="BW395" s="9"/>
      <c r="BX395" s="9">
        <v>200000</v>
      </c>
      <c r="BY395" s="9"/>
      <c r="BZ395" s="10" t="s">
        <v>401</v>
      </c>
      <c r="CA395" s="9"/>
      <c r="CB395" s="9">
        <v>312</v>
      </c>
      <c r="CC395" s="10">
        <f t="shared" si="151"/>
        <v>3.0803574785894643</v>
      </c>
      <c r="CD395" s="10">
        <f t="shared" si="152"/>
        <v>208.03573695981021</v>
      </c>
      <c r="CE395" s="10">
        <f t="shared" ref="CE395:CE403" si="162">BC395*CC395</f>
        <v>717723.29251134524</v>
      </c>
      <c r="CF395" s="10">
        <f t="shared" si="161"/>
        <v>0</v>
      </c>
      <c r="CG395" s="10">
        <f t="shared" si="146"/>
        <v>0</v>
      </c>
      <c r="CH395" s="10">
        <f t="shared" si="147"/>
        <v>1</v>
      </c>
      <c r="CI395" s="9">
        <f t="shared" si="153"/>
        <v>1</v>
      </c>
      <c r="CJ395" s="10">
        <f t="shared" si="148"/>
        <v>7</v>
      </c>
      <c r="CK395" s="10" t="b">
        <f t="shared" si="154"/>
        <v>1</v>
      </c>
      <c r="CL395" s="10" t="b">
        <f t="shared" si="155"/>
        <v>0</v>
      </c>
      <c r="CM395" s="10" t="b">
        <f t="shared" si="156"/>
        <v>0</v>
      </c>
      <c r="CN395" s="9">
        <f t="shared" si="157"/>
        <v>1</v>
      </c>
      <c r="CO395" s="10">
        <f t="shared" si="160"/>
        <v>7</v>
      </c>
      <c r="CP395" s="10" t="b">
        <f t="shared" si="158"/>
        <v>1</v>
      </c>
      <c r="CQ395" s="10" t="b">
        <f t="shared" si="159"/>
        <v>0</v>
      </c>
      <c r="CR395" s="10" cm="1">
        <f t="array" ref="CR395">_xlfn.IFS(AND($CI395=0, CK395=FALSE), NA(), AND($CI395=1, CK395=FALSE), 0, CK395=TRUE, 1)</f>
        <v>1</v>
      </c>
      <c r="CS395" s="10" cm="1">
        <f t="array" ref="CS395">_xlfn.IFS(AND($CI395=0, CL395=FALSE), NA(), AND($CI395=1, CL395=FALSE), 0, CL395=TRUE, 1)</f>
        <v>0</v>
      </c>
      <c r="CT395" s="10" cm="1">
        <f t="array" ref="CT395">_xlfn.IFS(AND($CI395=0, CM395=FALSE), NA(), AND($CI395=1, CM395=FALSE), 0, CM395=TRUE, 1)</f>
        <v>0</v>
      </c>
      <c r="CU395" s="10" cm="1">
        <f t="array" ref="CU395">_xlfn.IFS(AND($CN395=0, CP395=FALSE), NA(), AND($CN395=1, CP395=FALSE), 0, CP395=TRUE, 1)</f>
        <v>1</v>
      </c>
      <c r="CV395" s="10" cm="1">
        <f t="array" ref="CV395">_xlfn.IFS(AND($CN395=0, CQ395=FALSE), NA(), AND($CN395=1, CQ395=FALSE), 0, CQ395=TRUE, 1)</f>
        <v>0</v>
      </c>
    </row>
    <row r="396" spans="1:100" ht="15.75" x14ac:dyDescent="0.25">
      <c r="A396" s="8">
        <v>395</v>
      </c>
      <c r="B396" s="9">
        <v>154</v>
      </c>
      <c r="C396" s="10" t="s">
        <v>14</v>
      </c>
      <c r="D396" s="11" t="s">
        <v>149</v>
      </c>
      <c r="E396" s="12">
        <v>25004</v>
      </c>
      <c r="F396" s="13">
        <v>2</v>
      </c>
      <c r="G396" s="9">
        <v>47.794662475585938</v>
      </c>
      <c r="H396" s="12">
        <v>42461</v>
      </c>
      <c r="I396" s="9">
        <v>1</v>
      </c>
      <c r="J396" s="12">
        <v>42502</v>
      </c>
      <c r="K396" s="9">
        <v>0</v>
      </c>
      <c r="L396" s="9">
        <v>1</v>
      </c>
      <c r="M396" s="10" t="s">
        <v>401</v>
      </c>
      <c r="N396" s="9">
        <v>2</v>
      </c>
      <c r="O396" s="10" t="s">
        <v>423</v>
      </c>
      <c r="P396" s="9">
        <v>2</v>
      </c>
      <c r="Q396" s="10" t="s">
        <v>411</v>
      </c>
      <c r="R396" s="12">
        <v>42555</v>
      </c>
      <c r="S396" s="10" t="s">
        <v>145</v>
      </c>
      <c r="T396" s="9"/>
      <c r="U396" s="10" t="s">
        <v>401</v>
      </c>
      <c r="V396" s="10" t="s">
        <v>401</v>
      </c>
      <c r="W396" s="9"/>
      <c r="X396" s="9"/>
      <c r="Y396" s="9">
        <v>2</v>
      </c>
      <c r="Z396" s="14">
        <v>1</v>
      </c>
      <c r="AA396" s="15">
        <v>11.8</v>
      </c>
      <c r="AB396" s="16">
        <v>95</v>
      </c>
      <c r="AC396" s="16">
        <v>16</v>
      </c>
      <c r="AD396" s="9">
        <v>3</v>
      </c>
      <c r="AE396" s="9">
        <v>3</v>
      </c>
      <c r="AF396" s="9">
        <v>1</v>
      </c>
      <c r="AG396" s="9">
        <v>1</v>
      </c>
      <c r="AH396" s="9">
        <v>1</v>
      </c>
      <c r="AI396" s="9">
        <v>1</v>
      </c>
      <c r="AJ396" s="12">
        <v>42976</v>
      </c>
      <c r="AK396" s="9">
        <v>2</v>
      </c>
      <c r="AL396" s="12">
        <v>42990</v>
      </c>
      <c r="AM396" s="9">
        <v>4</v>
      </c>
      <c r="AN396" s="12">
        <v>42985</v>
      </c>
      <c r="AO396" s="12">
        <v>42985</v>
      </c>
      <c r="AP396" s="12">
        <v>42985</v>
      </c>
      <c r="AQ396" s="9">
        <v>1</v>
      </c>
      <c r="AR396" s="9">
        <f t="shared" si="149"/>
        <v>1</v>
      </c>
      <c r="AS396" s="9">
        <v>1</v>
      </c>
      <c r="AT396" s="9">
        <v>2</v>
      </c>
      <c r="AU396" s="9">
        <v>2</v>
      </c>
      <c r="AV396" s="9">
        <f t="shared" si="150"/>
        <v>1</v>
      </c>
      <c r="AW396" s="12">
        <v>42998</v>
      </c>
      <c r="AX396" s="9">
        <v>16600</v>
      </c>
      <c r="AY396" s="9">
        <v>10200</v>
      </c>
      <c r="AZ396" s="9">
        <v>4700</v>
      </c>
      <c r="BA396" s="9">
        <v>10200</v>
      </c>
      <c r="BB396" s="9">
        <v>4699.99853515625</v>
      </c>
      <c r="BC396" s="9">
        <v>486000</v>
      </c>
      <c r="BD396" s="9">
        <v>1700</v>
      </c>
      <c r="BE396" s="9">
        <v>100</v>
      </c>
      <c r="BF396" s="9">
        <v>426</v>
      </c>
      <c r="BG396" s="9">
        <v>25000</v>
      </c>
      <c r="BH396" s="9">
        <v>16700</v>
      </c>
      <c r="BI396" s="9">
        <v>5000</v>
      </c>
      <c r="BJ396" s="9">
        <v>640000</v>
      </c>
      <c r="BK396" s="9">
        <v>3300</v>
      </c>
      <c r="BL396" s="9">
        <v>0</v>
      </c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10" t="s">
        <v>401</v>
      </c>
      <c r="CA396" s="9"/>
      <c r="CB396" s="9"/>
      <c r="CC396" s="10">
        <f t="shared" si="151"/>
        <v>2.170213442345446</v>
      </c>
      <c r="CD396" s="10">
        <f t="shared" si="152"/>
        <v>103.40428754704773</v>
      </c>
      <c r="CE396" s="10">
        <f t="shared" si="162"/>
        <v>1054723.7329798867</v>
      </c>
      <c r="CF396" s="10">
        <f t="shared" si="161"/>
        <v>0</v>
      </c>
      <c r="CG396" s="10">
        <f t="shared" si="146"/>
        <v>0</v>
      </c>
      <c r="CH396" s="10">
        <f t="shared" si="147"/>
        <v>1</v>
      </c>
      <c r="CI396" s="9">
        <f t="shared" si="153"/>
        <v>1</v>
      </c>
      <c r="CJ396" s="10">
        <f t="shared" si="148"/>
        <v>1</v>
      </c>
      <c r="CK396" s="10" t="b">
        <f t="shared" si="154"/>
        <v>0</v>
      </c>
      <c r="CL396" s="10" t="b">
        <f t="shared" si="155"/>
        <v>0</v>
      </c>
      <c r="CM396" s="10" t="b">
        <f t="shared" si="156"/>
        <v>0</v>
      </c>
      <c r="CN396" s="9">
        <f t="shared" si="157"/>
        <v>1</v>
      </c>
      <c r="CO396" s="10">
        <f t="shared" si="160"/>
        <v>1</v>
      </c>
      <c r="CP396" s="10" t="b">
        <f t="shared" si="158"/>
        <v>0</v>
      </c>
      <c r="CQ396" s="10" t="b">
        <f t="shared" si="159"/>
        <v>0</v>
      </c>
      <c r="CR396" s="10" cm="1">
        <f t="array" ref="CR396">_xlfn.IFS(AND($CI396=0, CK396=FALSE), NA(), AND($CI396=1, CK396=FALSE), 0, CK396=TRUE, 1)</f>
        <v>0</v>
      </c>
      <c r="CS396" s="10" cm="1">
        <f t="array" ref="CS396">_xlfn.IFS(AND($CI396=0, CL396=FALSE), NA(), AND($CI396=1, CL396=FALSE), 0, CL396=TRUE, 1)</f>
        <v>0</v>
      </c>
      <c r="CT396" s="10" cm="1">
        <f t="array" ref="CT396">_xlfn.IFS(AND($CI396=0, CM396=FALSE), NA(), AND($CI396=1, CM396=FALSE), 0, CM396=TRUE, 1)</f>
        <v>0</v>
      </c>
      <c r="CU396" s="10" cm="1">
        <f t="array" ref="CU396">_xlfn.IFS(AND($CN396=0, CP396=FALSE), NA(), AND($CN396=1, CP396=FALSE), 0, CP396=TRUE, 1)</f>
        <v>0</v>
      </c>
      <c r="CV396" s="10" cm="1">
        <f t="array" ref="CV396">_xlfn.IFS(AND($CN396=0, CQ396=FALSE), NA(), AND($CN396=1, CQ396=FALSE), 0, CQ396=TRUE, 1)</f>
        <v>0</v>
      </c>
    </row>
    <row r="397" spans="1:100" ht="15.75" x14ac:dyDescent="0.25">
      <c r="A397" s="8">
        <v>396</v>
      </c>
      <c r="B397" s="9">
        <v>13</v>
      </c>
      <c r="C397" s="10" t="s">
        <v>4</v>
      </c>
      <c r="D397" s="11" t="s">
        <v>49</v>
      </c>
      <c r="E397" s="12">
        <v>22900</v>
      </c>
      <c r="F397" s="13">
        <v>1</v>
      </c>
      <c r="G397" s="9">
        <v>53.555099487304688</v>
      </c>
      <c r="H397" s="12">
        <v>42461</v>
      </c>
      <c r="I397" s="9">
        <v>1</v>
      </c>
      <c r="J397" s="12">
        <v>42479</v>
      </c>
      <c r="K397" s="9">
        <v>0</v>
      </c>
      <c r="L397" s="9">
        <v>1</v>
      </c>
      <c r="M397" s="10" t="s">
        <v>401</v>
      </c>
      <c r="N397" s="9">
        <v>2</v>
      </c>
      <c r="O397" s="10" t="s">
        <v>147</v>
      </c>
      <c r="P397" s="9">
        <v>2</v>
      </c>
      <c r="Q397" s="10" t="s">
        <v>147</v>
      </c>
      <c r="R397" s="12">
        <v>43160</v>
      </c>
      <c r="S397" s="10" t="s">
        <v>145</v>
      </c>
      <c r="T397" s="9"/>
      <c r="U397" s="10" t="s">
        <v>401</v>
      </c>
      <c r="V397" s="10" t="s">
        <v>401</v>
      </c>
      <c r="W397" s="9"/>
      <c r="X397" s="9"/>
      <c r="Y397" s="9">
        <v>2</v>
      </c>
      <c r="Z397" s="14">
        <v>1</v>
      </c>
      <c r="AA397" s="17">
        <v>10.6</v>
      </c>
      <c r="AB397" s="18">
        <v>86</v>
      </c>
      <c r="AC397" s="9"/>
      <c r="AD397" s="9">
        <v>2</v>
      </c>
      <c r="AE397" s="9">
        <v>2</v>
      </c>
      <c r="AF397" s="9">
        <v>1</v>
      </c>
      <c r="AG397" s="9">
        <v>1</v>
      </c>
      <c r="AH397" s="9">
        <v>1</v>
      </c>
      <c r="AI397" s="9">
        <v>0</v>
      </c>
      <c r="AJ397" s="12">
        <v>43685</v>
      </c>
      <c r="AK397" s="9">
        <v>2</v>
      </c>
      <c r="AL397" s="12">
        <v>43924</v>
      </c>
      <c r="AM397" s="9">
        <v>2</v>
      </c>
      <c r="AN397" s="12">
        <v>43802</v>
      </c>
      <c r="AO397" s="12">
        <v>43936</v>
      </c>
      <c r="AP397" s="12">
        <v>43936</v>
      </c>
      <c r="AQ397" s="9">
        <v>1</v>
      </c>
      <c r="AR397" s="9">
        <f t="shared" si="149"/>
        <v>1</v>
      </c>
      <c r="AS397" s="9">
        <v>1</v>
      </c>
      <c r="AT397" s="9">
        <v>2</v>
      </c>
      <c r="AU397" s="9">
        <v>1</v>
      </c>
      <c r="AV397" s="9">
        <f t="shared" si="150"/>
        <v>0</v>
      </c>
      <c r="AW397" s="12">
        <v>44096</v>
      </c>
      <c r="AX397" s="9">
        <v>8040</v>
      </c>
      <c r="AY397" s="9">
        <v>6400</v>
      </c>
      <c r="AZ397" s="9">
        <v>1000</v>
      </c>
      <c r="BA397" s="9">
        <v>6400</v>
      </c>
      <c r="BB397" s="9">
        <v>1000.0001220703125</v>
      </c>
      <c r="BC397" s="9">
        <v>188000</v>
      </c>
      <c r="BD397" s="9">
        <v>600</v>
      </c>
      <c r="BE397" s="9">
        <v>100</v>
      </c>
      <c r="BF397" s="9">
        <v>208</v>
      </c>
      <c r="BG397" s="9">
        <v>8940</v>
      </c>
      <c r="BH397" s="9">
        <v>7500</v>
      </c>
      <c r="BI397" s="9">
        <v>900</v>
      </c>
      <c r="BJ397" s="9">
        <v>210000</v>
      </c>
      <c r="BK397" s="9">
        <v>500</v>
      </c>
      <c r="BL397" s="9">
        <v>0</v>
      </c>
      <c r="BM397" s="9">
        <v>231</v>
      </c>
      <c r="BN397" s="9">
        <v>6340</v>
      </c>
      <c r="BO397" s="9">
        <v>4400</v>
      </c>
      <c r="BP397" s="9">
        <v>1200</v>
      </c>
      <c r="BQ397" s="9">
        <v>172000</v>
      </c>
      <c r="BR397" s="9">
        <v>600</v>
      </c>
      <c r="BS397" s="9">
        <v>100</v>
      </c>
      <c r="BT397" s="9">
        <v>226</v>
      </c>
      <c r="BU397" s="9">
        <v>4280</v>
      </c>
      <c r="BV397" s="9">
        <v>3000</v>
      </c>
      <c r="BW397" s="9">
        <v>700</v>
      </c>
      <c r="BX397" s="9">
        <v>162000</v>
      </c>
      <c r="BY397" s="9">
        <v>400</v>
      </c>
      <c r="BZ397" s="10" t="s">
        <v>525</v>
      </c>
      <c r="CA397" s="9">
        <v>100</v>
      </c>
      <c r="CB397" s="9">
        <v>203</v>
      </c>
      <c r="CC397" s="10">
        <f t="shared" si="151"/>
        <v>6.3999992187500956</v>
      </c>
      <c r="CD397" s="10">
        <f t="shared" si="152"/>
        <v>187.99997705078405</v>
      </c>
      <c r="CE397" s="10">
        <f t="shared" si="162"/>
        <v>1203199.8531250181</v>
      </c>
      <c r="CF397" s="10">
        <f t="shared" si="161"/>
        <v>1</v>
      </c>
      <c r="CG397" s="10">
        <f t="shared" si="146"/>
        <v>1</v>
      </c>
      <c r="CH397" s="10">
        <f t="shared" si="147"/>
        <v>8</v>
      </c>
      <c r="CI397" s="9">
        <f t="shared" si="153"/>
        <v>0</v>
      </c>
      <c r="CJ397" s="10">
        <f t="shared" si="148"/>
        <v>13</v>
      </c>
      <c r="CK397" s="10" t="b">
        <f t="shared" si="154"/>
        <v>1</v>
      </c>
      <c r="CL397" s="10" t="b">
        <f t="shared" si="155"/>
        <v>0</v>
      </c>
      <c r="CM397" s="10" t="b">
        <f t="shared" si="156"/>
        <v>0</v>
      </c>
      <c r="CN397" s="9">
        <f t="shared" si="157"/>
        <v>1</v>
      </c>
      <c r="CO397" s="10">
        <f t="shared" si="160"/>
        <v>8</v>
      </c>
      <c r="CP397" s="10" t="b">
        <f t="shared" si="158"/>
        <v>1</v>
      </c>
      <c r="CQ397" s="10" t="b">
        <f t="shared" si="159"/>
        <v>0</v>
      </c>
      <c r="CR397" s="10" cm="1">
        <f t="array" ref="CR397">_xlfn.IFS(AND($CI397=0, CK397=FALSE), NA(), AND($CI397=1, CK397=FALSE), 0, CK397=TRUE, 1)</f>
        <v>1</v>
      </c>
      <c r="CS397" s="10" t="e" cm="1">
        <f t="array" ref="CS397">_xlfn.IFS(AND($CI397=0, CL397=FALSE), NA(), AND($CI397=1, CL397=FALSE), 0, CL397=TRUE, 1)</f>
        <v>#N/A</v>
      </c>
      <c r="CT397" s="10" t="e" cm="1">
        <f t="array" ref="CT397">_xlfn.IFS(AND($CI397=0, CM397=FALSE), NA(), AND($CI397=1, CM397=FALSE), 0, CM397=TRUE, 1)</f>
        <v>#N/A</v>
      </c>
      <c r="CU397" s="10" cm="1">
        <f t="array" ref="CU397">_xlfn.IFS(AND($CN397=0, CP397=FALSE), NA(), AND($CN397=1, CP397=FALSE), 0, CP397=TRUE, 1)</f>
        <v>1</v>
      </c>
      <c r="CV397" s="10" cm="1">
        <f t="array" ref="CV397">_xlfn.IFS(AND($CN397=0, CQ397=FALSE), NA(), AND($CN397=1, CQ397=FALSE), 0, CQ397=TRUE, 1)</f>
        <v>0</v>
      </c>
    </row>
    <row r="398" spans="1:100" ht="15.75" x14ac:dyDescent="0.25">
      <c r="A398" s="8">
        <v>397</v>
      </c>
      <c r="B398" s="9">
        <v>367</v>
      </c>
      <c r="C398" s="10" t="s">
        <v>28</v>
      </c>
      <c r="D398" s="11" t="s">
        <v>64</v>
      </c>
      <c r="E398" s="12">
        <v>23303</v>
      </c>
      <c r="F398" s="13">
        <v>1</v>
      </c>
      <c r="G398" s="9">
        <v>52.479122161865234</v>
      </c>
      <c r="H398" s="12">
        <v>42471</v>
      </c>
      <c r="I398" s="9">
        <v>1</v>
      </c>
      <c r="J398" s="12">
        <v>42493</v>
      </c>
      <c r="K398" s="9">
        <v>1</v>
      </c>
      <c r="L398" s="9">
        <v>1</v>
      </c>
      <c r="M398" s="10" t="s">
        <v>401</v>
      </c>
      <c r="N398" s="9">
        <v>2</v>
      </c>
      <c r="O398" s="10" t="s">
        <v>145</v>
      </c>
      <c r="P398" s="9">
        <v>2</v>
      </c>
      <c r="Q398" s="10" t="s">
        <v>145</v>
      </c>
      <c r="R398" s="12">
        <v>42471</v>
      </c>
      <c r="S398" s="10" t="s">
        <v>145</v>
      </c>
      <c r="T398" s="9"/>
      <c r="U398" s="10" t="s">
        <v>401</v>
      </c>
      <c r="V398" s="10" t="s">
        <v>401</v>
      </c>
      <c r="W398" s="9"/>
      <c r="X398" s="9"/>
      <c r="Y398" s="9">
        <v>2</v>
      </c>
      <c r="Z398" s="14">
        <v>1</v>
      </c>
      <c r="AA398" s="15">
        <v>11.2</v>
      </c>
      <c r="AB398" s="16">
        <v>90</v>
      </c>
      <c r="AC398" s="16">
        <v>16</v>
      </c>
      <c r="AD398" s="9">
        <v>3</v>
      </c>
      <c r="AE398" s="9">
        <v>2</v>
      </c>
      <c r="AF398" s="9">
        <v>1</v>
      </c>
      <c r="AG398" s="9">
        <v>1</v>
      </c>
      <c r="AH398" s="9">
        <v>1</v>
      </c>
      <c r="AI398" s="9">
        <v>1</v>
      </c>
      <c r="AJ398" s="12">
        <v>42941</v>
      </c>
      <c r="AK398" s="9">
        <v>2</v>
      </c>
      <c r="AL398" s="12">
        <v>43972</v>
      </c>
      <c r="AM398" s="9">
        <v>2</v>
      </c>
      <c r="AN398" s="12">
        <v>43035</v>
      </c>
      <c r="AO398" s="12">
        <v>43865</v>
      </c>
      <c r="AP398" s="12">
        <v>43976</v>
      </c>
      <c r="AQ398" s="9">
        <v>1</v>
      </c>
      <c r="AR398" s="9">
        <f t="shared" si="149"/>
        <v>1</v>
      </c>
      <c r="AS398" s="9">
        <v>1</v>
      </c>
      <c r="AT398" s="9">
        <v>1</v>
      </c>
      <c r="AU398" s="9">
        <v>2</v>
      </c>
      <c r="AV398" s="9">
        <f t="shared" si="150"/>
        <v>1</v>
      </c>
      <c r="AW398" s="12">
        <v>44840</v>
      </c>
      <c r="AX398" s="9">
        <v>10960</v>
      </c>
      <c r="AY398" s="9">
        <v>8500</v>
      </c>
      <c r="AZ398" s="9">
        <v>1610</v>
      </c>
      <c r="BA398" s="9">
        <v>8500</v>
      </c>
      <c r="BB398" s="9">
        <v>1609.999755859375</v>
      </c>
      <c r="BC398" s="9">
        <v>471000</v>
      </c>
      <c r="BD398" s="9">
        <v>540</v>
      </c>
      <c r="BE398" s="9">
        <v>160</v>
      </c>
      <c r="BF398" s="9">
        <v>293</v>
      </c>
      <c r="BG398" s="9">
        <v>9080</v>
      </c>
      <c r="BH398" s="9">
        <v>6460</v>
      </c>
      <c r="BI398" s="9">
        <v>1720</v>
      </c>
      <c r="BJ398" s="9">
        <v>469000</v>
      </c>
      <c r="BK398" s="9">
        <v>500</v>
      </c>
      <c r="BL398" s="9">
        <v>250</v>
      </c>
      <c r="BM398" s="9">
        <v>363</v>
      </c>
      <c r="BN398" s="9">
        <v>11190</v>
      </c>
      <c r="BO398" s="9">
        <v>7910</v>
      </c>
      <c r="BP398" s="9">
        <v>2200</v>
      </c>
      <c r="BQ398" s="9">
        <v>374000</v>
      </c>
      <c r="BR398" s="9">
        <v>460</v>
      </c>
      <c r="BS398" s="9">
        <v>390</v>
      </c>
      <c r="BT398" s="9">
        <v>311</v>
      </c>
      <c r="BU398" s="9">
        <v>8590</v>
      </c>
      <c r="BV398" s="9">
        <v>5750</v>
      </c>
      <c r="BW398" s="9">
        <v>2060</v>
      </c>
      <c r="BX398" s="9">
        <v>349000</v>
      </c>
      <c r="BY398" s="9">
        <v>370</v>
      </c>
      <c r="BZ398" s="10" t="s">
        <v>555</v>
      </c>
      <c r="CA398" s="9">
        <v>230</v>
      </c>
      <c r="CB398" s="9">
        <v>324</v>
      </c>
      <c r="CC398" s="10">
        <f t="shared" si="151"/>
        <v>5.2795039061747726</v>
      </c>
      <c r="CD398" s="10">
        <f t="shared" si="152"/>
        <v>292.54662821274326</v>
      </c>
      <c r="CE398" s="10">
        <f t="shared" si="162"/>
        <v>2486646.3398083178</v>
      </c>
      <c r="CF398" s="10">
        <f t="shared" si="161"/>
        <v>1</v>
      </c>
      <c r="CG398" s="10">
        <f t="shared" si="146"/>
        <v>1</v>
      </c>
      <c r="CH398" s="10">
        <f t="shared" si="147"/>
        <v>34</v>
      </c>
      <c r="CI398" s="9">
        <f t="shared" si="153"/>
        <v>1</v>
      </c>
      <c r="CJ398" s="10">
        <f t="shared" si="148"/>
        <v>63</v>
      </c>
      <c r="CK398" s="10" t="b">
        <f t="shared" si="154"/>
        <v>1</v>
      </c>
      <c r="CL398" s="10" t="b">
        <f t="shared" si="155"/>
        <v>1</v>
      </c>
      <c r="CM398" s="10" t="b">
        <f t="shared" si="156"/>
        <v>1</v>
      </c>
      <c r="CN398" s="9">
        <f t="shared" si="157"/>
        <v>1</v>
      </c>
      <c r="CO398" s="10">
        <f t="shared" si="160"/>
        <v>31</v>
      </c>
      <c r="CP398" s="10" t="b">
        <f t="shared" si="158"/>
        <v>1</v>
      </c>
      <c r="CQ398" s="10" t="b">
        <f t="shared" si="159"/>
        <v>1</v>
      </c>
      <c r="CR398" s="10" cm="1">
        <f t="array" ref="CR398">_xlfn.IFS(AND($CI398=0, CK398=FALSE), NA(), AND($CI398=1, CK398=FALSE), 0, CK398=TRUE, 1)</f>
        <v>1</v>
      </c>
      <c r="CS398" s="10" cm="1">
        <f t="array" ref="CS398">_xlfn.IFS(AND($CI398=0, CL398=FALSE), NA(), AND($CI398=1, CL398=FALSE), 0, CL398=TRUE, 1)</f>
        <v>1</v>
      </c>
      <c r="CT398" s="10" cm="1">
        <f t="array" ref="CT398">_xlfn.IFS(AND($CI398=0, CM398=FALSE), NA(), AND($CI398=1, CM398=FALSE), 0, CM398=TRUE, 1)</f>
        <v>1</v>
      </c>
      <c r="CU398" s="10" cm="1">
        <f t="array" ref="CU398">_xlfn.IFS(AND($CN398=0, CP398=FALSE), NA(), AND($CN398=1, CP398=FALSE), 0, CP398=TRUE, 1)</f>
        <v>1</v>
      </c>
      <c r="CV398" s="10" cm="1">
        <f t="array" ref="CV398">_xlfn.IFS(AND($CN398=0, CQ398=FALSE), NA(), AND($CN398=1, CQ398=FALSE), 0, CQ398=TRUE, 1)</f>
        <v>1</v>
      </c>
    </row>
    <row r="399" spans="1:100" ht="15.75" x14ac:dyDescent="0.25">
      <c r="A399" s="8">
        <v>398</v>
      </c>
      <c r="B399" s="9">
        <v>183</v>
      </c>
      <c r="C399" s="10" t="s">
        <v>17</v>
      </c>
      <c r="D399" s="11" t="s">
        <v>192</v>
      </c>
      <c r="E399" s="12">
        <v>18359</v>
      </c>
      <c r="F399" s="13">
        <v>1</v>
      </c>
      <c r="G399" s="9">
        <v>66.015060424804688</v>
      </c>
      <c r="H399" s="12">
        <v>42471</v>
      </c>
      <c r="I399" s="9">
        <v>1</v>
      </c>
      <c r="J399" s="12">
        <v>42471</v>
      </c>
      <c r="K399" s="9">
        <v>0</v>
      </c>
      <c r="L399" s="9">
        <v>1</v>
      </c>
      <c r="M399" s="10" t="s">
        <v>401</v>
      </c>
      <c r="N399" s="9">
        <v>1</v>
      </c>
      <c r="O399" s="10" t="s">
        <v>401</v>
      </c>
      <c r="P399" s="9">
        <v>1</v>
      </c>
      <c r="Q399" s="10" t="s">
        <v>401</v>
      </c>
      <c r="R399" s="12">
        <v>43298</v>
      </c>
      <c r="S399" s="10" t="s">
        <v>146</v>
      </c>
      <c r="T399" s="9"/>
      <c r="U399" s="10" t="s">
        <v>401</v>
      </c>
      <c r="V399" s="10" t="s">
        <v>401</v>
      </c>
      <c r="W399" s="9"/>
      <c r="X399" s="9"/>
      <c r="Y399" s="9">
        <v>2</v>
      </c>
      <c r="Z399" s="14">
        <v>2</v>
      </c>
      <c r="AA399" s="15">
        <v>12.8</v>
      </c>
      <c r="AB399" s="16">
        <v>103</v>
      </c>
      <c r="AC399" s="16">
        <v>13</v>
      </c>
      <c r="AD399" s="9">
        <v>2</v>
      </c>
      <c r="AE399" s="9">
        <v>2</v>
      </c>
      <c r="AF399" s="9">
        <v>1</v>
      </c>
      <c r="AG399" s="9">
        <v>1</v>
      </c>
      <c r="AH399" s="9">
        <v>1</v>
      </c>
      <c r="AI399" s="9">
        <v>0</v>
      </c>
      <c r="AJ399" s="12">
        <v>43508</v>
      </c>
      <c r="AK399" s="9">
        <v>2</v>
      </c>
      <c r="AL399" s="12">
        <v>43508</v>
      </c>
      <c r="AM399" s="9">
        <v>2</v>
      </c>
      <c r="AN399" s="12">
        <v>43573</v>
      </c>
      <c r="AO399" s="12">
        <v>44084</v>
      </c>
      <c r="AP399" s="12">
        <v>44084</v>
      </c>
      <c r="AQ399" s="9">
        <v>1</v>
      </c>
      <c r="AR399" s="9">
        <f t="shared" si="149"/>
        <v>1</v>
      </c>
      <c r="AS399" s="9">
        <v>1</v>
      </c>
      <c r="AT399" s="9">
        <v>2</v>
      </c>
      <c r="AU399" s="9">
        <v>2</v>
      </c>
      <c r="AV399" s="9">
        <f t="shared" si="150"/>
        <v>1</v>
      </c>
      <c r="AW399" s="12">
        <v>44129</v>
      </c>
      <c r="AX399" s="9">
        <v>2820</v>
      </c>
      <c r="AY399" s="9">
        <v>1800</v>
      </c>
      <c r="AZ399" s="9">
        <v>500</v>
      </c>
      <c r="BA399" s="9">
        <v>1800</v>
      </c>
      <c r="BB399" s="9">
        <v>500.00006103515625</v>
      </c>
      <c r="BC399" s="9">
        <v>178000</v>
      </c>
      <c r="BD399" s="9">
        <v>300</v>
      </c>
      <c r="BE399" s="9">
        <v>200</v>
      </c>
      <c r="BF399" s="9"/>
      <c r="BG399" s="9">
        <v>2680</v>
      </c>
      <c r="BH399" s="9">
        <v>1500</v>
      </c>
      <c r="BI399" s="9">
        <v>600</v>
      </c>
      <c r="BJ399" s="9">
        <v>192000</v>
      </c>
      <c r="BK399" s="9">
        <v>400</v>
      </c>
      <c r="BL399" s="9">
        <v>200</v>
      </c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10" t="s">
        <v>401</v>
      </c>
      <c r="CA399" s="9"/>
      <c r="CB399" s="9"/>
      <c r="CC399" s="10">
        <f t="shared" si="151"/>
        <v>3.5999995605469288</v>
      </c>
      <c r="CD399" s="10">
        <f t="shared" si="152"/>
        <v>355.99995654297408</v>
      </c>
      <c r="CE399" s="10">
        <f t="shared" si="162"/>
        <v>640799.92177735327</v>
      </c>
      <c r="CF399" s="10">
        <f t="shared" si="161"/>
        <v>1</v>
      </c>
      <c r="CG399" s="10">
        <f t="shared" si="146"/>
        <v>1</v>
      </c>
      <c r="CH399" s="10">
        <f t="shared" si="147"/>
        <v>0</v>
      </c>
      <c r="CI399" s="9">
        <f t="shared" si="153"/>
        <v>1</v>
      </c>
      <c r="CJ399" s="10">
        <f t="shared" si="148"/>
        <v>20</v>
      </c>
      <c r="CK399" s="10" t="b">
        <f t="shared" si="154"/>
        <v>1</v>
      </c>
      <c r="CL399" s="10" t="b">
        <f t="shared" si="155"/>
        <v>1</v>
      </c>
      <c r="CM399" s="10" t="b">
        <f t="shared" si="156"/>
        <v>0</v>
      </c>
      <c r="CN399" s="9">
        <f t="shared" si="157"/>
        <v>1</v>
      </c>
      <c r="CO399" s="10">
        <f t="shared" si="160"/>
        <v>19</v>
      </c>
      <c r="CP399" s="10" t="b">
        <f t="shared" si="158"/>
        <v>1</v>
      </c>
      <c r="CQ399" s="10" t="b">
        <f t="shared" si="159"/>
        <v>1</v>
      </c>
      <c r="CR399" s="10" cm="1">
        <f t="array" ref="CR399">_xlfn.IFS(AND($CI399=0, CK399=FALSE), NA(), AND($CI399=1, CK399=FALSE), 0, CK399=TRUE, 1)</f>
        <v>1</v>
      </c>
      <c r="CS399" s="10" cm="1">
        <f t="array" ref="CS399">_xlfn.IFS(AND($CI399=0, CL399=FALSE), NA(), AND($CI399=1, CL399=FALSE), 0, CL399=TRUE, 1)</f>
        <v>1</v>
      </c>
      <c r="CT399" s="10" cm="1">
        <f t="array" ref="CT399">_xlfn.IFS(AND($CI399=0, CM399=FALSE), NA(), AND($CI399=1, CM399=FALSE), 0, CM399=TRUE, 1)</f>
        <v>0</v>
      </c>
      <c r="CU399" s="10" cm="1">
        <f t="array" ref="CU399">_xlfn.IFS(AND($CN399=0, CP399=FALSE), NA(), AND($CN399=1, CP399=FALSE), 0, CP399=TRUE, 1)</f>
        <v>1</v>
      </c>
      <c r="CV399" s="10" cm="1">
        <f t="array" ref="CV399">_xlfn.IFS(AND($CN399=0, CQ399=FALSE), NA(), AND($CN399=1, CQ399=FALSE), 0, CQ399=TRUE, 1)</f>
        <v>1</v>
      </c>
    </row>
    <row r="400" spans="1:100" ht="15.75" x14ac:dyDescent="0.25">
      <c r="A400" s="8">
        <v>399</v>
      </c>
      <c r="B400" s="9">
        <v>528</v>
      </c>
      <c r="C400" s="10" t="s">
        <v>36</v>
      </c>
      <c r="D400" s="11" t="s">
        <v>386</v>
      </c>
      <c r="E400" s="12">
        <v>16529</v>
      </c>
      <c r="F400" s="13">
        <v>1</v>
      </c>
      <c r="G400" s="9">
        <v>71.028060913085938</v>
      </c>
      <c r="H400" s="12">
        <v>42472</v>
      </c>
      <c r="I400" s="9">
        <v>1</v>
      </c>
      <c r="J400" s="12">
        <v>42472</v>
      </c>
      <c r="K400" s="9">
        <v>1</v>
      </c>
      <c r="L400" s="9">
        <v>1</v>
      </c>
      <c r="M400" s="10" t="s">
        <v>401</v>
      </c>
      <c r="N400" s="9">
        <v>2</v>
      </c>
      <c r="O400" s="10" t="s">
        <v>145</v>
      </c>
      <c r="P400" s="9">
        <v>2</v>
      </c>
      <c r="Q400" s="10" t="s">
        <v>145</v>
      </c>
      <c r="R400" s="12">
        <v>42472</v>
      </c>
      <c r="S400" s="10" t="s">
        <v>146</v>
      </c>
      <c r="T400" s="9"/>
      <c r="U400" s="10" t="s">
        <v>401</v>
      </c>
      <c r="V400" s="10" t="s">
        <v>401</v>
      </c>
      <c r="W400" s="9"/>
      <c r="X400" s="9"/>
      <c r="Y400" s="9">
        <v>2</v>
      </c>
      <c r="Z400" s="14">
        <v>2</v>
      </c>
      <c r="AA400" s="17">
        <v>9.8000000000000007</v>
      </c>
      <c r="AB400" s="18">
        <v>86</v>
      </c>
      <c r="AC400" s="18">
        <v>14</v>
      </c>
      <c r="AD400" s="9">
        <v>2</v>
      </c>
      <c r="AE400" s="9">
        <v>2</v>
      </c>
      <c r="AF400" s="9">
        <v>1</v>
      </c>
      <c r="AG400" s="9">
        <v>1</v>
      </c>
      <c r="AH400" s="9">
        <v>1</v>
      </c>
      <c r="AI400" s="9">
        <v>0</v>
      </c>
      <c r="AJ400" s="12">
        <v>42989</v>
      </c>
      <c r="AK400" s="9">
        <v>2</v>
      </c>
      <c r="AL400" s="12">
        <v>43102</v>
      </c>
      <c r="AM400" s="9">
        <v>3</v>
      </c>
      <c r="AN400" s="12">
        <v>43009</v>
      </c>
      <c r="AO400" s="12">
        <v>43115</v>
      </c>
      <c r="AP400" s="12">
        <v>43115</v>
      </c>
      <c r="AQ400" s="9">
        <v>1</v>
      </c>
      <c r="AR400" s="9">
        <f t="shared" si="149"/>
        <v>1</v>
      </c>
      <c r="AS400" s="9">
        <v>1</v>
      </c>
      <c r="AT400" s="9">
        <v>2</v>
      </c>
      <c r="AU400" s="9">
        <v>2</v>
      </c>
      <c r="AV400" s="9">
        <f t="shared" si="150"/>
        <v>1</v>
      </c>
      <c r="AW400" s="12">
        <v>43124</v>
      </c>
      <c r="AX400" s="9">
        <v>9300</v>
      </c>
      <c r="AY400" s="9">
        <v>6300</v>
      </c>
      <c r="AZ400" s="9">
        <v>1700</v>
      </c>
      <c r="BA400" s="9">
        <v>6300</v>
      </c>
      <c r="BB400" s="9">
        <v>1700.0001220703125</v>
      </c>
      <c r="BC400" s="9">
        <v>262000</v>
      </c>
      <c r="BD400" s="9">
        <v>1200</v>
      </c>
      <c r="BE400" s="9">
        <v>200</v>
      </c>
      <c r="BF400" s="9">
        <v>104</v>
      </c>
      <c r="BG400" s="9">
        <v>9400</v>
      </c>
      <c r="BH400" s="9">
        <v>6300</v>
      </c>
      <c r="BI400" s="9">
        <v>1900</v>
      </c>
      <c r="BJ400" s="9">
        <v>233000</v>
      </c>
      <c r="BK400" s="9">
        <v>100</v>
      </c>
      <c r="BL400" s="9">
        <v>200</v>
      </c>
      <c r="BM400" s="9">
        <v>102</v>
      </c>
      <c r="BN400" s="9">
        <v>10000</v>
      </c>
      <c r="BO400" s="9">
        <v>7100</v>
      </c>
      <c r="BP400" s="9">
        <v>1800</v>
      </c>
      <c r="BQ400" s="9">
        <v>247000</v>
      </c>
      <c r="BR400" s="9">
        <v>100</v>
      </c>
      <c r="BS400" s="9">
        <v>200</v>
      </c>
      <c r="BT400" s="9">
        <v>104</v>
      </c>
      <c r="BU400" s="9">
        <v>9300</v>
      </c>
      <c r="BV400" s="9">
        <v>6700</v>
      </c>
      <c r="BW400" s="9">
        <v>1500</v>
      </c>
      <c r="BX400" s="9">
        <v>239000</v>
      </c>
      <c r="BY400" s="9">
        <v>900</v>
      </c>
      <c r="BZ400" s="10" t="s">
        <v>525</v>
      </c>
      <c r="CA400" s="9">
        <v>100</v>
      </c>
      <c r="CB400" s="9">
        <v>101</v>
      </c>
      <c r="CC400" s="10">
        <f t="shared" si="151"/>
        <v>3.705882086836362</v>
      </c>
      <c r="CD400" s="10">
        <f t="shared" si="152"/>
        <v>154.11763599224236</v>
      </c>
      <c r="CE400" s="10">
        <f t="shared" si="162"/>
        <v>970941.10675112682</v>
      </c>
      <c r="CF400" s="10">
        <f t="shared" si="161"/>
        <v>1</v>
      </c>
      <c r="CG400" s="10">
        <f t="shared" si="146"/>
        <v>0</v>
      </c>
      <c r="CH400" s="10">
        <f t="shared" si="147"/>
        <v>4</v>
      </c>
      <c r="CI400" s="9">
        <f t="shared" si="153"/>
        <v>1</v>
      </c>
      <c r="CJ400" s="10">
        <f t="shared" si="148"/>
        <v>4</v>
      </c>
      <c r="CK400" s="10" t="b">
        <f t="shared" si="154"/>
        <v>0</v>
      </c>
      <c r="CL400" s="10" t="b">
        <f t="shared" si="155"/>
        <v>0</v>
      </c>
      <c r="CM400" s="10" t="b">
        <f t="shared" si="156"/>
        <v>0</v>
      </c>
      <c r="CN400" s="9">
        <f t="shared" si="157"/>
        <v>1</v>
      </c>
      <c r="CO400" s="10">
        <f t="shared" si="160"/>
        <v>4</v>
      </c>
      <c r="CP400" s="10" t="b">
        <f t="shared" si="158"/>
        <v>1</v>
      </c>
      <c r="CQ400" s="10" t="b">
        <f t="shared" si="159"/>
        <v>0</v>
      </c>
      <c r="CR400" s="10" cm="1">
        <f t="array" ref="CR400">_xlfn.IFS(AND($CI400=0, CK400=FALSE), NA(), AND($CI400=1, CK400=FALSE), 0, CK400=TRUE, 1)</f>
        <v>0</v>
      </c>
      <c r="CS400" s="10" cm="1">
        <f t="array" ref="CS400">_xlfn.IFS(AND($CI400=0, CL400=FALSE), NA(), AND($CI400=1, CL400=FALSE), 0, CL400=TRUE, 1)</f>
        <v>0</v>
      </c>
      <c r="CT400" s="10" cm="1">
        <f t="array" ref="CT400">_xlfn.IFS(AND($CI400=0, CM400=FALSE), NA(), AND($CI400=1, CM400=FALSE), 0, CM400=TRUE, 1)</f>
        <v>0</v>
      </c>
      <c r="CU400" s="10" cm="1">
        <f t="array" ref="CU400">_xlfn.IFS(AND($CN400=0, CP400=FALSE), NA(), AND($CN400=1, CP400=FALSE), 0, CP400=TRUE, 1)</f>
        <v>1</v>
      </c>
      <c r="CV400" s="10" cm="1">
        <f t="array" ref="CV400">_xlfn.IFS(AND($CN400=0, CQ400=FALSE), NA(), AND($CN400=1, CQ400=FALSE), 0, CQ400=TRUE, 1)</f>
        <v>0</v>
      </c>
    </row>
    <row r="401" spans="1:100" ht="15.75" x14ac:dyDescent="0.25">
      <c r="A401" s="8">
        <v>400</v>
      </c>
      <c r="B401" s="9">
        <v>151</v>
      </c>
      <c r="C401" s="10" t="s">
        <v>14</v>
      </c>
      <c r="D401" s="11" t="s">
        <v>146</v>
      </c>
      <c r="E401" s="12">
        <v>19160</v>
      </c>
      <c r="F401" s="13">
        <v>2</v>
      </c>
      <c r="G401" s="9">
        <v>63.8275146484375</v>
      </c>
      <c r="H401" s="12">
        <v>42473</v>
      </c>
      <c r="I401" s="9">
        <v>1</v>
      </c>
      <c r="J401" s="12">
        <v>42534</v>
      </c>
      <c r="K401" s="9">
        <v>1</v>
      </c>
      <c r="L401" s="9">
        <v>1</v>
      </c>
      <c r="M401" s="10" t="s">
        <v>401</v>
      </c>
      <c r="N401" s="9">
        <v>2</v>
      </c>
      <c r="O401" s="10" t="s">
        <v>409</v>
      </c>
      <c r="P401" s="9">
        <v>2</v>
      </c>
      <c r="Q401" s="10" t="s">
        <v>409</v>
      </c>
      <c r="R401" s="12">
        <v>42473</v>
      </c>
      <c r="S401" s="10" t="s">
        <v>145</v>
      </c>
      <c r="T401" s="9"/>
      <c r="U401" s="10" t="s">
        <v>401</v>
      </c>
      <c r="V401" s="10" t="s">
        <v>401</v>
      </c>
      <c r="W401" s="9"/>
      <c r="X401" s="9"/>
      <c r="Y401" s="9">
        <v>2</v>
      </c>
      <c r="Z401" s="14">
        <v>1</v>
      </c>
      <c r="AA401" s="15">
        <v>9.1</v>
      </c>
      <c r="AB401" s="16">
        <v>94</v>
      </c>
      <c r="AC401" s="16">
        <v>18</v>
      </c>
      <c r="AD401" s="9">
        <v>3</v>
      </c>
      <c r="AE401" s="9">
        <v>2</v>
      </c>
      <c r="AF401" s="9">
        <v>1</v>
      </c>
      <c r="AG401" s="9">
        <v>1</v>
      </c>
      <c r="AH401" s="9">
        <v>0</v>
      </c>
      <c r="AI401" s="9">
        <v>1</v>
      </c>
      <c r="AJ401" s="12">
        <v>42825</v>
      </c>
      <c r="AK401" s="9">
        <v>2</v>
      </c>
      <c r="AL401" s="12">
        <v>43504</v>
      </c>
      <c r="AM401" s="9">
        <v>2</v>
      </c>
      <c r="AN401" s="12">
        <v>42930</v>
      </c>
      <c r="AO401" s="12">
        <v>43417</v>
      </c>
      <c r="AP401" s="12">
        <v>43538</v>
      </c>
      <c r="AQ401" s="9">
        <v>1</v>
      </c>
      <c r="AR401" s="9">
        <f t="shared" si="149"/>
        <v>1</v>
      </c>
      <c r="AS401" s="9">
        <v>1</v>
      </c>
      <c r="AT401" s="9">
        <v>1</v>
      </c>
      <c r="AU401" s="9">
        <v>2</v>
      </c>
      <c r="AV401" s="9">
        <f t="shared" si="150"/>
        <v>1</v>
      </c>
      <c r="AW401" s="12">
        <v>43607</v>
      </c>
      <c r="AX401" s="9">
        <v>12500</v>
      </c>
      <c r="AY401" s="9">
        <v>10400</v>
      </c>
      <c r="AZ401" s="9">
        <v>800</v>
      </c>
      <c r="BA401" s="9">
        <v>10400</v>
      </c>
      <c r="BB401" s="9">
        <v>800.00006103515625</v>
      </c>
      <c r="BC401" s="9">
        <v>412000</v>
      </c>
      <c r="BD401" s="9">
        <v>1200</v>
      </c>
      <c r="BE401" s="9">
        <v>0</v>
      </c>
      <c r="BF401" s="9">
        <v>153</v>
      </c>
      <c r="BG401" s="9">
        <v>9100</v>
      </c>
      <c r="BH401" s="9">
        <v>7900</v>
      </c>
      <c r="BI401" s="9">
        <v>800</v>
      </c>
      <c r="BJ401" s="9">
        <v>318000</v>
      </c>
      <c r="BK401" s="9">
        <v>400</v>
      </c>
      <c r="BL401" s="9">
        <v>0</v>
      </c>
      <c r="BM401" s="9">
        <v>163</v>
      </c>
      <c r="BN401" s="9">
        <v>5000</v>
      </c>
      <c r="BO401" s="9">
        <v>3500</v>
      </c>
      <c r="BP401" s="9">
        <v>700</v>
      </c>
      <c r="BQ401" s="9">
        <v>227000</v>
      </c>
      <c r="BR401" s="9">
        <v>800</v>
      </c>
      <c r="BS401" s="9">
        <v>0</v>
      </c>
      <c r="BT401" s="9">
        <v>157</v>
      </c>
      <c r="BU401" s="9">
        <v>5500</v>
      </c>
      <c r="BV401" s="9">
        <v>4000</v>
      </c>
      <c r="BW401" s="9">
        <v>800</v>
      </c>
      <c r="BX401" s="9">
        <v>190000</v>
      </c>
      <c r="BY401" s="9">
        <v>600</v>
      </c>
      <c r="BZ401" s="10" t="s">
        <v>525</v>
      </c>
      <c r="CA401" s="9">
        <v>100</v>
      </c>
      <c r="CB401" s="9">
        <v>183</v>
      </c>
      <c r="CC401" s="10">
        <f t="shared" si="151"/>
        <v>12.999999008178786</v>
      </c>
      <c r="CD401" s="10">
        <f t="shared" si="152"/>
        <v>514.99996070862119</v>
      </c>
      <c r="CE401" s="10">
        <f t="shared" si="162"/>
        <v>5355999.5913696596</v>
      </c>
      <c r="CF401" s="10">
        <f t="shared" si="161"/>
        <v>1</v>
      </c>
      <c r="CG401" s="10">
        <f t="shared" si="146"/>
        <v>1</v>
      </c>
      <c r="CH401" s="10">
        <f t="shared" si="147"/>
        <v>23</v>
      </c>
      <c r="CI401" s="9">
        <f t="shared" si="153"/>
        <v>1</v>
      </c>
      <c r="CJ401" s="10">
        <f t="shared" si="148"/>
        <v>26</v>
      </c>
      <c r="CK401" s="10" t="b">
        <f t="shared" si="154"/>
        <v>1</v>
      </c>
      <c r="CL401" s="10" t="b">
        <f t="shared" si="155"/>
        <v>1</v>
      </c>
      <c r="CM401" s="10" t="b">
        <f t="shared" si="156"/>
        <v>1</v>
      </c>
      <c r="CN401" s="9">
        <f t="shared" si="157"/>
        <v>1</v>
      </c>
      <c r="CO401" s="10">
        <f t="shared" si="160"/>
        <v>20</v>
      </c>
      <c r="CP401" s="10" t="b">
        <f t="shared" si="158"/>
        <v>1</v>
      </c>
      <c r="CQ401" s="10" t="b">
        <f t="shared" si="159"/>
        <v>1</v>
      </c>
      <c r="CR401" s="10" cm="1">
        <f t="array" ref="CR401">_xlfn.IFS(AND($CI401=0, CK401=FALSE), NA(), AND($CI401=1, CK401=FALSE), 0, CK401=TRUE, 1)</f>
        <v>1</v>
      </c>
      <c r="CS401" s="10" cm="1">
        <f t="array" ref="CS401">_xlfn.IFS(AND($CI401=0, CL401=FALSE), NA(), AND($CI401=1, CL401=FALSE), 0, CL401=TRUE, 1)</f>
        <v>1</v>
      </c>
      <c r="CT401" s="10" cm="1">
        <f t="array" ref="CT401">_xlfn.IFS(AND($CI401=0, CM401=FALSE), NA(), AND($CI401=1, CM401=FALSE), 0, CM401=TRUE, 1)</f>
        <v>1</v>
      </c>
      <c r="CU401" s="10" cm="1">
        <f t="array" ref="CU401">_xlfn.IFS(AND($CN401=0, CP401=FALSE), NA(), AND($CN401=1, CP401=FALSE), 0, CP401=TRUE, 1)</f>
        <v>1</v>
      </c>
      <c r="CV401" s="10" cm="1">
        <f t="array" ref="CV401">_xlfn.IFS(AND($CN401=0, CQ401=FALSE), NA(), AND($CN401=1, CQ401=FALSE), 0, CQ401=TRUE, 1)</f>
        <v>1</v>
      </c>
    </row>
    <row r="402" spans="1:100" ht="15.75" x14ac:dyDescent="0.25">
      <c r="A402" s="8">
        <v>401</v>
      </c>
      <c r="B402" s="9">
        <v>318</v>
      </c>
      <c r="C402" s="10" t="s">
        <v>24</v>
      </c>
      <c r="D402" s="11" t="s">
        <v>267</v>
      </c>
      <c r="E402" s="12"/>
      <c r="F402" s="13">
        <v>1</v>
      </c>
      <c r="G402" s="9">
        <v>67</v>
      </c>
      <c r="H402" s="12">
        <v>42475</v>
      </c>
      <c r="I402" s="9">
        <v>1</v>
      </c>
      <c r="J402" s="12">
        <v>42461</v>
      </c>
      <c r="K402" s="9">
        <v>0</v>
      </c>
      <c r="L402" s="9">
        <v>1</v>
      </c>
      <c r="M402" s="10" t="s">
        <v>401</v>
      </c>
      <c r="N402" s="9">
        <v>1</v>
      </c>
      <c r="O402" s="10" t="s">
        <v>401</v>
      </c>
      <c r="P402" s="9">
        <v>1</v>
      </c>
      <c r="Q402" s="10" t="s">
        <v>401</v>
      </c>
      <c r="R402" s="12">
        <v>43166</v>
      </c>
      <c r="S402" s="10" t="s">
        <v>145</v>
      </c>
      <c r="T402" s="9"/>
      <c r="U402" s="10" t="s">
        <v>401</v>
      </c>
      <c r="V402" s="10" t="s">
        <v>401</v>
      </c>
      <c r="W402" s="9"/>
      <c r="X402" s="9"/>
      <c r="Y402" s="9">
        <v>2</v>
      </c>
      <c r="Z402" s="14">
        <v>1</v>
      </c>
      <c r="AA402" s="21">
        <v>12.4</v>
      </c>
      <c r="AB402" s="22">
        <v>94</v>
      </c>
      <c r="AC402" s="22">
        <v>18</v>
      </c>
      <c r="AD402" s="9">
        <v>2</v>
      </c>
      <c r="AE402" s="9">
        <v>2</v>
      </c>
      <c r="AF402" s="9">
        <v>1</v>
      </c>
      <c r="AG402" s="9">
        <v>0</v>
      </c>
      <c r="AH402" s="9">
        <v>0</v>
      </c>
      <c r="AI402" s="9">
        <v>1</v>
      </c>
      <c r="AJ402" s="12">
        <v>43368</v>
      </c>
      <c r="AK402" s="9">
        <v>2</v>
      </c>
      <c r="AL402" s="12">
        <v>43528</v>
      </c>
      <c r="AM402" s="9">
        <v>3</v>
      </c>
      <c r="AN402" s="12">
        <v>43447</v>
      </c>
      <c r="AO402" s="12">
        <v>43536</v>
      </c>
      <c r="AP402" s="12">
        <v>43536</v>
      </c>
      <c r="AQ402" s="9">
        <v>1</v>
      </c>
      <c r="AR402" s="9">
        <f t="shared" si="149"/>
        <v>1</v>
      </c>
      <c r="AS402" s="9">
        <v>1</v>
      </c>
      <c r="AT402" s="9">
        <v>2</v>
      </c>
      <c r="AU402" s="9">
        <v>2</v>
      </c>
      <c r="AV402" s="9">
        <f t="shared" si="150"/>
        <v>1</v>
      </c>
      <c r="AW402" s="12">
        <v>44423</v>
      </c>
      <c r="AX402" s="9">
        <v>7330</v>
      </c>
      <c r="AY402" s="9">
        <v>6590</v>
      </c>
      <c r="AZ402" s="9">
        <v>290</v>
      </c>
      <c r="BA402" s="9">
        <v>6590</v>
      </c>
      <c r="BB402" s="9">
        <v>289.99996948242188</v>
      </c>
      <c r="BC402" s="9">
        <v>147000</v>
      </c>
      <c r="BD402" s="9">
        <v>430</v>
      </c>
      <c r="BE402" s="9">
        <v>0</v>
      </c>
      <c r="BF402" s="9">
        <v>605</v>
      </c>
      <c r="BG402" s="9">
        <v>6850</v>
      </c>
      <c r="BH402" s="9">
        <v>5470</v>
      </c>
      <c r="BI402" s="9">
        <v>910</v>
      </c>
      <c r="BJ402" s="9">
        <v>266000</v>
      </c>
      <c r="BK402" s="9">
        <v>450</v>
      </c>
      <c r="BL402" s="9">
        <v>0</v>
      </c>
      <c r="BM402" s="9"/>
      <c r="BN402" s="9">
        <v>8210</v>
      </c>
      <c r="BO402" s="9">
        <v>6270</v>
      </c>
      <c r="BP402" s="9">
        <v>1500</v>
      </c>
      <c r="BQ402" s="9">
        <v>250000</v>
      </c>
      <c r="BR402" s="9">
        <v>390</v>
      </c>
      <c r="BS402" s="9">
        <v>30</v>
      </c>
      <c r="BT402" s="9">
        <v>508</v>
      </c>
      <c r="BU402" s="9">
        <v>9120</v>
      </c>
      <c r="BV402" s="9">
        <v>7360</v>
      </c>
      <c r="BW402" s="9">
        <v>1120</v>
      </c>
      <c r="BX402" s="9">
        <v>325000</v>
      </c>
      <c r="BY402" s="9">
        <v>600</v>
      </c>
      <c r="BZ402" s="10" t="s">
        <v>307</v>
      </c>
      <c r="CA402" s="9">
        <v>20</v>
      </c>
      <c r="CB402" s="9">
        <v>384</v>
      </c>
      <c r="CC402" s="10">
        <f t="shared" si="151"/>
        <v>22.72414032236458</v>
      </c>
      <c r="CD402" s="10">
        <f t="shared" si="152"/>
        <v>506.89660506640257</v>
      </c>
      <c r="CE402" s="10">
        <f t="shared" si="162"/>
        <v>3340448.627387593</v>
      </c>
      <c r="CF402" s="10">
        <f t="shared" si="161"/>
        <v>1</v>
      </c>
      <c r="CG402" s="10">
        <f t="shared" si="146"/>
        <v>0</v>
      </c>
      <c r="CH402" s="10">
        <f t="shared" si="147"/>
        <v>6</v>
      </c>
      <c r="CI402" s="9">
        <f t="shared" si="153"/>
        <v>1</v>
      </c>
      <c r="CJ402" s="10">
        <f t="shared" si="148"/>
        <v>35</v>
      </c>
      <c r="CK402" s="10" t="b">
        <f t="shared" si="154"/>
        <v>1</v>
      </c>
      <c r="CL402" s="10" t="b">
        <f t="shared" si="155"/>
        <v>1</v>
      </c>
      <c r="CM402" s="10" t="b">
        <f t="shared" si="156"/>
        <v>1</v>
      </c>
      <c r="CN402" s="9">
        <f t="shared" si="157"/>
        <v>1</v>
      </c>
      <c r="CO402" s="10">
        <f t="shared" si="160"/>
        <v>6</v>
      </c>
      <c r="CP402" s="10" t="b">
        <f t="shared" si="158"/>
        <v>1</v>
      </c>
      <c r="CQ402" s="10" t="b">
        <f t="shared" si="159"/>
        <v>0</v>
      </c>
      <c r="CR402" s="10" cm="1">
        <f t="array" ref="CR402">_xlfn.IFS(AND($CI402=0, CK402=FALSE), NA(), AND($CI402=1, CK402=FALSE), 0, CK402=TRUE, 1)</f>
        <v>1</v>
      </c>
      <c r="CS402" s="10" cm="1">
        <f t="array" ref="CS402">_xlfn.IFS(AND($CI402=0, CL402=FALSE), NA(), AND($CI402=1, CL402=FALSE), 0, CL402=TRUE, 1)</f>
        <v>1</v>
      </c>
      <c r="CT402" s="10" cm="1">
        <f t="array" ref="CT402">_xlfn.IFS(AND($CI402=0, CM402=FALSE), NA(), AND($CI402=1, CM402=FALSE), 0, CM402=TRUE, 1)</f>
        <v>1</v>
      </c>
      <c r="CU402" s="10" cm="1">
        <f t="array" ref="CU402">_xlfn.IFS(AND($CN402=0, CP402=FALSE), NA(), AND($CN402=1, CP402=FALSE), 0, CP402=TRUE, 1)</f>
        <v>1</v>
      </c>
      <c r="CV402" s="10" cm="1">
        <f t="array" ref="CV402">_xlfn.IFS(AND($CN402=0, CQ402=FALSE), NA(), AND($CN402=1, CQ402=FALSE), 0, CQ402=TRUE, 1)</f>
        <v>0</v>
      </c>
    </row>
    <row r="403" spans="1:100" ht="15.75" x14ac:dyDescent="0.25">
      <c r="A403" s="8">
        <v>402</v>
      </c>
      <c r="B403" s="9">
        <v>399</v>
      </c>
      <c r="C403" s="10" t="s">
        <v>29</v>
      </c>
      <c r="D403" s="11" t="s">
        <v>313</v>
      </c>
      <c r="E403" s="12">
        <v>15617</v>
      </c>
      <c r="F403" s="13">
        <v>1</v>
      </c>
      <c r="G403" s="9">
        <v>73.541412353515625</v>
      </c>
      <c r="H403" s="12">
        <v>42478</v>
      </c>
      <c r="I403" s="9">
        <v>1</v>
      </c>
      <c r="J403" s="12">
        <v>42478</v>
      </c>
      <c r="K403" s="9">
        <v>0</v>
      </c>
      <c r="L403" s="9">
        <v>1</v>
      </c>
      <c r="M403" s="10" t="s">
        <v>401</v>
      </c>
      <c r="N403" s="9">
        <v>2</v>
      </c>
      <c r="O403" s="10" t="s">
        <v>409</v>
      </c>
      <c r="P403" s="9">
        <v>2</v>
      </c>
      <c r="Q403" s="10" t="s">
        <v>409</v>
      </c>
      <c r="R403" s="12">
        <v>42551</v>
      </c>
      <c r="S403" s="10" t="s">
        <v>145</v>
      </c>
      <c r="T403" s="9"/>
      <c r="U403" s="10" t="s">
        <v>401</v>
      </c>
      <c r="V403" s="10" t="s">
        <v>401</v>
      </c>
      <c r="W403" s="9"/>
      <c r="X403" s="9"/>
      <c r="Y403" s="9">
        <v>2</v>
      </c>
      <c r="Z403" s="14">
        <v>1</v>
      </c>
      <c r="AA403" s="17">
        <v>10.1</v>
      </c>
      <c r="AB403" s="18">
        <v>82</v>
      </c>
      <c r="AC403" s="18">
        <v>17</v>
      </c>
      <c r="AD403" s="9">
        <v>2</v>
      </c>
      <c r="AE403" s="9">
        <v>2</v>
      </c>
      <c r="AF403" s="9">
        <v>2</v>
      </c>
      <c r="AG403" s="9">
        <v>0</v>
      </c>
      <c r="AH403" s="9">
        <v>1</v>
      </c>
      <c r="AI403" s="9">
        <v>0</v>
      </c>
      <c r="AJ403" s="12">
        <v>42821</v>
      </c>
      <c r="AK403" s="9">
        <v>2</v>
      </c>
      <c r="AL403" s="12">
        <v>43489</v>
      </c>
      <c r="AM403" s="9">
        <v>3</v>
      </c>
      <c r="AN403" s="12">
        <v>43377</v>
      </c>
      <c r="AO403" s="12"/>
      <c r="AP403" s="12"/>
      <c r="AQ403" s="9">
        <v>2</v>
      </c>
      <c r="AR403" s="9">
        <f t="shared" si="149"/>
        <v>0</v>
      </c>
      <c r="AS403" s="9">
        <v>2</v>
      </c>
      <c r="AT403" s="9"/>
      <c r="AU403" s="9">
        <v>1</v>
      </c>
      <c r="AV403" s="9">
        <f t="shared" si="150"/>
        <v>0</v>
      </c>
      <c r="AW403" s="12">
        <v>44937</v>
      </c>
      <c r="AX403" s="9">
        <v>8870</v>
      </c>
      <c r="AY403" s="9">
        <v>4970</v>
      </c>
      <c r="AZ403" s="9">
        <v>2780</v>
      </c>
      <c r="BA403" s="9">
        <v>4970</v>
      </c>
      <c r="BB403" s="9">
        <v>2780.000244140625</v>
      </c>
      <c r="BC403" s="9">
        <v>302000</v>
      </c>
      <c r="BD403" s="9">
        <v>101</v>
      </c>
      <c r="BE403" s="9">
        <v>10</v>
      </c>
      <c r="BF403" s="9"/>
      <c r="BG403" s="9">
        <v>6070</v>
      </c>
      <c r="BH403" s="9">
        <v>5550</v>
      </c>
      <c r="BI403" s="9">
        <v>1870</v>
      </c>
      <c r="BJ403" s="9">
        <v>130000</v>
      </c>
      <c r="BK403" s="9">
        <v>24</v>
      </c>
      <c r="BL403" s="9">
        <v>5</v>
      </c>
      <c r="BM403" s="9"/>
      <c r="BN403" s="9">
        <v>6780</v>
      </c>
      <c r="BO403" s="9">
        <v>3200</v>
      </c>
      <c r="BP403" s="9">
        <v>2330</v>
      </c>
      <c r="BQ403" s="9">
        <v>125000</v>
      </c>
      <c r="BR403" s="9">
        <v>60</v>
      </c>
      <c r="BS403" s="9">
        <v>10</v>
      </c>
      <c r="BT403" s="9"/>
      <c r="BU403" s="9">
        <v>6590</v>
      </c>
      <c r="BV403" s="9">
        <v>3228</v>
      </c>
      <c r="BW403" s="9">
        <v>2342</v>
      </c>
      <c r="BX403" s="9">
        <v>121000</v>
      </c>
      <c r="BY403" s="9">
        <v>56</v>
      </c>
      <c r="BZ403" s="10" t="s">
        <v>299</v>
      </c>
      <c r="CA403" s="9">
        <v>12</v>
      </c>
      <c r="CB403" s="9"/>
      <c r="CC403" s="10">
        <f t="shared" si="151"/>
        <v>1.787769627170074</v>
      </c>
      <c r="CD403" s="10">
        <f t="shared" si="152"/>
        <v>108.63308398498236</v>
      </c>
      <c r="CE403" s="10">
        <f t="shared" si="162"/>
        <v>539906.42740536237</v>
      </c>
      <c r="CF403" s="10">
        <f t="shared" si="161"/>
        <v>1</v>
      </c>
      <c r="CG403" s="10">
        <f t="shared" si="146"/>
        <v>0</v>
      </c>
      <c r="CH403" s="10">
        <f t="shared" si="147"/>
        <v>22</v>
      </c>
      <c r="CI403" s="9">
        <f t="shared" si="153"/>
        <v>0</v>
      </c>
      <c r="CJ403" s="10">
        <f t="shared" si="148"/>
        <v>70</v>
      </c>
      <c r="CK403" s="10" t="b">
        <f t="shared" si="154"/>
        <v>1</v>
      </c>
      <c r="CL403" s="10" t="b">
        <f t="shared" si="155"/>
        <v>1</v>
      </c>
      <c r="CM403" s="10" t="b">
        <f t="shared" si="156"/>
        <v>1</v>
      </c>
      <c r="CN403" s="9">
        <f t="shared" si="157"/>
        <v>0</v>
      </c>
      <c r="CO403" s="10">
        <f>CJ403</f>
        <v>70</v>
      </c>
      <c r="CP403" s="10" t="b">
        <f t="shared" si="158"/>
        <v>1</v>
      </c>
      <c r="CQ403" s="10" t="b">
        <f t="shared" si="159"/>
        <v>1</v>
      </c>
      <c r="CR403" s="10" cm="1">
        <f t="array" ref="CR403">_xlfn.IFS(AND($CI403=0, CK403=FALSE), NA(), AND($CI403=1, CK403=FALSE), 0, CK403=TRUE, 1)</f>
        <v>1</v>
      </c>
      <c r="CS403" s="10" cm="1">
        <f t="array" ref="CS403">_xlfn.IFS(AND($CI403=0, CL403=FALSE), NA(), AND($CI403=1, CL403=FALSE), 0, CL403=TRUE, 1)</f>
        <v>1</v>
      </c>
      <c r="CT403" s="10" cm="1">
        <f t="array" ref="CT403">_xlfn.IFS(AND($CI403=0, CM403=FALSE), NA(), AND($CI403=1, CM403=FALSE), 0, CM403=TRUE, 1)</f>
        <v>1</v>
      </c>
      <c r="CU403" s="10" cm="1">
        <f t="array" ref="CU403">_xlfn.IFS(AND($CN403=0, CP403=FALSE), NA(), AND($CN403=1, CP403=FALSE), 0, CP403=TRUE, 1)</f>
        <v>1</v>
      </c>
      <c r="CV403" s="10" cm="1">
        <f t="array" ref="CV403">_xlfn.IFS(AND($CN403=0, CQ403=FALSE), NA(), AND($CN403=1, CQ403=FALSE), 0, CQ403=TRUE, 1)</f>
        <v>1</v>
      </c>
    </row>
    <row r="404" spans="1:100" ht="15.75" x14ac:dyDescent="0.25">
      <c r="A404" s="8">
        <v>403</v>
      </c>
      <c r="B404" s="9">
        <v>520</v>
      </c>
      <c r="C404" s="10" t="s">
        <v>33</v>
      </c>
      <c r="D404" s="11" t="s">
        <v>383</v>
      </c>
      <c r="E404" s="12">
        <v>29248</v>
      </c>
      <c r="F404" s="13">
        <v>1</v>
      </c>
      <c r="G404" s="9">
        <v>36.227241516113281</v>
      </c>
      <c r="H404" s="12">
        <v>42480</v>
      </c>
      <c r="I404" s="9">
        <v>1</v>
      </c>
      <c r="J404" s="12">
        <v>42500</v>
      </c>
      <c r="K404" s="9">
        <v>0</v>
      </c>
      <c r="L404" s="9">
        <v>4</v>
      </c>
      <c r="M404" s="10" t="s">
        <v>406</v>
      </c>
      <c r="N404" s="9">
        <v>1</v>
      </c>
      <c r="O404" s="10" t="s">
        <v>401</v>
      </c>
      <c r="P404" s="9">
        <v>1</v>
      </c>
      <c r="Q404" s="10" t="s">
        <v>401</v>
      </c>
      <c r="R404" s="12">
        <v>42533</v>
      </c>
      <c r="S404" s="10" t="s">
        <v>451</v>
      </c>
      <c r="T404" s="9">
        <v>1</v>
      </c>
      <c r="U404" s="10" t="s">
        <v>401</v>
      </c>
      <c r="V404" s="10" t="s">
        <v>401</v>
      </c>
      <c r="W404" s="9"/>
      <c r="X404" s="9"/>
      <c r="Y404" s="9">
        <v>3</v>
      </c>
      <c r="Z404" s="16">
        <v>1</v>
      </c>
      <c r="AA404" s="15">
        <v>10</v>
      </c>
      <c r="AB404" s="16">
        <v>69</v>
      </c>
      <c r="AC404" s="16">
        <v>19</v>
      </c>
      <c r="AD404" s="9">
        <v>2</v>
      </c>
      <c r="AE404" s="9">
        <v>2</v>
      </c>
      <c r="AF404" s="9">
        <v>1</v>
      </c>
      <c r="AG404" s="9">
        <v>1</v>
      </c>
      <c r="AH404" s="9">
        <v>1</v>
      </c>
      <c r="AI404" s="9">
        <v>0</v>
      </c>
      <c r="AJ404" s="12">
        <v>42811</v>
      </c>
      <c r="AK404" s="9">
        <v>2</v>
      </c>
      <c r="AL404" s="12">
        <v>42976</v>
      </c>
      <c r="AM404" s="9">
        <v>4</v>
      </c>
      <c r="AN404" s="12">
        <v>42887</v>
      </c>
      <c r="AO404" s="12">
        <v>42887</v>
      </c>
      <c r="AP404" s="12">
        <v>42976</v>
      </c>
      <c r="AQ404" s="9">
        <v>1</v>
      </c>
      <c r="AR404" s="9">
        <f t="shared" si="149"/>
        <v>1</v>
      </c>
      <c r="AS404" s="9">
        <v>1</v>
      </c>
      <c r="AT404" s="9">
        <v>1</v>
      </c>
      <c r="AU404" s="9">
        <v>1</v>
      </c>
      <c r="AV404" s="9">
        <f t="shared" si="150"/>
        <v>0</v>
      </c>
      <c r="AW404" s="12">
        <v>43092</v>
      </c>
      <c r="AX404" s="9"/>
      <c r="AY404" s="9"/>
      <c r="AZ404" s="9"/>
      <c r="BA404" s="9">
        <v>4888.16259765625</v>
      </c>
      <c r="BB404" s="9">
        <v>1258.6373291015625</v>
      </c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10" t="s">
        <v>401</v>
      </c>
      <c r="CA404" s="9"/>
      <c r="CB404" s="9"/>
      <c r="CC404" s="10">
        <f t="shared" si="151"/>
        <v>3.8836942816128825</v>
      </c>
      <c r="CF404" s="10">
        <f t="shared" si="161"/>
        <v>0</v>
      </c>
      <c r="CG404" s="10">
        <f t="shared" si="146"/>
        <v>0</v>
      </c>
      <c r="CH404" s="10">
        <f t="shared" si="147"/>
        <v>5</v>
      </c>
      <c r="CI404" s="9">
        <f t="shared" si="153"/>
        <v>0</v>
      </c>
      <c r="CJ404" s="10">
        <f t="shared" si="148"/>
        <v>9</v>
      </c>
      <c r="CK404" s="10" t="b">
        <f t="shared" si="154"/>
        <v>1</v>
      </c>
      <c r="CL404" s="10" t="b">
        <f t="shared" si="155"/>
        <v>0</v>
      </c>
      <c r="CM404" s="10" t="b">
        <f t="shared" si="156"/>
        <v>0</v>
      </c>
      <c r="CN404" s="9">
        <f t="shared" si="157"/>
        <v>1</v>
      </c>
      <c r="CO404" s="10">
        <f>(YEAR(AO404)-YEAR(AJ404))*12+MONTH(AO404)-MONTH(AJ404)</f>
        <v>3</v>
      </c>
      <c r="CP404" s="10" t="b">
        <f t="shared" si="158"/>
        <v>1</v>
      </c>
      <c r="CQ404" s="10" t="b">
        <f t="shared" si="159"/>
        <v>0</v>
      </c>
      <c r="CR404" s="10" cm="1">
        <f t="array" ref="CR404">_xlfn.IFS(AND($CI404=0, CK404=FALSE), NA(), AND($CI404=1, CK404=FALSE), 0, CK404=TRUE, 1)</f>
        <v>1</v>
      </c>
      <c r="CS404" s="10" t="e" cm="1">
        <f t="array" ref="CS404">_xlfn.IFS(AND($CI404=0, CL404=FALSE), NA(), AND($CI404=1, CL404=FALSE), 0, CL404=TRUE, 1)</f>
        <v>#N/A</v>
      </c>
      <c r="CT404" s="10" t="e" cm="1">
        <f t="array" ref="CT404">_xlfn.IFS(AND($CI404=0, CM404=FALSE), NA(), AND($CI404=1, CM404=FALSE), 0, CM404=TRUE, 1)</f>
        <v>#N/A</v>
      </c>
      <c r="CU404" s="10" cm="1">
        <f t="array" ref="CU404">_xlfn.IFS(AND($CN404=0, CP404=FALSE), NA(), AND($CN404=1, CP404=FALSE), 0, CP404=TRUE, 1)</f>
        <v>1</v>
      </c>
      <c r="CV404" s="10" cm="1">
        <f t="array" ref="CV404">_xlfn.IFS(AND($CN404=0, CQ404=FALSE), NA(), AND($CN404=1, CQ404=FALSE), 0, CQ404=TRUE, 1)</f>
        <v>0</v>
      </c>
    </row>
    <row r="405" spans="1:100" x14ac:dyDescent="0.25">
      <c r="A405" s="8">
        <v>404</v>
      </c>
      <c r="B405" s="9">
        <v>120</v>
      </c>
      <c r="C405" s="10" t="s">
        <v>12</v>
      </c>
      <c r="D405" s="11" t="s">
        <v>141</v>
      </c>
      <c r="E405" s="12">
        <v>16442</v>
      </c>
      <c r="F405" s="13">
        <v>2</v>
      </c>
      <c r="G405" s="9">
        <v>71.2908935546875</v>
      </c>
      <c r="H405" s="12">
        <v>42481</v>
      </c>
      <c r="I405" s="9">
        <v>1</v>
      </c>
      <c r="J405" s="12">
        <v>42516</v>
      </c>
      <c r="K405" s="9">
        <v>0</v>
      </c>
      <c r="L405" s="9">
        <v>1</v>
      </c>
      <c r="M405" s="10" t="s">
        <v>401</v>
      </c>
      <c r="N405" s="9">
        <v>2</v>
      </c>
      <c r="O405" s="10" t="s">
        <v>145</v>
      </c>
      <c r="P405" s="9">
        <v>2</v>
      </c>
      <c r="Q405" s="10" t="s">
        <v>145</v>
      </c>
      <c r="R405" s="12">
        <v>42564</v>
      </c>
      <c r="S405" s="10" t="s">
        <v>146</v>
      </c>
      <c r="T405" s="9"/>
      <c r="U405" s="10" t="s">
        <v>401</v>
      </c>
      <c r="V405" s="10" t="s">
        <v>401</v>
      </c>
      <c r="W405" s="9"/>
      <c r="X405" s="9"/>
      <c r="Y405" s="9">
        <v>2</v>
      </c>
      <c r="Z405" s="19">
        <v>2</v>
      </c>
      <c r="AB405" s="9"/>
      <c r="AC405" s="9"/>
      <c r="AD405" s="9">
        <v>2</v>
      </c>
      <c r="AE405" s="9">
        <v>2</v>
      </c>
      <c r="AF405" s="9">
        <v>1</v>
      </c>
      <c r="AG405" s="9">
        <v>0</v>
      </c>
      <c r="AH405" s="9">
        <v>1</v>
      </c>
      <c r="AI405" s="9">
        <v>0</v>
      </c>
      <c r="AJ405" s="12">
        <v>42835</v>
      </c>
      <c r="AK405" s="9">
        <v>1</v>
      </c>
      <c r="AL405" s="12">
        <v>43924</v>
      </c>
      <c r="AM405" s="9">
        <v>2</v>
      </c>
      <c r="AN405" s="12">
        <v>42933</v>
      </c>
      <c r="AO405" s="12"/>
      <c r="AP405" s="12"/>
      <c r="AQ405" s="9">
        <v>2</v>
      </c>
      <c r="AR405" s="9">
        <f t="shared" si="149"/>
        <v>0</v>
      </c>
      <c r="AS405" s="9">
        <v>2</v>
      </c>
      <c r="AT405" s="9"/>
      <c r="AU405" s="9">
        <v>1</v>
      </c>
      <c r="AV405" s="9">
        <f t="shared" si="150"/>
        <v>0</v>
      </c>
      <c r="AW405" s="12">
        <v>43924</v>
      </c>
      <c r="AX405" s="9">
        <v>6393</v>
      </c>
      <c r="AY405" s="9">
        <v>4260</v>
      </c>
      <c r="AZ405" s="9">
        <v>1430</v>
      </c>
      <c r="BA405" s="9">
        <v>4260</v>
      </c>
      <c r="BB405" s="9">
        <v>1429.9996337890625</v>
      </c>
      <c r="BC405" s="9">
        <v>309000</v>
      </c>
      <c r="BD405" s="9">
        <v>450</v>
      </c>
      <c r="BE405" s="9">
        <v>50</v>
      </c>
      <c r="BF405" s="9"/>
      <c r="BG405" s="9">
        <v>6190</v>
      </c>
      <c r="BH405" s="9">
        <v>3980</v>
      </c>
      <c r="BI405" s="9">
        <v>1550</v>
      </c>
      <c r="BJ405" s="9">
        <v>299000</v>
      </c>
      <c r="BK405" s="9">
        <v>430</v>
      </c>
      <c r="BL405" s="9">
        <v>170</v>
      </c>
      <c r="BM405" s="9"/>
      <c r="BN405" s="9">
        <v>6350</v>
      </c>
      <c r="BO405" s="9">
        <v>4170</v>
      </c>
      <c r="BP405" s="9">
        <v>1580</v>
      </c>
      <c r="BQ405" s="9">
        <v>336000</v>
      </c>
      <c r="BR405" s="9">
        <v>370</v>
      </c>
      <c r="BS405" s="9">
        <v>180</v>
      </c>
      <c r="BT405" s="9"/>
      <c r="BU405" s="9">
        <v>4900</v>
      </c>
      <c r="BV405" s="9">
        <v>2680</v>
      </c>
      <c r="BW405" s="9">
        <v>1540</v>
      </c>
      <c r="BX405" s="9">
        <v>285000</v>
      </c>
      <c r="BY405" s="9">
        <v>410</v>
      </c>
      <c r="BZ405" s="10" t="s">
        <v>534</v>
      </c>
      <c r="CA405" s="9">
        <v>220</v>
      </c>
      <c r="CB405" s="9"/>
      <c r="CC405" s="10">
        <f t="shared" si="151"/>
        <v>2.9790217419233183</v>
      </c>
      <c r="CD405" s="10">
        <f t="shared" si="152"/>
        <v>216.08397142119844</v>
      </c>
      <c r="CE405" s="10">
        <f>BC405*CC405</f>
        <v>920517.71825430531</v>
      </c>
      <c r="CF405" s="10">
        <f t="shared" si="161"/>
        <v>1</v>
      </c>
      <c r="CG405" s="10">
        <f t="shared" si="146"/>
        <v>1</v>
      </c>
      <c r="CH405" s="10">
        <f t="shared" si="147"/>
        <v>36</v>
      </c>
      <c r="CI405" s="9">
        <f t="shared" si="153"/>
        <v>0</v>
      </c>
      <c r="CJ405" s="10">
        <f t="shared" si="148"/>
        <v>36</v>
      </c>
      <c r="CK405" s="10" t="b">
        <f t="shared" si="154"/>
        <v>1</v>
      </c>
      <c r="CL405" s="10" t="b">
        <f t="shared" si="155"/>
        <v>1</v>
      </c>
      <c r="CM405" s="10" t="b">
        <f t="shared" si="156"/>
        <v>1</v>
      </c>
      <c r="CN405" s="9">
        <f t="shared" si="157"/>
        <v>0</v>
      </c>
      <c r="CO405" s="10">
        <f>CJ405</f>
        <v>36</v>
      </c>
      <c r="CP405" s="10" t="b">
        <f t="shared" si="158"/>
        <v>1</v>
      </c>
      <c r="CQ405" s="10" t="b">
        <f t="shared" si="159"/>
        <v>1</v>
      </c>
      <c r="CR405" s="10" cm="1">
        <f t="array" ref="CR405">_xlfn.IFS(AND($CI405=0, CK405=FALSE), NA(), AND($CI405=1, CK405=FALSE), 0, CK405=TRUE, 1)</f>
        <v>1</v>
      </c>
      <c r="CS405" s="10" cm="1">
        <f t="array" ref="CS405">_xlfn.IFS(AND($CI405=0, CL405=FALSE), NA(), AND($CI405=1, CL405=FALSE), 0, CL405=TRUE, 1)</f>
        <v>1</v>
      </c>
      <c r="CT405" s="10" cm="1">
        <f t="array" ref="CT405">_xlfn.IFS(AND($CI405=0, CM405=FALSE), NA(), AND($CI405=1, CM405=FALSE), 0, CM405=TRUE, 1)</f>
        <v>1</v>
      </c>
      <c r="CU405" s="10" cm="1">
        <f t="array" ref="CU405">_xlfn.IFS(AND($CN405=0, CP405=FALSE), NA(), AND($CN405=1, CP405=FALSE), 0, CP405=TRUE, 1)</f>
        <v>1</v>
      </c>
      <c r="CV405" s="10" cm="1">
        <f t="array" ref="CV405">_xlfn.IFS(AND($CN405=0, CQ405=FALSE), NA(), AND($CN405=1, CQ405=FALSE), 0, CQ405=TRUE, 1)</f>
        <v>1</v>
      </c>
    </row>
    <row r="406" spans="1:100" x14ac:dyDescent="0.25">
      <c r="A406" s="8">
        <v>405</v>
      </c>
      <c r="B406" s="9">
        <v>25</v>
      </c>
      <c r="C406" s="10" t="s">
        <v>5</v>
      </c>
      <c r="D406" s="11" t="s">
        <v>60</v>
      </c>
      <c r="E406" s="12">
        <v>17360</v>
      </c>
      <c r="F406" s="13">
        <v>1</v>
      </c>
      <c r="G406" s="9">
        <v>68.815879821777344</v>
      </c>
      <c r="H406" s="12">
        <v>42495</v>
      </c>
      <c r="I406" s="9">
        <v>1</v>
      </c>
      <c r="J406" s="12">
        <v>42495</v>
      </c>
      <c r="K406" s="9">
        <v>1</v>
      </c>
      <c r="L406" s="9">
        <v>1</v>
      </c>
      <c r="M406" s="10" t="s">
        <v>401</v>
      </c>
      <c r="N406" s="9">
        <v>2</v>
      </c>
      <c r="O406" s="10" t="s">
        <v>411</v>
      </c>
      <c r="P406" s="9">
        <v>2</v>
      </c>
      <c r="Q406" s="10" t="s">
        <v>411</v>
      </c>
      <c r="R406" s="12">
        <v>42573</v>
      </c>
      <c r="S406" s="10" t="s">
        <v>146</v>
      </c>
      <c r="T406" s="9"/>
      <c r="U406" s="10" t="s">
        <v>401</v>
      </c>
      <c r="V406" s="10" t="s">
        <v>401</v>
      </c>
      <c r="W406" s="9"/>
      <c r="X406" s="9"/>
      <c r="Y406" s="9">
        <v>2</v>
      </c>
      <c r="Z406" s="19">
        <v>2</v>
      </c>
      <c r="AB406" s="9"/>
      <c r="AC406" s="9"/>
      <c r="AD406" s="9"/>
      <c r="AE406" s="9"/>
      <c r="AF406" s="9">
        <v>1</v>
      </c>
      <c r="AG406" s="9">
        <v>0</v>
      </c>
      <c r="AH406" s="9">
        <v>1</v>
      </c>
      <c r="AI406" s="9">
        <v>0</v>
      </c>
      <c r="AJ406" s="12">
        <v>42846</v>
      </c>
      <c r="AK406" s="9">
        <v>2</v>
      </c>
      <c r="AL406" s="12">
        <v>43574</v>
      </c>
      <c r="AM406" s="9">
        <v>3</v>
      </c>
      <c r="AN406" s="12">
        <v>43391</v>
      </c>
      <c r="AO406" s="12">
        <v>43697</v>
      </c>
      <c r="AP406" s="12">
        <v>43697</v>
      </c>
      <c r="AQ406" s="9">
        <v>1</v>
      </c>
      <c r="AR406" s="9">
        <f t="shared" si="149"/>
        <v>1</v>
      </c>
      <c r="AS406" s="9">
        <v>1</v>
      </c>
      <c r="AT406" s="9">
        <v>2</v>
      </c>
      <c r="AU406" s="9">
        <v>1</v>
      </c>
      <c r="AV406" s="9">
        <f t="shared" si="150"/>
        <v>0</v>
      </c>
      <c r="AW406" s="12">
        <v>43955</v>
      </c>
      <c r="AX406" s="9"/>
      <c r="AY406" s="9"/>
      <c r="AZ406" s="9"/>
      <c r="BA406" s="9">
        <v>3569.296875</v>
      </c>
      <c r="BB406" s="9">
        <v>1415.4114990234375</v>
      </c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>
        <v>4610</v>
      </c>
      <c r="BV406" s="9">
        <v>2380</v>
      </c>
      <c r="BW406" s="9">
        <v>1430</v>
      </c>
      <c r="BX406" s="9">
        <v>167000</v>
      </c>
      <c r="BY406" s="9">
        <v>390</v>
      </c>
      <c r="BZ406" s="10" t="s">
        <v>551</v>
      </c>
      <c r="CA406" s="9">
        <v>360</v>
      </c>
      <c r="CB406" s="9">
        <v>156</v>
      </c>
      <c r="CC406" s="10">
        <f t="shared" si="151"/>
        <v>2.5217379380220062</v>
      </c>
      <c r="CF406" s="10">
        <f t="shared" si="161"/>
        <v>1</v>
      </c>
      <c r="CG406" s="10">
        <f t="shared" si="146"/>
        <v>0</v>
      </c>
      <c r="CH406" s="10">
        <f t="shared" si="147"/>
        <v>24</v>
      </c>
      <c r="CI406" s="9">
        <f t="shared" si="153"/>
        <v>0</v>
      </c>
      <c r="CJ406" s="10">
        <f t="shared" si="148"/>
        <v>37</v>
      </c>
      <c r="CK406" s="10" t="b">
        <f t="shared" si="154"/>
        <v>1</v>
      </c>
      <c r="CL406" s="10" t="b">
        <f t="shared" si="155"/>
        <v>1</v>
      </c>
      <c r="CM406" s="10" t="b">
        <f t="shared" si="156"/>
        <v>1</v>
      </c>
      <c r="CN406" s="9">
        <f t="shared" si="157"/>
        <v>1</v>
      </c>
      <c r="CO406" s="10">
        <f>(YEAR(AO406)-YEAR(AJ406))*12+MONTH(AO406)-MONTH(AJ406)</f>
        <v>28</v>
      </c>
      <c r="CP406" s="10" t="b">
        <f t="shared" si="158"/>
        <v>1</v>
      </c>
      <c r="CQ406" s="10" t="b">
        <f t="shared" si="159"/>
        <v>1</v>
      </c>
      <c r="CR406" s="10" cm="1">
        <f t="array" ref="CR406">_xlfn.IFS(AND($CI406=0, CK406=FALSE), NA(), AND($CI406=1, CK406=FALSE), 0, CK406=TRUE, 1)</f>
        <v>1</v>
      </c>
      <c r="CS406" s="10" cm="1">
        <f t="array" ref="CS406">_xlfn.IFS(AND($CI406=0, CL406=FALSE), NA(), AND($CI406=1, CL406=FALSE), 0, CL406=TRUE, 1)</f>
        <v>1</v>
      </c>
      <c r="CT406" s="10" cm="1">
        <f t="array" ref="CT406">_xlfn.IFS(AND($CI406=0, CM406=FALSE), NA(), AND($CI406=1, CM406=FALSE), 0, CM406=TRUE, 1)</f>
        <v>1</v>
      </c>
      <c r="CU406" s="10" cm="1">
        <f t="array" ref="CU406">_xlfn.IFS(AND($CN406=0, CP406=FALSE), NA(), AND($CN406=1, CP406=FALSE), 0, CP406=TRUE, 1)</f>
        <v>1</v>
      </c>
      <c r="CV406" s="10" cm="1">
        <f t="array" ref="CV406">_xlfn.IFS(AND($CN406=0, CQ406=FALSE), NA(), AND($CN406=1, CQ406=FALSE), 0, CQ406=TRUE, 1)</f>
        <v>1</v>
      </c>
    </row>
    <row r="407" spans="1:100" ht="15.75" x14ac:dyDescent="0.25">
      <c r="A407" s="8">
        <v>406</v>
      </c>
      <c r="B407" s="9">
        <v>278</v>
      </c>
      <c r="C407" s="10" t="s">
        <v>21</v>
      </c>
      <c r="D407" s="11" t="s">
        <v>90</v>
      </c>
      <c r="E407" s="12">
        <v>20837</v>
      </c>
      <c r="F407" s="13">
        <v>1</v>
      </c>
      <c r="G407" s="9">
        <v>59.312797546386719</v>
      </c>
      <c r="H407" s="12">
        <v>42501</v>
      </c>
      <c r="I407" s="9">
        <v>1</v>
      </c>
      <c r="J407" s="12">
        <v>42530</v>
      </c>
      <c r="K407" s="9">
        <v>1</v>
      </c>
      <c r="L407" s="9">
        <v>1</v>
      </c>
      <c r="M407" s="10" t="s">
        <v>401</v>
      </c>
      <c r="N407" s="9"/>
      <c r="O407" s="10" t="s">
        <v>401</v>
      </c>
      <c r="P407" s="9"/>
      <c r="Q407" s="10" t="s">
        <v>401</v>
      </c>
      <c r="R407" s="12">
        <v>42501</v>
      </c>
      <c r="S407" s="10" t="s">
        <v>146</v>
      </c>
      <c r="T407" s="9"/>
      <c r="U407" s="10" t="s">
        <v>401</v>
      </c>
      <c r="V407" s="10" t="s">
        <v>401</v>
      </c>
      <c r="W407" s="9"/>
      <c r="X407" s="9"/>
      <c r="Y407" s="9">
        <v>2</v>
      </c>
      <c r="Z407" s="14">
        <v>2</v>
      </c>
      <c r="AA407" s="15">
        <v>12.2</v>
      </c>
      <c r="AB407" s="16">
        <v>92</v>
      </c>
      <c r="AC407" s="16">
        <v>13</v>
      </c>
      <c r="AD407" s="9">
        <v>2</v>
      </c>
      <c r="AE407" s="9">
        <v>2</v>
      </c>
      <c r="AF407" s="9">
        <v>1</v>
      </c>
      <c r="AG407" s="9">
        <v>0</v>
      </c>
      <c r="AH407" s="9">
        <v>1</v>
      </c>
      <c r="AI407" s="9">
        <v>1</v>
      </c>
      <c r="AJ407" s="12">
        <v>42891</v>
      </c>
      <c r="AK407" s="9">
        <v>2</v>
      </c>
      <c r="AL407" s="12">
        <v>42940</v>
      </c>
      <c r="AM407" s="9">
        <v>4</v>
      </c>
      <c r="AN407" s="12">
        <v>42951</v>
      </c>
      <c r="AO407" s="12">
        <v>42951</v>
      </c>
      <c r="AP407" s="12">
        <v>42951</v>
      </c>
      <c r="AQ407" s="9">
        <v>1</v>
      </c>
      <c r="AR407" s="9">
        <f t="shared" si="149"/>
        <v>1</v>
      </c>
      <c r="AS407" s="9">
        <v>1</v>
      </c>
      <c r="AT407" s="9">
        <v>2</v>
      </c>
      <c r="AU407" s="9">
        <v>2</v>
      </c>
      <c r="AV407" s="9">
        <f t="shared" si="150"/>
        <v>1</v>
      </c>
      <c r="AW407" s="12">
        <v>42980</v>
      </c>
      <c r="AX407" s="9">
        <v>7040</v>
      </c>
      <c r="AY407" s="9">
        <v>5290</v>
      </c>
      <c r="AZ407" s="9">
        <v>900</v>
      </c>
      <c r="BA407" s="9">
        <v>5290</v>
      </c>
      <c r="BB407" s="9">
        <v>900.0001220703125</v>
      </c>
      <c r="BC407" s="9">
        <v>187000</v>
      </c>
      <c r="BD407" s="9">
        <v>550</v>
      </c>
      <c r="BE407" s="9">
        <v>280</v>
      </c>
      <c r="BF407" s="9">
        <v>174</v>
      </c>
      <c r="BG407" s="9">
        <v>8600</v>
      </c>
      <c r="BH407" s="9">
        <v>6430</v>
      </c>
      <c r="BI407" s="9">
        <v>1220</v>
      </c>
      <c r="BJ407" s="9">
        <v>229000</v>
      </c>
      <c r="BK407" s="9">
        <v>290</v>
      </c>
      <c r="BL407" s="9">
        <v>330</v>
      </c>
      <c r="BM407" s="9">
        <v>146</v>
      </c>
      <c r="BN407" s="9">
        <v>8430</v>
      </c>
      <c r="BO407" s="9">
        <v>6300</v>
      </c>
      <c r="BP407" s="9">
        <v>1090</v>
      </c>
      <c r="BQ407" s="9">
        <v>223000</v>
      </c>
      <c r="BR407" s="9">
        <v>780</v>
      </c>
      <c r="BS407" s="9">
        <v>220</v>
      </c>
      <c r="BT407" s="9"/>
      <c r="BU407" s="9">
        <v>9660</v>
      </c>
      <c r="BV407" s="9">
        <v>7050</v>
      </c>
      <c r="BW407" s="9">
        <v>1540</v>
      </c>
      <c r="BX407" s="9">
        <v>266000</v>
      </c>
      <c r="BY407" s="9">
        <v>780</v>
      </c>
      <c r="BZ407" s="10" t="s">
        <v>550</v>
      </c>
      <c r="CA407" s="9">
        <v>240</v>
      </c>
      <c r="CB407" s="9">
        <v>165</v>
      </c>
      <c r="CC407" s="10">
        <f t="shared" si="151"/>
        <v>5.8777769805532527</v>
      </c>
      <c r="CD407" s="10">
        <f t="shared" si="152"/>
        <v>207.77774959611685</v>
      </c>
      <c r="CE407" s="10">
        <f t="shared" ref="CE407:CE408" si="163">BC407*CC407</f>
        <v>1099144.2953634583</v>
      </c>
      <c r="CF407" s="10">
        <f t="shared" si="161"/>
        <v>0</v>
      </c>
      <c r="CG407" s="10">
        <f t="shared" si="146"/>
        <v>0</v>
      </c>
      <c r="CH407" s="10">
        <f t="shared" si="147"/>
        <v>1</v>
      </c>
      <c r="CI407" s="9">
        <f t="shared" si="153"/>
        <v>1</v>
      </c>
      <c r="CJ407" s="10">
        <f t="shared" si="148"/>
        <v>3</v>
      </c>
      <c r="CK407" s="10" t="b">
        <f t="shared" si="154"/>
        <v>0</v>
      </c>
      <c r="CL407" s="10" t="b">
        <f t="shared" si="155"/>
        <v>0</v>
      </c>
      <c r="CM407" s="10" t="b">
        <f t="shared" si="156"/>
        <v>0</v>
      </c>
      <c r="CN407" s="9">
        <f t="shared" si="157"/>
        <v>1</v>
      </c>
      <c r="CO407" s="10">
        <f>(YEAR(AO407)-YEAR(AJ407))*12+MONTH(AO407)-MONTH(AJ407)</f>
        <v>2</v>
      </c>
      <c r="CP407" s="10" t="b">
        <f t="shared" si="158"/>
        <v>0</v>
      </c>
      <c r="CQ407" s="10" t="b">
        <f t="shared" si="159"/>
        <v>0</v>
      </c>
      <c r="CR407" s="10" cm="1">
        <f t="array" ref="CR407">_xlfn.IFS(AND($CI407=0, CK407=FALSE), NA(), AND($CI407=1, CK407=FALSE), 0, CK407=TRUE, 1)</f>
        <v>0</v>
      </c>
      <c r="CS407" s="10" cm="1">
        <f t="array" ref="CS407">_xlfn.IFS(AND($CI407=0, CL407=FALSE), NA(), AND($CI407=1, CL407=FALSE), 0, CL407=TRUE, 1)</f>
        <v>0</v>
      </c>
      <c r="CT407" s="10" cm="1">
        <f t="array" ref="CT407">_xlfn.IFS(AND($CI407=0, CM407=FALSE), NA(), AND($CI407=1, CM407=FALSE), 0, CM407=TRUE, 1)</f>
        <v>0</v>
      </c>
      <c r="CU407" s="10" cm="1">
        <f t="array" ref="CU407">_xlfn.IFS(AND($CN407=0, CP407=FALSE), NA(), AND($CN407=1, CP407=FALSE), 0, CP407=TRUE, 1)</f>
        <v>0</v>
      </c>
      <c r="CV407" s="10" cm="1">
        <f t="array" ref="CV407">_xlfn.IFS(AND($CN407=0, CQ407=FALSE), NA(), AND($CN407=1, CQ407=FALSE), 0, CQ407=TRUE, 1)</f>
        <v>0</v>
      </c>
    </row>
    <row r="408" spans="1:100" ht="15.75" x14ac:dyDescent="0.25">
      <c r="A408" s="8">
        <v>407</v>
      </c>
      <c r="B408" s="9">
        <v>134</v>
      </c>
      <c r="C408" s="10" t="s">
        <v>16</v>
      </c>
      <c r="D408" s="11" t="s">
        <v>176</v>
      </c>
      <c r="E408" s="12">
        <v>18264</v>
      </c>
      <c r="F408" s="13">
        <v>1</v>
      </c>
      <c r="G408" s="9">
        <v>66.379188537597656</v>
      </c>
      <c r="H408" s="12">
        <v>42509</v>
      </c>
      <c r="I408" s="9">
        <v>0</v>
      </c>
      <c r="J408" s="12"/>
      <c r="K408" s="9">
        <v>1</v>
      </c>
      <c r="L408" s="9">
        <v>4</v>
      </c>
      <c r="M408" s="10" t="s">
        <v>518</v>
      </c>
      <c r="N408" s="9">
        <v>2</v>
      </c>
      <c r="O408" s="10" t="s">
        <v>409</v>
      </c>
      <c r="P408" s="9">
        <v>2</v>
      </c>
      <c r="Q408" s="10" t="s">
        <v>409</v>
      </c>
      <c r="R408" s="12">
        <v>42509</v>
      </c>
      <c r="S408" s="10" t="s">
        <v>145</v>
      </c>
      <c r="T408" s="9"/>
      <c r="U408" s="10" t="s">
        <v>401</v>
      </c>
      <c r="V408" s="10" t="s">
        <v>401</v>
      </c>
      <c r="W408" s="9"/>
      <c r="X408" s="9"/>
      <c r="Y408" s="9">
        <v>2</v>
      </c>
      <c r="Z408" s="14">
        <v>1</v>
      </c>
      <c r="AA408" s="15">
        <v>8.9</v>
      </c>
      <c r="AB408" s="16">
        <v>82</v>
      </c>
      <c r="AC408" s="16">
        <v>16</v>
      </c>
      <c r="AD408" s="9">
        <v>3</v>
      </c>
      <c r="AE408" s="9">
        <v>2</v>
      </c>
      <c r="AF408" s="9">
        <v>1</v>
      </c>
      <c r="AG408" s="9">
        <v>1</v>
      </c>
      <c r="AH408" s="9">
        <v>0</v>
      </c>
      <c r="AI408" s="9">
        <v>1</v>
      </c>
      <c r="AJ408" s="12">
        <v>43147</v>
      </c>
      <c r="AK408" s="9">
        <v>1</v>
      </c>
      <c r="AL408" s="12">
        <v>44931</v>
      </c>
      <c r="AM408" s="9">
        <v>3</v>
      </c>
      <c r="AN408" s="12">
        <v>43216</v>
      </c>
      <c r="AO408" s="12"/>
      <c r="AP408" s="12"/>
      <c r="AQ408" s="9">
        <v>2</v>
      </c>
      <c r="AR408" s="9">
        <f t="shared" si="149"/>
        <v>0</v>
      </c>
      <c r="AS408" s="9">
        <v>2</v>
      </c>
      <c r="AT408" s="9"/>
      <c r="AU408" s="9">
        <v>1</v>
      </c>
      <c r="AV408" s="9">
        <f t="shared" si="150"/>
        <v>0</v>
      </c>
      <c r="AW408" s="12">
        <v>44946</v>
      </c>
      <c r="AX408" s="9">
        <v>11960</v>
      </c>
      <c r="AY408" s="9">
        <v>8290</v>
      </c>
      <c r="AZ408" s="9">
        <v>1960</v>
      </c>
      <c r="BA408" s="9">
        <v>8290</v>
      </c>
      <c r="BB408" s="9">
        <v>1960.0003662109375</v>
      </c>
      <c r="BC408" s="9">
        <v>284000</v>
      </c>
      <c r="BD408" s="9">
        <v>1410</v>
      </c>
      <c r="BE408" s="9">
        <v>70</v>
      </c>
      <c r="BF408" s="9"/>
      <c r="BG408" s="9">
        <v>10810</v>
      </c>
      <c r="BH408" s="9">
        <v>7000</v>
      </c>
      <c r="BI408" s="9"/>
      <c r="BJ408" s="9">
        <v>369000</v>
      </c>
      <c r="BK408" s="9"/>
      <c r="BL408" s="9"/>
      <c r="BM408" s="9"/>
      <c r="BN408" s="9"/>
      <c r="BO408" s="9">
        <v>3300</v>
      </c>
      <c r="BP408" s="9"/>
      <c r="BQ408" s="9">
        <v>175000</v>
      </c>
      <c r="BR408" s="9"/>
      <c r="BS408" s="9"/>
      <c r="BT408" s="9">
        <v>196</v>
      </c>
      <c r="BU408" s="9">
        <v>6360</v>
      </c>
      <c r="BV408" s="9">
        <v>5000</v>
      </c>
      <c r="BW408" s="9"/>
      <c r="BX408" s="9">
        <v>203000</v>
      </c>
      <c r="BY408" s="9"/>
      <c r="BZ408" s="10" t="s">
        <v>401</v>
      </c>
      <c r="CA408" s="9"/>
      <c r="CB408" s="9">
        <v>195</v>
      </c>
      <c r="CC408" s="10">
        <f t="shared" si="151"/>
        <v>4.2295910464681112</v>
      </c>
      <c r="CD408" s="10">
        <f t="shared" si="152"/>
        <v>144.89793211060839</v>
      </c>
      <c r="CE408" s="10">
        <f t="shared" si="163"/>
        <v>1201203.8571969436</v>
      </c>
      <c r="CF408" s="10">
        <f t="shared" si="161"/>
        <v>1</v>
      </c>
      <c r="CG408" s="10">
        <f t="shared" si="146"/>
        <v>0</v>
      </c>
      <c r="CH408" s="10">
        <f t="shared" si="147"/>
        <v>59</v>
      </c>
      <c r="CI408" s="9">
        <f t="shared" si="153"/>
        <v>0</v>
      </c>
      <c r="CJ408" s="10">
        <f t="shared" si="148"/>
        <v>59</v>
      </c>
      <c r="CK408" s="10" t="b">
        <f t="shared" si="154"/>
        <v>1</v>
      </c>
      <c r="CL408" s="10" t="b">
        <f t="shared" si="155"/>
        <v>1</v>
      </c>
      <c r="CM408" s="10" t="b">
        <f t="shared" si="156"/>
        <v>1</v>
      </c>
      <c r="CN408" s="9">
        <f t="shared" si="157"/>
        <v>0</v>
      </c>
      <c r="CO408" s="10">
        <f>CJ408</f>
        <v>59</v>
      </c>
      <c r="CP408" s="10" t="b">
        <f t="shared" si="158"/>
        <v>1</v>
      </c>
      <c r="CQ408" s="10" t="b">
        <f t="shared" si="159"/>
        <v>1</v>
      </c>
      <c r="CR408" s="10" cm="1">
        <f t="array" ref="CR408">_xlfn.IFS(AND($CI408=0, CK408=FALSE), NA(), AND($CI408=1, CK408=FALSE), 0, CK408=TRUE, 1)</f>
        <v>1</v>
      </c>
      <c r="CS408" s="10" cm="1">
        <f t="array" ref="CS408">_xlfn.IFS(AND($CI408=0, CL408=FALSE), NA(), AND($CI408=1, CL408=FALSE), 0, CL408=TRUE, 1)</f>
        <v>1</v>
      </c>
      <c r="CT408" s="10" cm="1">
        <f t="array" ref="CT408">_xlfn.IFS(AND($CI408=0, CM408=FALSE), NA(), AND($CI408=1, CM408=FALSE), 0, CM408=TRUE, 1)</f>
        <v>1</v>
      </c>
      <c r="CU408" s="10" cm="1">
        <f t="array" ref="CU408">_xlfn.IFS(AND($CN408=0, CP408=FALSE), NA(), AND($CN408=1, CP408=FALSE), 0, CP408=TRUE, 1)</f>
        <v>1</v>
      </c>
      <c r="CV408" s="10" cm="1">
        <f t="array" ref="CV408">_xlfn.IFS(AND($CN408=0, CQ408=FALSE), NA(), AND($CN408=1, CQ408=FALSE), 0, CQ408=TRUE, 1)</f>
        <v>1</v>
      </c>
    </row>
    <row r="409" spans="1:100" ht="15.75" x14ac:dyDescent="0.25">
      <c r="A409" s="8">
        <v>408</v>
      </c>
      <c r="B409" s="9">
        <v>527</v>
      </c>
      <c r="C409" s="10" t="s">
        <v>33</v>
      </c>
      <c r="D409" s="11" t="s">
        <v>67</v>
      </c>
      <c r="E409" s="12">
        <v>20243</v>
      </c>
      <c r="F409" s="13">
        <v>1</v>
      </c>
      <c r="G409" s="9">
        <v>60.974674224853516</v>
      </c>
      <c r="H409" s="12">
        <v>42514</v>
      </c>
      <c r="I409" s="9">
        <v>1</v>
      </c>
      <c r="J409" s="12">
        <v>41428</v>
      </c>
      <c r="K409" s="9">
        <v>0</v>
      </c>
      <c r="L409" s="9">
        <v>1</v>
      </c>
      <c r="M409" s="10" t="s">
        <v>401</v>
      </c>
      <c r="N409" s="9">
        <v>1</v>
      </c>
      <c r="O409" s="10" t="s">
        <v>401</v>
      </c>
      <c r="P409" s="9">
        <v>1</v>
      </c>
      <c r="Q409" s="10" t="s">
        <v>401</v>
      </c>
      <c r="R409" s="12">
        <v>41834</v>
      </c>
      <c r="S409" s="10" t="s">
        <v>145</v>
      </c>
      <c r="T409" s="9">
        <v>6</v>
      </c>
      <c r="U409" s="10" t="s">
        <v>401</v>
      </c>
      <c r="V409" s="10" t="s">
        <v>401</v>
      </c>
      <c r="W409" s="9"/>
      <c r="X409" s="9"/>
      <c r="Y409" s="9">
        <v>3</v>
      </c>
      <c r="Z409" s="14">
        <v>1</v>
      </c>
      <c r="AA409" s="15">
        <v>9.8000000000000007</v>
      </c>
      <c r="AB409" s="16">
        <v>82</v>
      </c>
      <c r="AC409" s="16">
        <v>24</v>
      </c>
      <c r="AD409" s="9">
        <v>2</v>
      </c>
      <c r="AE409" s="9">
        <v>2</v>
      </c>
      <c r="AF409" s="9">
        <v>1</v>
      </c>
      <c r="AG409" s="9">
        <v>0</v>
      </c>
      <c r="AH409" s="9">
        <v>1</v>
      </c>
      <c r="AI409" s="9">
        <v>0</v>
      </c>
      <c r="AJ409" s="12">
        <v>42935</v>
      </c>
      <c r="AK409" s="9">
        <v>2</v>
      </c>
      <c r="AL409" s="12">
        <v>42999</v>
      </c>
      <c r="AM409" s="9"/>
      <c r="AN409" s="12"/>
      <c r="AO409" s="12">
        <v>43518</v>
      </c>
      <c r="AP409" s="12">
        <v>43518</v>
      </c>
      <c r="AQ409" s="9">
        <v>1</v>
      </c>
      <c r="AR409" s="9">
        <f t="shared" si="149"/>
        <v>1</v>
      </c>
      <c r="AS409" s="9">
        <v>1</v>
      </c>
      <c r="AT409" s="9">
        <v>2</v>
      </c>
      <c r="AU409" s="9">
        <v>2</v>
      </c>
      <c r="AV409" s="9">
        <f t="shared" si="150"/>
        <v>1</v>
      </c>
      <c r="AW409" s="12">
        <v>43518</v>
      </c>
      <c r="AX409" s="9"/>
      <c r="AY409" s="9"/>
      <c r="AZ409" s="9"/>
      <c r="BA409" s="9">
        <v>3944.313232421875</v>
      </c>
      <c r="BB409" s="9">
        <v>1830.0643310546875</v>
      </c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10" t="s">
        <v>401</v>
      </c>
      <c r="CA409" s="9"/>
      <c r="CB409" s="9"/>
      <c r="CC409" s="10">
        <f t="shared" si="151"/>
        <v>2.1552866560426982</v>
      </c>
      <c r="CG409" s="10">
        <f t="shared" si="146"/>
        <v>1</v>
      </c>
      <c r="CH409" s="10">
        <f t="shared" si="147"/>
        <v>2</v>
      </c>
      <c r="CI409" s="9">
        <f t="shared" si="153"/>
        <v>1</v>
      </c>
      <c r="CJ409" s="10">
        <f t="shared" si="148"/>
        <v>19</v>
      </c>
      <c r="CK409" s="10" t="b">
        <f t="shared" si="154"/>
        <v>1</v>
      </c>
      <c r="CL409" s="10" t="b">
        <f t="shared" si="155"/>
        <v>1</v>
      </c>
      <c r="CM409" s="10" t="b">
        <f t="shared" si="156"/>
        <v>0</v>
      </c>
      <c r="CN409" s="9">
        <f t="shared" si="157"/>
        <v>1</v>
      </c>
      <c r="CO409" s="10">
        <f>(YEAR(AO409)-YEAR(AJ409))*12+MONTH(AO409)-MONTH(AJ409)</f>
        <v>19</v>
      </c>
      <c r="CP409" s="10" t="b">
        <f t="shared" si="158"/>
        <v>1</v>
      </c>
      <c r="CQ409" s="10" t="b">
        <f t="shared" si="159"/>
        <v>1</v>
      </c>
      <c r="CR409" s="10" cm="1">
        <f t="array" ref="CR409">_xlfn.IFS(AND($CI409=0, CK409=FALSE), NA(), AND($CI409=1, CK409=FALSE), 0, CK409=TRUE, 1)</f>
        <v>1</v>
      </c>
      <c r="CS409" s="10" cm="1">
        <f t="array" ref="CS409">_xlfn.IFS(AND($CI409=0, CL409=FALSE), NA(), AND($CI409=1, CL409=FALSE), 0, CL409=TRUE, 1)</f>
        <v>1</v>
      </c>
      <c r="CT409" s="10" cm="1">
        <f t="array" ref="CT409">_xlfn.IFS(AND($CI409=0, CM409=FALSE), NA(), AND($CI409=1, CM409=FALSE), 0, CM409=TRUE, 1)</f>
        <v>0</v>
      </c>
      <c r="CU409" s="10" cm="1">
        <f t="array" ref="CU409">_xlfn.IFS(AND($CN409=0, CP409=FALSE), NA(), AND($CN409=1, CP409=FALSE), 0, CP409=TRUE, 1)</f>
        <v>1</v>
      </c>
      <c r="CV409" s="10" cm="1">
        <f t="array" ref="CV409">_xlfn.IFS(AND($CN409=0, CQ409=FALSE), NA(), AND($CN409=1, CQ409=FALSE), 0, CQ409=TRUE, 1)</f>
        <v>1</v>
      </c>
    </row>
    <row r="410" spans="1:100" x14ac:dyDescent="0.25">
      <c r="A410" s="8">
        <v>409</v>
      </c>
      <c r="B410" s="9">
        <v>101</v>
      </c>
      <c r="C410" s="10" t="s">
        <v>11</v>
      </c>
      <c r="D410" s="11" t="s">
        <v>127</v>
      </c>
      <c r="E410" s="12">
        <v>17001</v>
      </c>
      <c r="F410" s="13">
        <v>2</v>
      </c>
      <c r="G410" s="9">
        <v>69.861740112304688</v>
      </c>
      <c r="H410" s="12">
        <v>42518</v>
      </c>
      <c r="I410" s="9">
        <v>1</v>
      </c>
      <c r="J410" s="12">
        <v>42623</v>
      </c>
      <c r="K410" s="9">
        <v>1</v>
      </c>
      <c r="L410" s="9">
        <v>3</v>
      </c>
      <c r="M410" s="10" t="s">
        <v>401</v>
      </c>
      <c r="N410" s="9">
        <v>2</v>
      </c>
      <c r="O410" s="10" t="s">
        <v>145</v>
      </c>
      <c r="P410" s="9">
        <v>2</v>
      </c>
      <c r="Q410" s="10" t="s">
        <v>145</v>
      </c>
      <c r="R410" s="12">
        <v>42632</v>
      </c>
      <c r="S410" s="10" t="s">
        <v>145</v>
      </c>
      <c r="T410" s="9"/>
      <c r="U410" s="10" t="s">
        <v>401</v>
      </c>
      <c r="V410" s="10" t="s">
        <v>401</v>
      </c>
      <c r="W410" s="9"/>
      <c r="X410" s="9"/>
      <c r="Y410" s="9">
        <v>2</v>
      </c>
      <c r="Z410" s="19">
        <v>1</v>
      </c>
      <c r="AB410" s="9"/>
      <c r="AC410" s="9"/>
      <c r="AD410" s="9">
        <v>2</v>
      </c>
      <c r="AE410" s="9">
        <v>2</v>
      </c>
      <c r="AF410" s="9">
        <v>1</v>
      </c>
      <c r="AG410" s="9">
        <v>1</v>
      </c>
      <c r="AH410" s="9">
        <v>1</v>
      </c>
      <c r="AI410" s="9">
        <v>0</v>
      </c>
      <c r="AJ410" s="12">
        <v>42909</v>
      </c>
      <c r="AK410" s="9">
        <v>1</v>
      </c>
      <c r="AL410" s="12">
        <v>44995</v>
      </c>
      <c r="AM410" s="9">
        <v>2</v>
      </c>
      <c r="AN410" s="12">
        <v>43208</v>
      </c>
      <c r="AO410" s="12"/>
      <c r="AP410" s="12"/>
      <c r="AQ410" s="9">
        <v>2</v>
      </c>
      <c r="AR410" s="9">
        <f t="shared" si="149"/>
        <v>0</v>
      </c>
      <c r="AS410" s="9">
        <v>2</v>
      </c>
      <c r="AT410" s="9"/>
      <c r="AU410" s="9">
        <v>1</v>
      </c>
      <c r="AV410" s="9">
        <f t="shared" si="150"/>
        <v>0</v>
      </c>
      <c r="AW410" s="12">
        <v>44995</v>
      </c>
      <c r="AX410" s="9">
        <v>6500</v>
      </c>
      <c r="AY410" s="9">
        <v>4000</v>
      </c>
      <c r="AZ410" s="9">
        <v>1500</v>
      </c>
      <c r="BA410" s="9">
        <v>4000</v>
      </c>
      <c r="BB410" s="9">
        <v>1500.0001220703125</v>
      </c>
      <c r="BC410" s="9">
        <v>320000</v>
      </c>
      <c r="BD410" s="9">
        <v>500</v>
      </c>
      <c r="BE410" s="9">
        <v>300</v>
      </c>
      <c r="BF410" s="9"/>
      <c r="BG410" s="9">
        <v>6500</v>
      </c>
      <c r="BH410" s="9">
        <v>4100</v>
      </c>
      <c r="BI410" s="9">
        <v>1500</v>
      </c>
      <c r="BJ410" s="9">
        <v>323000</v>
      </c>
      <c r="BK410" s="9">
        <v>500</v>
      </c>
      <c r="BL410" s="9">
        <v>300</v>
      </c>
      <c r="BM410" s="9"/>
      <c r="BN410" s="9">
        <v>6400</v>
      </c>
      <c r="BO410" s="9">
        <v>3600</v>
      </c>
      <c r="BP410" s="9">
        <v>1800</v>
      </c>
      <c r="BQ410" s="9">
        <v>290000</v>
      </c>
      <c r="BR410" s="9">
        <v>600</v>
      </c>
      <c r="BS410" s="9">
        <v>400</v>
      </c>
      <c r="BT410" s="9"/>
      <c r="BU410" s="9">
        <v>7100</v>
      </c>
      <c r="BV410" s="9">
        <v>3900</v>
      </c>
      <c r="BW410" s="9">
        <v>2300</v>
      </c>
      <c r="BX410" s="9">
        <v>295000</v>
      </c>
      <c r="BY410" s="9">
        <v>600</v>
      </c>
      <c r="BZ410" s="10" t="s">
        <v>542</v>
      </c>
      <c r="CA410" s="9">
        <v>300</v>
      </c>
      <c r="CB410" s="9"/>
      <c r="CC410" s="10">
        <f t="shared" si="151"/>
        <v>2.6666664496527956</v>
      </c>
      <c r="CD410" s="10">
        <f t="shared" si="152"/>
        <v>213.33331597222363</v>
      </c>
      <c r="CE410" s="10">
        <f t="shared" ref="CE410:CE412" si="164">BC410*CC410</f>
        <v>853333.26388889458</v>
      </c>
      <c r="CF410" s="10">
        <f t="shared" ref="CF410:CF441" si="165">IF(AM410=4, 0,1)</f>
        <v>1</v>
      </c>
      <c r="CG410" s="10">
        <f t="shared" si="146"/>
        <v>1</v>
      </c>
      <c r="CH410" s="10">
        <f t="shared" si="147"/>
        <v>69</v>
      </c>
      <c r="CI410" s="9">
        <f t="shared" si="153"/>
        <v>0</v>
      </c>
      <c r="CJ410" s="10">
        <f t="shared" si="148"/>
        <v>69</v>
      </c>
      <c r="CK410" s="10" t="b">
        <f t="shared" si="154"/>
        <v>1</v>
      </c>
      <c r="CL410" s="10" t="b">
        <f t="shared" si="155"/>
        <v>1</v>
      </c>
      <c r="CM410" s="10" t="b">
        <f t="shared" si="156"/>
        <v>1</v>
      </c>
      <c r="CN410" s="9">
        <f t="shared" si="157"/>
        <v>0</v>
      </c>
      <c r="CO410" s="10">
        <f>CJ410</f>
        <v>69</v>
      </c>
      <c r="CP410" s="10" t="b">
        <f t="shared" si="158"/>
        <v>1</v>
      </c>
      <c r="CQ410" s="10" t="b">
        <f t="shared" si="159"/>
        <v>1</v>
      </c>
      <c r="CR410" s="10" cm="1">
        <f t="array" ref="CR410">_xlfn.IFS(AND($CI410=0, CK410=FALSE), NA(), AND($CI410=1, CK410=FALSE), 0, CK410=TRUE, 1)</f>
        <v>1</v>
      </c>
      <c r="CS410" s="10" cm="1">
        <f t="array" ref="CS410">_xlfn.IFS(AND($CI410=0, CL410=FALSE), NA(), AND($CI410=1, CL410=FALSE), 0, CL410=TRUE, 1)</f>
        <v>1</v>
      </c>
      <c r="CT410" s="10" cm="1">
        <f t="array" ref="CT410">_xlfn.IFS(AND($CI410=0, CM410=FALSE), NA(), AND($CI410=1, CM410=FALSE), 0, CM410=TRUE, 1)</f>
        <v>1</v>
      </c>
      <c r="CU410" s="10" cm="1">
        <f t="array" ref="CU410">_xlfn.IFS(AND($CN410=0, CP410=FALSE), NA(), AND($CN410=1, CP410=FALSE), 0, CP410=TRUE, 1)</f>
        <v>1</v>
      </c>
      <c r="CV410" s="10" cm="1">
        <f t="array" ref="CV410">_xlfn.IFS(AND($CN410=0, CQ410=FALSE), NA(), AND($CN410=1, CQ410=FALSE), 0, CQ410=TRUE, 1)</f>
        <v>1</v>
      </c>
    </row>
    <row r="411" spans="1:100" ht="15.75" x14ac:dyDescent="0.25">
      <c r="A411" s="8">
        <v>410</v>
      </c>
      <c r="B411" s="9">
        <v>331</v>
      </c>
      <c r="C411" s="10" t="s">
        <v>26</v>
      </c>
      <c r="D411" s="11" t="s">
        <v>275</v>
      </c>
      <c r="E411" s="12">
        <v>18061</v>
      </c>
      <c r="F411" s="13">
        <v>1</v>
      </c>
      <c r="G411" s="9">
        <v>66.970565795898438</v>
      </c>
      <c r="H411" s="12">
        <v>42522</v>
      </c>
      <c r="I411" s="9">
        <v>1</v>
      </c>
      <c r="J411" s="12">
        <v>42601</v>
      </c>
      <c r="K411" s="9">
        <v>0</v>
      </c>
      <c r="L411" s="9">
        <v>1</v>
      </c>
      <c r="M411" s="10" t="s">
        <v>401</v>
      </c>
      <c r="N411" s="9">
        <v>2</v>
      </c>
      <c r="O411" s="10" t="s">
        <v>145</v>
      </c>
      <c r="P411" s="9">
        <v>2</v>
      </c>
      <c r="Q411" s="10" t="s">
        <v>145</v>
      </c>
      <c r="R411" s="12">
        <v>42795</v>
      </c>
      <c r="S411" s="10" t="s">
        <v>146</v>
      </c>
      <c r="T411" s="9"/>
      <c r="U411" s="10" t="s">
        <v>401</v>
      </c>
      <c r="V411" s="10" t="s">
        <v>401</v>
      </c>
      <c r="W411" s="9"/>
      <c r="X411" s="9"/>
      <c r="Y411" s="9">
        <v>2</v>
      </c>
      <c r="Z411" s="14">
        <v>2</v>
      </c>
      <c r="AA411" s="32">
        <v>11.6</v>
      </c>
      <c r="AB411" s="33">
        <v>107</v>
      </c>
      <c r="AC411" s="33">
        <v>15</v>
      </c>
      <c r="AD411" s="9">
        <v>2</v>
      </c>
      <c r="AE411" s="9">
        <v>2</v>
      </c>
      <c r="AF411" s="9">
        <v>1</v>
      </c>
      <c r="AG411" s="9">
        <v>0</v>
      </c>
      <c r="AH411" s="9">
        <v>0</v>
      </c>
      <c r="AI411" s="9">
        <v>1</v>
      </c>
      <c r="AJ411" s="12">
        <v>43301</v>
      </c>
      <c r="AK411" s="9">
        <v>2</v>
      </c>
      <c r="AL411" s="12">
        <v>44181</v>
      </c>
      <c r="AM411" s="9">
        <v>3</v>
      </c>
      <c r="AN411" s="12">
        <v>43349</v>
      </c>
      <c r="AO411" s="12">
        <v>44278</v>
      </c>
      <c r="AP411" s="12">
        <v>44278</v>
      </c>
      <c r="AQ411" s="9">
        <v>1</v>
      </c>
      <c r="AR411" s="9">
        <f t="shared" si="149"/>
        <v>1</v>
      </c>
      <c r="AS411" s="9">
        <v>1</v>
      </c>
      <c r="AT411" s="9">
        <v>2</v>
      </c>
      <c r="AU411" s="9">
        <v>1</v>
      </c>
      <c r="AV411" s="9">
        <f t="shared" si="150"/>
        <v>0</v>
      </c>
      <c r="AW411" s="12">
        <v>44943</v>
      </c>
      <c r="AX411" s="9">
        <v>7030</v>
      </c>
      <c r="AY411" s="9">
        <v>4180</v>
      </c>
      <c r="AZ411" s="9">
        <v>1570</v>
      </c>
      <c r="BA411" s="9">
        <v>4180</v>
      </c>
      <c r="BB411" s="9">
        <v>1570</v>
      </c>
      <c r="BC411" s="9">
        <v>343000</v>
      </c>
      <c r="BD411" s="9">
        <v>670</v>
      </c>
      <c r="BE411" s="9">
        <v>540</v>
      </c>
      <c r="BF411" s="9">
        <v>242</v>
      </c>
      <c r="BG411" s="9">
        <v>5530</v>
      </c>
      <c r="BH411" s="9">
        <v>3180</v>
      </c>
      <c r="BI411" s="9">
        <v>1490</v>
      </c>
      <c r="BJ411" s="9">
        <v>192000</v>
      </c>
      <c r="BK411" s="9">
        <v>460</v>
      </c>
      <c r="BL411" s="9">
        <v>350</v>
      </c>
      <c r="BM411" s="9"/>
      <c r="BN411" s="9">
        <v>6100</v>
      </c>
      <c r="BO411" s="9">
        <v>2980</v>
      </c>
      <c r="BP411" s="9">
        <v>1840</v>
      </c>
      <c r="BQ411" s="9">
        <v>195000</v>
      </c>
      <c r="BR411" s="9">
        <v>580</v>
      </c>
      <c r="BS411" s="9">
        <v>650</v>
      </c>
      <c r="BT411" s="9"/>
      <c r="BU411" s="9">
        <v>5800</v>
      </c>
      <c r="BV411" s="9">
        <v>3280</v>
      </c>
      <c r="BW411" s="9">
        <v>1510</v>
      </c>
      <c r="BX411" s="9">
        <v>172000</v>
      </c>
      <c r="BY411" s="9">
        <v>480</v>
      </c>
      <c r="BZ411" s="10" t="s">
        <v>578</v>
      </c>
      <c r="CA411" s="9">
        <v>490</v>
      </c>
      <c r="CB411" s="9"/>
      <c r="CC411" s="10">
        <f t="shared" si="151"/>
        <v>2.6624203821656049</v>
      </c>
      <c r="CD411" s="10">
        <f t="shared" si="152"/>
        <v>218.47133757961782</v>
      </c>
      <c r="CE411" s="10">
        <f t="shared" si="164"/>
        <v>913210.19108280248</v>
      </c>
      <c r="CF411" s="10">
        <f t="shared" si="165"/>
        <v>1</v>
      </c>
      <c r="CG411" s="10">
        <f t="shared" si="146"/>
        <v>0</v>
      </c>
      <c r="CH411" s="10">
        <f t="shared" si="147"/>
        <v>29</v>
      </c>
      <c r="CI411" s="9">
        <f t="shared" si="153"/>
        <v>0</v>
      </c>
      <c r="CJ411" s="10">
        <f t="shared" si="148"/>
        <v>54</v>
      </c>
      <c r="CK411" s="10" t="b">
        <f t="shared" si="154"/>
        <v>1</v>
      </c>
      <c r="CL411" s="10" t="b">
        <f t="shared" si="155"/>
        <v>1</v>
      </c>
      <c r="CM411" s="10" t="b">
        <f t="shared" si="156"/>
        <v>1</v>
      </c>
      <c r="CN411" s="9">
        <f t="shared" si="157"/>
        <v>1</v>
      </c>
      <c r="CO411" s="10">
        <f>(YEAR(AO411)-YEAR(AJ411))*12+MONTH(AO411)-MONTH(AJ411)</f>
        <v>32</v>
      </c>
      <c r="CP411" s="10" t="b">
        <f t="shared" si="158"/>
        <v>1</v>
      </c>
      <c r="CQ411" s="10" t="b">
        <f t="shared" si="159"/>
        <v>1</v>
      </c>
      <c r="CR411" s="10" cm="1">
        <f t="array" ref="CR411">_xlfn.IFS(AND($CI411=0, CK411=FALSE), NA(), AND($CI411=1, CK411=FALSE), 0, CK411=TRUE, 1)</f>
        <v>1</v>
      </c>
      <c r="CS411" s="10" cm="1">
        <f t="array" ref="CS411">_xlfn.IFS(AND($CI411=0, CL411=FALSE), NA(), AND($CI411=1, CL411=FALSE), 0, CL411=TRUE, 1)</f>
        <v>1</v>
      </c>
      <c r="CT411" s="10" cm="1">
        <f t="array" ref="CT411">_xlfn.IFS(AND($CI411=0, CM411=FALSE), NA(), AND($CI411=1, CM411=FALSE), 0, CM411=TRUE, 1)</f>
        <v>1</v>
      </c>
      <c r="CU411" s="10" cm="1">
        <f t="array" ref="CU411">_xlfn.IFS(AND($CN411=0, CP411=FALSE), NA(), AND($CN411=1, CP411=FALSE), 0, CP411=TRUE, 1)</f>
        <v>1</v>
      </c>
      <c r="CV411" s="10" cm="1">
        <f t="array" ref="CV411">_xlfn.IFS(AND($CN411=0, CQ411=FALSE), NA(), AND($CN411=1, CQ411=FALSE), 0, CQ411=TRUE, 1)</f>
        <v>1</v>
      </c>
    </row>
    <row r="412" spans="1:100" ht="15.75" x14ac:dyDescent="0.25">
      <c r="A412" s="8">
        <v>411</v>
      </c>
      <c r="B412" s="9">
        <v>9</v>
      </c>
      <c r="C412" s="10" t="s">
        <v>3</v>
      </c>
      <c r="D412" s="11" t="s">
        <v>46</v>
      </c>
      <c r="E412" s="12">
        <v>11949</v>
      </c>
      <c r="F412" s="13">
        <v>1</v>
      </c>
      <c r="G412" s="9">
        <v>83.726211547851563</v>
      </c>
      <c r="H412" s="12">
        <v>42530</v>
      </c>
      <c r="I412" s="9">
        <v>1</v>
      </c>
      <c r="J412" s="12">
        <v>42538</v>
      </c>
      <c r="K412" s="9">
        <v>1</v>
      </c>
      <c r="L412" s="9">
        <v>1</v>
      </c>
      <c r="M412" s="10" t="s">
        <v>401</v>
      </c>
      <c r="N412" s="9">
        <v>2</v>
      </c>
      <c r="O412" s="10" t="s">
        <v>409</v>
      </c>
      <c r="P412" s="9">
        <v>2</v>
      </c>
      <c r="Q412" s="10" t="s">
        <v>409</v>
      </c>
      <c r="R412" s="12">
        <v>42531</v>
      </c>
      <c r="S412" s="10" t="s">
        <v>146</v>
      </c>
      <c r="T412" s="9"/>
      <c r="U412" s="10" t="s">
        <v>401</v>
      </c>
      <c r="V412" s="10" t="s">
        <v>401</v>
      </c>
      <c r="W412" s="9"/>
      <c r="X412" s="9"/>
      <c r="Y412" s="9">
        <v>2</v>
      </c>
      <c r="Z412" s="14">
        <v>2</v>
      </c>
      <c r="AA412" s="15">
        <v>11.1</v>
      </c>
      <c r="AB412" s="16">
        <v>103.3</v>
      </c>
      <c r="AC412" s="9"/>
      <c r="AD412" s="9">
        <v>2</v>
      </c>
      <c r="AE412" s="9">
        <v>2</v>
      </c>
      <c r="AF412" s="9">
        <v>1</v>
      </c>
      <c r="AG412" s="9">
        <v>1</v>
      </c>
      <c r="AH412" s="9">
        <v>1</v>
      </c>
      <c r="AI412" s="9">
        <v>0</v>
      </c>
      <c r="AJ412" s="12">
        <v>42885</v>
      </c>
      <c r="AK412" s="9">
        <v>2</v>
      </c>
      <c r="AL412" s="12">
        <v>42941</v>
      </c>
      <c r="AM412" s="9">
        <v>2</v>
      </c>
      <c r="AN412" s="12">
        <v>42934</v>
      </c>
      <c r="AO412" s="12"/>
      <c r="AP412" s="12"/>
      <c r="AQ412" s="9">
        <v>2</v>
      </c>
      <c r="AR412" s="9">
        <f t="shared" si="149"/>
        <v>0</v>
      </c>
      <c r="AS412" s="9">
        <v>2</v>
      </c>
      <c r="AT412" s="9"/>
      <c r="AU412" s="9">
        <v>2</v>
      </c>
      <c r="AV412" s="9">
        <f t="shared" si="150"/>
        <v>1</v>
      </c>
      <c r="AW412" s="12">
        <v>43491</v>
      </c>
      <c r="AX412" s="9">
        <v>6900</v>
      </c>
      <c r="AY412" s="9">
        <v>4800</v>
      </c>
      <c r="AZ412" s="9">
        <v>1200</v>
      </c>
      <c r="BA412" s="9">
        <v>4800</v>
      </c>
      <c r="BB412" s="9">
        <v>1200.0001220703125</v>
      </c>
      <c r="BC412" s="9">
        <v>245000</v>
      </c>
      <c r="BD412" s="9">
        <v>700</v>
      </c>
      <c r="BE412" s="9">
        <v>190</v>
      </c>
      <c r="BF412" s="9"/>
      <c r="BG412" s="9">
        <v>6910</v>
      </c>
      <c r="BH412" s="9">
        <v>4070</v>
      </c>
      <c r="BI412" s="9">
        <v>1710</v>
      </c>
      <c r="BJ412" s="9">
        <v>262000</v>
      </c>
      <c r="BK412" s="9">
        <v>870</v>
      </c>
      <c r="BL412" s="9">
        <v>240</v>
      </c>
      <c r="BM412" s="9"/>
      <c r="BN412" s="9">
        <v>7860</v>
      </c>
      <c r="BO412" s="9">
        <v>5000</v>
      </c>
      <c r="BP412" s="9">
        <v>1610</v>
      </c>
      <c r="BQ412" s="9">
        <v>149000</v>
      </c>
      <c r="BR412" s="9">
        <v>1030</v>
      </c>
      <c r="BS412" s="9">
        <v>210</v>
      </c>
      <c r="BT412" s="9"/>
      <c r="BU412" s="9">
        <v>7360</v>
      </c>
      <c r="BV412" s="9">
        <v>4730</v>
      </c>
      <c r="BW412" s="9">
        <v>1690</v>
      </c>
      <c r="BX412" s="9">
        <v>206000</v>
      </c>
      <c r="BY412" s="9">
        <v>670</v>
      </c>
      <c r="BZ412" s="10" t="s">
        <v>538</v>
      </c>
      <c r="CA412" s="9">
        <v>250</v>
      </c>
      <c r="CB412" s="9"/>
      <c r="CC412" s="10">
        <f t="shared" si="151"/>
        <v>3.9999995930989996</v>
      </c>
      <c r="CD412" s="10">
        <f t="shared" si="152"/>
        <v>204.16664589776144</v>
      </c>
      <c r="CE412" s="10">
        <f t="shared" si="164"/>
        <v>979999.90030925488</v>
      </c>
      <c r="CF412" s="10">
        <f t="shared" si="165"/>
        <v>1</v>
      </c>
      <c r="CG412" s="10">
        <f t="shared" si="146"/>
        <v>1</v>
      </c>
      <c r="CH412" s="10">
        <f t="shared" si="147"/>
        <v>2</v>
      </c>
      <c r="CI412" s="9">
        <f t="shared" si="153"/>
        <v>1</v>
      </c>
      <c r="CJ412" s="10">
        <f t="shared" si="148"/>
        <v>20</v>
      </c>
      <c r="CK412" s="10" t="b">
        <f t="shared" si="154"/>
        <v>1</v>
      </c>
      <c r="CL412" s="10" t="b">
        <f t="shared" si="155"/>
        <v>1</v>
      </c>
      <c r="CM412" s="10" t="b">
        <f t="shared" si="156"/>
        <v>0</v>
      </c>
      <c r="CN412" s="9">
        <f t="shared" si="157"/>
        <v>0</v>
      </c>
      <c r="CO412" s="10">
        <f>CJ412</f>
        <v>20</v>
      </c>
      <c r="CP412" s="10" t="b">
        <f t="shared" si="158"/>
        <v>1</v>
      </c>
      <c r="CQ412" s="10" t="b">
        <f t="shared" si="159"/>
        <v>1</v>
      </c>
      <c r="CR412" s="10" cm="1">
        <f t="array" ref="CR412">_xlfn.IFS(AND($CI412=0, CK412=FALSE), NA(), AND($CI412=1, CK412=FALSE), 0, CK412=TRUE, 1)</f>
        <v>1</v>
      </c>
      <c r="CS412" s="10" cm="1">
        <f t="array" ref="CS412">_xlfn.IFS(AND($CI412=0, CL412=FALSE), NA(), AND($CI412=1, CL412=FALSE), 0, CL412=TRUE, 1)</f>
        <v>1</v>
      </c>
      <c r="CT412" s="10" cm="1">
        <f t="array" ref="CT412">_xlfn.IFS(AND($CI412=0, CM412=FALSE), NA(), AND($CI412=1, CM412=FALSE), 0, CM412=TRUE, 1)</f>
        <v>0</v>
      </c>
      <c r="CU412" s="10" cm="1">
        <f t="array" ref="CU412">_xlfn.IFS(AND($CN412=0, CP412=FALSE), NA(), AND($CN412=1, CP412=FALSE), 0, CP412=TRUE, 1)</f>
        <v>1</v>
      </c>
      <c r="CV412" s="10" cm="1">
        <f t="array" ref="CV412">_xlfn.IFS(AND($CN412=0, CQ412=FALSE), NA(), AND($CN412=1, CQ412=FALSE), 0, CQ412=TRUE, 1)</f>
        <v>1</v>
      </c>
    </row>
    <row r="413" spans="1:100" ht="15.75" x14ac:dyDescent="0.25">
      <c r="A413" s="8">
        <v>412</v>
      </c>
      <c r="B413" s="9">
        <v>523</v>
      </c>
      <c r="C413" s="10" t="s">
        <v>33</v>
      </c>
      <c r="D413" s="11" t="s">
        <v>140</v>
      </c>
      <c r="E413" s="12">
        <v>15312</v>
      </c>
      <c r="F413" s="13">
        <v>1</v>
      </c>
      <c r="G413" s="9">
        <v>74.532508850097656</v>
      </c>
      <c r="H413" s="12">
        <v>42535</v>
      </c>
      <c r="I413" s="9">
        <v>0</v>
      </c>
      <c r="J413" s="12"/>
      <c r="K413" s="9">
        <v>1</v>
      </c>
      <c r="L413" s="9">
        <v>4</v>
      </c>
      <c r="M413" s="10" t="s">
        <v>402</v>
      </c>
      <c r="N413" s="9">
        <v>2</v>
      </c>
      <c r="O413" s="10" t="s">
        <v>146</v>
      </c>
      <c r="P413" s="9">
        <v>2</v>
      </c>
      <c r="Q413" s="10" t="s">
        <v>146</v>
      </c>
      <c r="R413" s="12">
        <v>42535</v>
      </c>
      <c r="S413" s="10" t="s">
        <v>145</v>
      </c>
      <c r="T413" s="9"/>
      <c r="U413" s="10" t="s">
        <v>401</v>
      </c>
      <c r="V413" s="10" t="s">
        <v>401</v>
      </c>
      <c r="W413" s="9"/>
      <c r="X413" s="9"/>
      <c r="Y413" s="9">
        <v>2</v>
      </c>
      <c r="Z413" s="14">
        <v>1</v>
      </c>
      <c r="AA413" s="15">
        <v>9.6</v>
      </c>
      <c r="AB413" s="16">
        <v>93</v>
      </c>
      <c r="AC413" s="16">
        <v>16</v>
      </c>
      <c r="AD413" s="9">
        <v>2</v>
      </c>
      <c r="AE413" s="9">
        <v>2</v>
      </c>
      <c r="AF413" s="9">
        <v>1</v>
      </c>
      <c r="AG413" s="9">
        <v>1</v>
      </c>
      <c r="AH413" s="9">
        <v>1</v>
      </c>
      <c r="AI413" s="9">
        <v>1</v>
      </c>
      <c r="AJ413" s="12">
        <v>42829</v>
      </c>
      <c r="AK413" s="9">
        <v>2</v>
      </c>
      <c r="AL413" s="12">
        <v>42984</v>
      </c>
      <c r="AM413" s="9">
        <v>4</v>
      </c>
      <c r="AN413" s="12">
        <v>42807</v>
      </c>
      <c r="AO413" s="12">
        <v>42999</v>
      </c>
      <c r="AP413" s="12">
        <v>42999</v>
      </c>
      <c r="AQ413" s="9">
        <v>1</v>
      </c>
      <c r="AR413" s="9">
        <f t="shared" si="149"/>
        <v>1</v>
      </c>
      <c r="AS413" s="9">
        <v>1</v>
      </c>
      <c r="AT413" s="9">
        <v>2</v>
      </c>
      <c r="AU413" s="9">
        <v>1</v>
      </c>
      <c r="AV413" s="9">
        <f t="shared" si="150"/>
        <v>0</v>
      </c>
      <c r="AW413" s="12">
        <v>42999</v>
      </c>
      <c r="AX413" s="9"/>
      <c r="AY413" s="9"/>
      <c r="AZ413" s="9"/>
      <c r="BA413" s="9">
        <v>4569.13134765625</v>
      </c>
      <c r="BB413" s="9">
        <v>1029.6630859375</v>
      </c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10" t="s">
        <v>401</v>
      </c>
      <c r="CA413" s="9"/>
      <c r="CB413" s="9"/>
      <c r="CC413" s="10">
        <f t="shared" si="151"/>
        <v>4.4375013633669234</v>
      </c>
      <c r="CF413" s="10">
        <f t="shared" si="165"/>
        <v>0</v>
      </c>
      <c r="CG413" s="10">
        <f t="shared" si="146"/>
        <v>0</v>
      </c>
      <c r="CH413" s="10">
        <f t="shared" si="147"/>
        <v>5</v>
      </c>
      <c r="CI413" s="9">
        <f t="shared" si="153"/>
        <v>0</v>
      </c>
      <c r="CJ413" s="10">
        <f t="shared" si="148"/>
        <v>5</v>
      </c>
      <c r="CK413" s="10" t="b">
        <f t="shared" si="154"/>
        <v>0</v>
      </c>
      <c r="CL413" s="10" t="b">
        <f t="shared" si="155"/>
        <v>0</v>
      </c>
      <c r="CM413" s="10" t="b">
        <f t="shared" si="156"/>
        <v>0</v>
      </c>
      <c r="CN413" s="9">
        <f t="shared" si="157"/>
        <v>1</v>
      </c>
      <c r="CO413" s="10">
        <f t="shared" ref="CO413:CO429" si="166">(YEAR(AO413)-YEAR(AJ413))*12+MONTH(AO413)-MONTH(AJ413)</f>
        <v>5</v>
      </c>
      <c r="CP413" s="10" t="b">
        <f t="shared" si="158"/>
        <v>1</v>
      </c>
      <c r="CQ413" s="10" t="b">
        <f t="shared" si="159"/>
        <v>0</v>
      </c>
      <c r="CR413" s="10" t="e" cm="1">
        <f t="array" ref="CR413">_xlfn.IFS(AND($CI413=0, CK413=FALSE), NA(), AND($CI413=1, CK413=FALSE), 0, CK413=TRUE, 1)</f>
        <v>#N/A</v>
      </c>
      <c r="CS413" s="10" t="e" cm="1">
        <f t="array" ref="CS413">_xlfn.IFS(AND($CI413=0, CL413=FALSE), NA(), AND($CI413=1, CL413=FALSE), 0, CL413=TRUE, 1)</f>
        <v>#N/A</v>
      </c>
      <c r="CT413" s="10" t="e" cm="1">
        <f t="array" ref="CT413">_xlfn.IFS(AND($CI413=0, CM413=FALSE), NA(), AND($CI413=1, CM413=FALSE), 0, CM413=TRUE, 1)</f>
        <v>#N/A</v>
      </c>
      <c r="CU413" s="10" cm="1">
        <f t="array" ref="CU413">_xlfn.IFS(AND($CN413=0, CP413=FALSE), NA(), AND($CN413=1, CP413=FALSE), 0, CP413=TRUE, 1)</f>
        <v>1</v>
      </c>
      <c r="CV413" s="10" cm="1">
        <f t="array" ref="CV413">_xlfn.IFS(AND($CN413=0, CQ413=FALSE), NA(), AND($CN413=1, CQ413=FALSE), 0, CQ413=TRUE, 1)</f>
        <v>0</v>
      </c>
    </row>
    <row r="414" spans="1:100" x14ac:dyDescent="0.25">
      <c r="A414" s="8">
        <v>413</v>
      </c>
      <c r="B414" s="9">
        <v>117</v>
      </c>
      <c r="C414" s="10" t="s">
        <v>12</v>
      </c>
      <c r="D414" s="11" t="s">
        <v>75</v>
      </c>
      <c r="E414" s="12">
        <v>17521</v>
      </c>
      <c r="F414" s="13">
        <v>1</v>
      </c>
      <c r="G414" s="9">
        <v>68.487335205078125</v>
      </c>
      <c r="H414" s="12">
        <v>42536</v>
      </c>
      <c r="I414" s="9">
        <v>0</v>
      </c>
      <c r="J414" s="12"/>
      <c r="K414" s="9">
        <v>1</v>
      </c>
      <c r="L414" s="9">
        <v>1</v>
      </c>
      <c r="M414" s="10" t="s">
        <v>401</v>
      </c>
      <c r="N414" s="9">
        <v>2</v>
      </c>
      <c r="O414" s="10" t="s">
        <v>145</v>
      </c>
      <c r="P414" s="9">
        <v>2</v>
      </c>
      <c r="Q414" s="10" t="s">
        <v>145</v>
      </c>
      <c r="R414" s="12">
        <v>42536</v>
      </c>
      <c r="S414" s="10" t="s">
        <v>145</v>
      </c>
      <c r="T414" s="9"/>
      <c r="U414" s="10" t="s">
        <v>401</v>
      </c>
      <c r="V414" s="10" t="s">
        <v>401</v>
      </c>
      <c r="W414" s="9"/>
      <c r="X414" s="9"/>
      <c r="Y414" s="9">
        <v>2</v>
      </c>
      <c r="Z414" s="19">
        <v>1</v>
      </c>
      <c r="AB414" s="9"/>
      <c r="AC414" s="9"/>
      <c r="AD414" s="9">
        <v>2</v>
      </c>
      <c r="AE414" s="9">
        <v>2</v>
      </c>
      <c r="AF414" s="9">
        <v>1</v>
      </c>
      <c r="AG414" s="9">
        <v>0</v>
      </c>
      <c r="AH414" s="9">
        <v>1</v>
      </c>
      <c r="AI414" s="9">
        <v>0</v>
      </c>
      <c r="AJ414" s="12">
        <v>42880</v>
      </c>
      <c r="AK414" s="9">
        <v>1</v>
      </c>
      <c r="AL414" s="12">
        <v>43938</v>
      </c>
      <c r="AM414" s="9">
        <v>3</v>
      </c>
      <c r="AN414" s="12">
        <v>42984</v>
      </c>
      <c r="AO414" s="12">
        <v>43478</v>
      </c>
      <c r="AP414" s="12"/>
      <c r="AQ414" s="9">
        <v>1</v>
      </c>
      <c r="AR414" s="9">
        <f t="shared" si="149"/>
        <v>1</v>
      </c>
      <c r="AS414" s="9">
        <v>2</v>
      </c>
      <c r="AT414" s="9">
        <v>1</v>
      </c>
      <c r="AU414" s="9">
        <v>1</v>
      </c>
      <c r="AV414" s="9">
        <f t="shared" si="150"/>
        <v>0</v>
      </c>
      <c r="AW414" s="12">
        <v>43938</v>
      </c>
      <c r="AX414" s="9">
        <v>4120</v>
      </c>
      <c r="AY414" s="9">
        <v>3050</v>
      </c>
      <c r="AZ414" s="9">
        <v>750</v>
      </c>
      <c r="BA414" s="9">
        <v>3050</v>
      </c>
      <c r="BB414" s="9">
        <v>750.00006103515625</v>
      </c>
      <c r="BC414" s="9">
        <v>135000</v>
      </c>
      <c r="BD414" s="9">
        <v>300</v>
      </c>
      <c r="BE414" s="9">
        <v>10</v>
      </c>
      <c r="BF414" s="9"/>
      <c r="BG414" s="9">
        <v>4690</v>
      </c>
      <c r="BH414" s="9">
        <v>3350</v>
      </c>
      <c r="BI414" s="9">
        <v>900</v>
      </c>
      <c r="BJ414" s="9">
        <v>266000</v>
      </c>
      <c r="BK414" s="9">
        <v>410</v>
      </c>
      <c r="BL414" s="9">
        <v>30</v>
      </c>
      <c r="BM414" s="9"/>
      <c r="BN414" s="9">
        <v>8030</v>
      </c>
      <c r="BO414" s="9">
        <v>6120</v>
      </c>
      <c r="BP414" s="9">
        <v>1240</v>
      </c>
      <c r="BQ414" s="9">
        <v>282000</v>
      </c>
      <c r="BR414" s="9">
        <v>630</v>
      </c>
      <c r="BS414" s="9">
        <v>20</v>
      </c>
      <c r="BT414" s="9"/>
      <c r="BU414" s="9">
        <v>6480</v>
      </c>
      <c r="BV414" s="9">
        <v>4620</v>
      </c>
      <c r="BW414" s="9">
        <v>1280</v>
      </c>
      <c r="BX414" s="9">
        <v>332000</v>
      </c>
      <c r="BY414" s="9">
        <v>450</v>
      </c>
      <c r="BZ414" s="10" t="s">
        <v>525</v>
      </c>
      <c r="CA414" s="9">
        <v>100</v>
      </c>
      <c r="CB414" s="9"/>
      <c r="CC414" s="10">
        <f t="shared" si="151"/>
        <v>4.0666663357205133</v>
      </c>
      <c r="CD414" s="10">
        <f t="shared" si="152"/>
        <v>179.99998535156368</v>
      </c>
      <c r="CE414" s="10">
        <f t="shared" ref="CE414:CE440" si="167">BC414*CC414</f>
        <v>548999.95532226935</v>
      </c>
      <c r="CF414" s="10">
        <f t="shared" si="165"/>
        <v>1</v>
      </c>
      <c r="CG414" s="10">
        <f t="shared" si="146"/>
        <v>0</v>
      </c>
      <c r="CH414" s="10">
        <f t="shared" si="147"/>
        <v>35</v>
      </c>
      <c r="CI414" s="9">
        <f t="shared" si="153"/>
        <v>0</v>
      </c>
      <c r="CJ414" s="10">
        <f t="shared" si="148"/>
        <v>35</v>
      </c>
      <c r="CK414" s="10" t="b">
        <f t="shared" si="154"/>
        <v>1</v>
      </c>
      <c r="CL414" s="10" t="b">
        <f t="shared" si="155"/>
        <v>1</v>
      </c>
      <c r="CM414" s="10" t="b">
        <f t="shared" si="156"/>
        <v>1</v>
      </c>
      <c r="CN414" s="9">
        <f t="shared" si="157"/>
        <v>1</v>
      </c>
      <c r="CO414" s="10">
        <f t="shared" si="166"/>
        <v>20</v>
      </c>
      <c r="CP414" s="10" t="b">
        <f t="shared" si="158"/>
        <v>1</v>
      </c>
      <c r="CQ414" s="10" t="b">
        <f t="shared" si="159"/>
        <v>1</v>
      </c>
      <c r="CR414" s="10" cm="1">
        <f t="array" ref="CR414">_xlfn.IFS(AND($CI414=0, CK414=FALSE), NA(), AND($CI414=1, CK414=FALSE), 0, CK414=TRUE, 1)</f>
        <v>1</v>
      </c>
      <c r="CS414" s="10" cm="1">
        <f t="array" ref="CS414">_xlfn.IFS(AND($CI414=0, CL414=FALSE), NA(), AND($CI414=1, CL414=FALSE), 0, CL414=TRUE, 1)</f>
        <v>1</v>
      </c>
      <c r="CT414" s="10" cm="1">
        <f t="array" ref="CT414">_xlfn.IFS(AND($CI414=0, CM414=FALSE), NA(), AND($CI414=1, CM414=FALSE), 0, CM414=TRUE, 1)</f>
        <v>1</v>
      </c>
      <c r="CU414" s="10" cm="1">
        <f t="array" ref="CU414">_xlfn.IFS(AND($CN414=0, CP414=FALSE), NA(), AND($CN414=1, CP414=FALSE), 0, CP414=TRUE, 1)</f>
        <v>1</v>
      </c>
      <c r="CV414" s="10" cm="1">
        <f t="array" ref="CV414">_xlfn.IFS(AND($CN414=0, CQ414=FALSE), NA(), AND($CN414=1, CQ414=FALSE), 0, CQ414=TRUE, 1)</f>
        <v>1</v>
      </c>
    </row>
    <row r="415" spans="1:100" x14ac:dyDescent="0.25">
      <c r="A415" s="8">
        <v>414</v>
      </c>
      <c r="B415" s="9">
        <v>488</v>
      </c>
      <c r="C415" s="10" t="s">
        <v>31</v>
      </c>
      <c r="D415" s="11" t="s">
        <v>369</v>
      </c>
      <c r="E415" s="12"/>
      <c r="F415" s="13">
        <v>1</v>
      </c>
      <c r="G415" s="9">
        <v>64</v>
      </c>
      <c r="H415" s="12">
        <v>42536</v>
      </c>
      <c r="I415" s="9">
        <v>1</v>
      </c>
      <c r="J415" s="12">
        <v>42536</v>
      </c>
      <c r="K415" s="9">
        <v>1</v>
      </c>
      <c r="L415" s="9">
        <v>1</v>
      </c>
      <c r="M415" s="10" t="s">
        <v>401</v>
      </c>
      <c r="N415" s="9">
        <v>2</v>
      </c>
      <c r="O415" s="10" t="s">
        <v>145</v>
      </c>
      <c r="P415" s="9">
        <v>2</v>
      </c>
      <c r="Q415" s="10" t="s">
        <v>145</v>
      </c>
      <c r="R415" s="12">
        <v>42546</v>
      </c>
      <c r="S415" s="10" t="s">
        <v>146</v>
      </c>
      <c r="T415" s="9"/>
      <c r="U415" s="10" t="s">
        <v>401</v>
      </c>
      <c r="V415" s="10" t="s">
        <v>401</v>
      </c>
      <c r="W415" s="9"/>
      <c r="X415" s="9"/>
      <c r="Y415" s="9">
        <v>2</v>
      </c>
      <c r="Z415" s="19">
        <v>2</v>
      </c>
      <c r="AB415" s="9"/>
      <c r="AC415" s="9"/>
      <c r="AD415" s="9">
        <v>2</v>
      </c>
      <c r="AE415" s="9">
        <v>2</v>
      </c>
      <c r="AF415" s="9">
        <v>1</v>
      </c>
      <c r="AG415" s="9">
        <v>0</v>
      </c>
      <c r="AH415" s="9">
        <v>1</v>
      </c>
      <c r="AI415" s="9">
        <v>0</v>
      </c>
      <c r="AJ415" s="12">
        <v>43039</v>
      </c>
      <c r="AK415" s="9">
        <v>2</v>
      </c>
      <c r="AL415" s="12">
        <v>44207</v>
      </c>
      <c r="AM415" s="9">
        <v>2</v>
      </c>
      <c r="AN415" s="12">
        <v>43124</v>
      </c>
      <c r="AO415" s="12">
        <v>44138</v>
      </c>
      <c r="AP415" s="12">
        <v>44224</v>
      </c>
      <c r="AQ415" s="9">
        <v>1</v>
      </c>
      <c r="AR415" s="9">
        <f t="shared" si="149"/>
        <v>1</v>
      </c>
      <c r="AS415" s="9">
        <v>1</v>
      </c>
      <c r="AT415" s="9">
        <v>1</v>
      </c>
      <c r="AU415" s="9">
        <v>1</v>
      </c>
      <c r="AV415" s="9">
        <f t="shared" si="150"/>
        <v>0</v>
      </c>
      <c r="AW415" s="12">
        <v>44953</v>
      </c>
      <c r="AX415" s="9">
        <v>8170</v>
      </c>
      <c r="AY415" s="9">
        <v>4590</v>
      </c>
      <c r="AZ415" s="9">
        <v>2520</v>
      </c>
      <c r="BA415" s="9">
        <v>4590</v>
      </c>
      <c r="BB415" s="9">
        <v>2519.999755859375</v>
      </c>
      <c r="BC415" s="9">
        <v>145000</v>
      </c>
      <c r="BD415" s="9">
        <v>680</v>
      </c>
      <c r="BE415" s="9">
        <v>290</v>
      </c>
      <c r="BF415" s="9">
        <v>380</v>
      </c>
      <c r="BG415" s="9">
        <v>7340</v>
      </c>
      <c r="BH415" s="9">
        <v>4330</v>
      </c>
      <c r="BI415" s="9">
        <v>2000</v>
      </c>
      <c r="BJ415" s="9">
        <v>163000</v>
      </c>
      <c r="BK415" s="9">
        <v>600</v>
      </c>
      <c r="BL415" s="9">
        <v>340</v>
      </c>
      <c r="BM415" s="9">
        <v>444</v>
      </c>
      <c r="BN415" s="9">
        <v>8450</v>
      </c>
      <c r="BO415" s="9">
        <v>4610</v>
      </c>
      <c r="BP415" s="9">
        <v>2550</v>
      </c>
      <c r="BQ415" s="9">
        <v>162000</v>
      </c>
      <c r="BR415" s="9">
        <v>870</v>
      </c>
      <c r="BS415" s="9">
        <v>360</v>
      </c>
      <c r="BT415" s="9">
        <v>372</v>
      </c>
      <c r="BU415" s="9">
        <v>7110</v>
      </c>
      <c r="BV415" s="9">
        <v>4130</v>
      </c>
      <c r="BW415" s="9">
        <v>1870</v>
      </c>
      <c r="BX415" s="9">
        <v>155000</v>
      </c>
      <c r="BY415" s="9">
        <v>750</v>
      </c>
      <c r="BZ415" s="10" t="s">
        <v>548</v>
      </c>
      <c r="CA415" s="9">
        <v>290</v>
      </c>
      <c r="CB415" s="9">
        <v>373</v>
      </c>
      <c r="CC415" s="10">
        <f t="shared" si="151"/>
        <v>1.8214287478907749</v>
      </c>
      <c r="CD415" s="10">
        <f t="shared" si="152"/>
        <v>57.539688114196593</v>
      </c>
      <c r="CE415" s="10">
        <f t="shared" si="167"/>
        <v>264107.16844416235</v>
      </c>
      <c r="CF415" s="10">
        <f t="shared" si="165"/>
        <v>1</v>
      </c>
      <c r="CG415" s="10">
        <f t="shared" si="146"/>
        <v>1</v>
      </c>
      <c r="CH415" s="10">
        <f t="shared" si="147"/>
        <v>39</v>
      </c>
      <c r="CI415" s="9">
        <f t="shared" si="153"/>
        <v>0</v>
      </c>
      <c r="CJ415" s="10">
        <f t="shared" si="148"/>
        <v>63</v>
      </c>
      <c r="CK415" s="10" t="b">
        <f t="shared" si="154"/>
        <v>1</v>
      </c>
      <c r="CL415" s="10" t="b">
        <f t="shared" si="155"/>
        <v>1</v>
      </c>
      <c r="CM415" s="10" t="b">
        <f t="shared" si="156"/>
        <v>1</v>
      </c>
      <c r="CN415" s="9">
        <f t="shared" si="157"/>
        <v>1</v>
      </c>
      <c r="CO415" s="10">
        <f t="shared" si="166"/>
        <v>37</v>
      </c>
      <c r="CP415" s="10" t="b">
        <f t="shared" si="158"/>
        <v>1</v>
      </c>
      <c r="CQ415" s="10" t="b">
        <f t="shared" si="159"/>
        <v>1</v>
      </c>
      <c r="CR415" s="10" cm="1">
        <f t="array" ref="CR415">_xlfn.IFS(AND($CI415=0, CK415=FALSE), NA(), AND($CI415=1, CK415=FALSE), 0, CK415=TRUE, 1)</f>
        <v>1</v>
      </c>
      <c r="CS415" s="10" cm="1">
        <f t="array" ref="CS415">_xlfn.IFS(AND($CI415=0, CL415=FALSE), NA(), AND($CI415=1, CL415=FALSE), 0, CL415=TRUE, 1)</f>
        <v>1</v>
      </c>
      <c r="CT415" s="10" cm="1">
        <f t="array" ref="CT415">_xlfn.IFS(AND($CI415=0, CM415=FALSE), NA(), AND($CI415=1, CM415=FALSE), 0, CM415=TRUE, 1)</f>
        <v>1</v>
      </c>
      <c r="CU415" s="10" cm="1">
        <f t="array" ref="CU415">_xlfn.IFS(AND($CN415=0, CP415=FALSE), NA(), AND($CN415=1, CP415=FALSE), 0, CP415=TRUE, 1)</f>
        <v>1</v>
      </c>
      <c r="CV415" s="10" cm="1">
        <f t="array" ref="CV415">_xlfn.IFS(AND($CN415=0, CQ415=FALSE), NA(), AND($CN415=1, CQ415=FALSE), 0, CQ415=TRUE, 1)</f>
        <v>1</v>
      </c>
    </row>
    <row r="416" spans="1:100" ht="15.75" x14ac:dyDescent="0.25">
      <c r="A416" s="8">
        <v>415</v>
      </c>
      <c r="B416" s="9">
        <v>231</v>
      </c>
      <c r="C416" s="10" t="s">
        <v>20</v>
      </c>
      <c r="D416" s="11" t="s">
        <v>227</v>
      </c>
      <c r="E416" s="12">
        <v>18937</v>
      </c>
      <c r="F416" s="13">
        <v>2</v>
      </c>
      <c r="G416" s="9">
        <v>64.610542297363281</v>
      </c>
      <c r="H416" s="12">
        <v>42536</v>
      </c>
      <c r="I416" s="9">
        <v>1</v>
      </c>
      <c r="J416" s="12">
        <v>42536</v>
      </c>
      <c r="K416" s="9">
        <v>1</v>
      </c>
      <c r="L416" s="9">
        <v>1</v>
      </c>
      <c r="M416" s="10" t="s">
        <v>401</v>
      </c>
      <c r="N416" s="9">
        <v>2</v>
      </c>
      <c r="O416" s="10" t="s">
        <v>145</v>
      </c>
      <c r="P416" s="9">
        <v>2</v>
      </c>
      <c r="Q416" s="10" t="s">
        <v>145</v>
      </c>
      <c r="R416" s="12">
        <v>42655</v>
      </c>
      <c r="S416" s="10" t="s">
        <v>146</v>
      </c>
      <c r="T416" s="9"/>
      <c r="U416" s="10" t="s">
        <v>401</v>
      </c>
      <c r="V416" s="10" t="s">
        <v>401</v>
      </c>
      <c r="W416" s="9"/>
      <c r="X416" s="9"/>
      <c r="Y416" s="9">
        <v>2</v>
      </c>
      <c r="Z416" s="14">
        <v>2</v>
      </c>
      <c r="AB416" s="9"/>
      <c r="AC416" s="9"/>
      <c r="AD416" s="9">
        <v>2</v>
      </c>
      <c r="AE416" s="9">
        <v>2</v>
      </c>
      <c r="AF416" s="9">
        <v>2</v>
      </c>
      <c r="AG416" s="9">
        <v>0</v>
      </c>
      <c r="AH416" s="9">
        <v>0</v>
      </c>
      <c r="AI416" s="9">
        <v>1</v>
      </c>
      <c r="AJ416" s="12">
        <v>43558</v>
      </c>
      <c r="AK416" s="9">
        <v>2</v>
      </c>
      <c r="AL416" s="12">
        <v>43629</v>
      </c>
      <c r="AM416" s="9">
        <v>4</v>
      </c>
      <c r="AN416" s="12">
        <v>43631</v>
      </c>
      <c r="AO416" s="12">
        <v>43631</v>
      </c>
      <c r="AP416" s="12">
        <v>43631</v>
      </c>
      <c r="AQ416" s="9">
        <v>1</v>
      </c>
      <c r="AR416" s="9">
        <f t="shared" si="149"/>
        <v>1</v>
      </c>
      <c r="AS416" s="9">
        <v>1</v>
      </c>
      <c r="AT416" s="9">
        <v>2</v>
      </c>
      <c r="AU416" s="9">
        <v>2</v>
      </c>
      <c r="AV416" s="9">
        <f t="shared" si="150"/>
        <v>1</v>
      </c>
      <c r="AW416" s="12">
        <v>43641</v>
      </c>
      <c r="AX416" s="9">
        <v>4400</v>
      </c>
      <c r="AY416" s="9">
        <v>3124</v>
      </c>
      <c r="AZ416" s="9"/>
      <c r="BA416" s="9">
        <v>3124</v>
      </c>
      <c r="BB416" s="9">
        <v>780.49237060546875</v>
      </c>
      <c r="BC416" s="9">
        <v>317000</v>
      </c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>
        <v>5700</v>
      </c>
      <c r="BO416" s="9">
        <v>4731</v>
      </c>
      <c r="BP416" s="9"/>
      <c r="BQ416" s="9">
        <v>91000</v>
      </c>
      <c r="BR416" s="9"/>
      <c r="BS416" s="9"/>
      <c r="BT416" s="9"/>
      <c r="BU416" s="9"/>
      <c r="BV416" s="9"/>
      <c r="BW416" s="9"/>
      <c r="BX416" s="9"/>
      <c r="BY416" s="9"/>
      <c r="BZ416" s="10" t="s">
        <v>401</v>
      </c>
      <c r="CA416" s="9"/>
      <c r="CB416" s="9"/>
      <c r="CC416" s="10">
        <f t="shared" si="151"/>
        <v>4.0026015854281187</v>
      </c>
      <c r="CD416" s="10">
        <f t="shared" si="152"/>
        <v>406.15387406552935</v>
      </c>
      <c r="CE416" s="10">
        <f t="shared" si="167"/>
        <v>1268824.7025807137</v>
      </c>
      <c r="CF416" s="10">
        <f t="shared" si="165"/>
        <v>0</v>
      </c>
      <c r="CG416" s="10">
        <f t="shared" si="146"/>
        <v>0</v>
      </c>
      <c r="CH416" s="10">
        <f t="shared" si="147"/>
        <v>2</v>
      </c>
      <c r="CI416" s="9">
        <f t="shared" si="153"/>
        <v>1</v>
      </c>
      <c r="CJ416" s="10">
        <f t="shared" si="148"/>
        <v>2</v>
      </c>
      <c r="CK416" s="10" t="b">
        <f t="shared" si="154"/>
        <v>0</v>
      </c>
      <c r="CL416" s="10" t="b">
        <f t="shared" si="155"/>
        <v>0</v>
      </c>
      <c r="CM416" s="10" t="b">
        <f t="shared" si="156"/>
        <v>0</v>
      </c>
      <c r="CN416" s="9">
        <f t="shared" si="157"/>
        <v>1</v>
      </c>
      <c r="CO416" s="10">
        <f t="shared" si="166"/>
        <v>2</v>
      </c>
      <c r="CP416" s="10" t="b">
        <f t="shared" si="158"/>
        <v>0</v>
      </c>
      <c r="CQ416" s="10" t="b">
        <f t="shared" si="159"/>
        <v>0</v>
      </c>
      <c r="CR416" s="10" cm="1">
        <f t="array" ref="CR416">_xlfn.IFS(AND($CI416=0, CK416=FALSE), NA(), AND($CI416=1, CK416=FALSE), 0, CK416=TRUE, 1)</f>
        <v>0</v>
      </c>
      <c r="CS416" s="10" cm="1">
        <f t="array" ref="CS416">_xlfn.IFS(AND($CI416=0, CL416=FALSE), NA(), AND($CI416=1, CL416=FALSE), 0, CL416=TRUE, 1)</f>
        <v>0</v>
      </c>
      <c r="CT416" s="10" cm="1">
        <f t="array" ref="CT416">_xlfn.IFS(AND($CI416=0, CM416=FALSE), NA(), AND($CI416=1, CM416=FALSE), 0, CM416=TRUE, 1)</f>
        <v>0</v>
      </c>
      <c r="CU416" s="10" cm="1">
        <f t="array" ref="CU416">_xlfn.IFS(AND($CN416=0, CP416=FALSE), NA(), AND($CN416=1, CP416=FALSE), 0, CP416=TRUE, 1)</f>
        <v>0</v>
      </c>
      <c r="CV416" s="10" cm="1">
        <f t="array" ref="CV416">_xlfn.IFS(AND($CN416=0, CQ416=FALSE), NA(), AND($CN416=1, CQ416=FALSE), 0, CQ416=TRUE, 1)</f>
        <v>0</v>
      </c>
    </row>
    <row r="417" spans="1:100" x14ac:dyDescent="0.25">
      <c r="A417" s="8">
        <v>416</v>
      </c>
      <c r="B417" s="9">
        <v>110</v>
      </c>
      <c r="C417" s="10" t="s">
        <v>12</v>
      </c>
      <c r="D417" s="11" t="s">
        <v>134</v>
      </c>
      <c r="E417" s="12">
        <v>19494</v>
      </c>
      <c r="F417" s="13">
        <v>1</v>
      </c>
      <c r="G417" s="9">
        <v>63.101985931396484</v>
      </c>
      <c r="H417" s="12">
        <v>42542</v>
      </c>
      <c r="I417" s="9">
        <v>1</v>
      </c>
      <c r="J417" s="12">
        <v>42573</v>
      </c>
      <c r="K417" s="9">
        <v>1</v>
      </c>
      <c r="L417" s="9">
        <v>1</v>
      </c>
      <c r="M417" s="10" t="s">
        <v>401</v>
      </c>
      <c r="N417" s="9">
        <v>2</v>
      </c>
      <c r="O417" s="10" t="s">
        <v>147</v>
      </c>
      <c r="P417" s="9">
        <v>2</v>
      </c>
      <c r="Q417" s="10" t="s">
        <v>147</v>
      </c>
      <c r="R417" s="12">
        <v>42573</v>
      </c>
      <c r="S417" s="10" t="s">
        <v>145</v>
      </c>
      <c r="T417" s="9"/>
      <c r="U417" s="10" t="s">
        <v>401</v>
      </c>
      <c r="V417" s="10" t="s">
        <v>401</v>
      </c>
      <c r="W417" s="9"/>
      <c r="X417" s="9"/>
      <c r="Y417" s="9">
        <v>2</v>
      </c>
      <c r="Z417" s="19">
        <v>1</v>
      </c>
      <c r="AB417" s="9"/>
      <c r="AC417" s="9"/>
      <c r="AD417" s="9">
        <v>2</v>
      </c>
      <c r="AE417" s="9">
        <v>2</v>
      </c>
      <c r="AF417" s="9">
        <v>1</v>
      </c>
      <c r="AG417" s="9">
        <v>1</v>
      </c>
      <c r="AH417" s="9">
        <v>1</v>
      </c>
      <c r="AI417" s="9">
        <v>0</v>
      </c>
      <c r="AJ417" s="12">
        <v>43475</v>
      </c>
      <c r="AK417" s="9">
        <v>2</v>
      </c>
      <c r="AL417" s="12">
        <v>43504</v>
      </c>
      <c r="AM417" s="9">
        <v>4</v>
      </c>
      <c r="AN417" s="12">
        <v>43543</v>
      </c>
      <c r="AO417" s="12">
        <v>43543</v>
      </c>
      <c r="AP417" s="12">
        <v>43543</v>
      </c>
      <c r="AQ417" s="9">
        <v>1</v>
      </c>
      <c r="AR417" s="9">
        <f t="shared" si="149"/>
        <v>1</v>
      </c>
      <c r="AS417" s="9">
        <v>1</v>
      </c>
      <c r="AT417" s="9">
        <v>2</v>
      </c>
      <c r="AU417" s="9">
        <v>2</v>
      </c>
      <c r="AV417" s="9">
        <f t="shared" si="150"/>
        <v>1</v>
      </c>
      <c r="AW417" s="12">
        <v>43766</v>
      </c>
      <c r="AX417" s="9">
        <v>7550</v>
      </c>
      <c r="AY417" s="9">
        <v>4530</v>
      </c>
      <c r="AZ417" s="9">
        <v>1890</v>
      </c>
      <c r="BA417" s="9">
        <v>4530</v>
      </c>
      <c r="BB417" s="9">
        <v>1889.9998779296875</v>
      </c>
      <c r="BC417" s="9">
        <v>213000</v>
      </c>
      <c r="BD417" s="9">
        <v>950</v>
      </c>
      <c r="BE417" s="9">
        <v>120</v>
      </c>
      <c r="BF417" s="9"/>
      <c r="BG417" s="9">
        <v>8940</v>
      </c>
      <c r="BH417" s="9">
        <v>5340</v>
      </c>
      <c r="BI417" s="9">
        <v>2110</v>
      </c>
      <c r="BJ417" s="9">
        <v>249000</v>
      </c>
      <c r="BK417" s="9">
        <v>1280</v>
      </c>
      <c r="BL417" s="9">
        <v>160</v>
      </c>
      <c r="BM417" s="9"/>
      <c r="BN417" s="9">
        <v>8800</v>
      </c>
      <c r="BO417" s="9"/>
      <c r="BP417" s="9"/>
      <c r="BQ417" s="9">
        <v>231000</v>
      </c>
      <c r="BR417" s="9"/>
      <c r="BS417" s="9"/>
      <c r="BT417" s="9"/>
      <c r="BU417" s="9"/>
      <c r="BV417" s="9"/>
      <c r="BW417" s="9"/>
      <c r="BX417" s="9"/>
      <c r="BY417" s="9"/>
      <c r="BZ417" s="10" t="s">
        <v>401</v>
      </c>
      <c r="CA417" s="9"/>
      <c r="CB417" s="9"/>
      <c r="CC417" s="10">
        <f t="shared" si="151"/>
        <v>2.3968255516302879</v>
      </c>
      <c r="CD417" s="10">
        <f t="shared" si="152"/>
        <v>112.69841997731817</v>
      </c>
      <c r="CE417" s="10">
        <f t="shared" si="167"/>
        <v>510523.84249725135</v>
      </c>
      <c r="CF417" s="10">
        <f t="shared" si="165"/>
        <v>0</v>
      </c>
      <c r="CG417" s="10">
        <f t="shared" si="146"/>
        <v>0</v>
      </c>
      <c r="CH417" s="10">
        <f t="shared" si="147"/>
        <v>1</v>
      </c>
      <c r="CI417" s="9">
        <f t="shared" si="153"/>
        <v>1</v>
      </c>
      <c r="CJ417" s="10">
        <f t="shared" si="148"/>
        <v>9</v>
      </c>
      <c r="CK417" s="10" t="b">
        <f t="shared" si="154"/>
        <v>1</v>
      </c>
      <c r="CL417" s="10" t="b">
        <f t="shared" si="155"/>
        <v>0</v>
      </c>
      <c r="CM417" s="10" t="b">
        <f t="shared" si="156"/>
        <v>0</v>
      </c>
      <c r="CN417" s="9">
        <f t="shared" si="157"/>
        <v>1</v>
      </c>
      <c r="CO417" s="10">
        <f t="shared" si="166"/>
        <v>2</v>
      </c>
      <c r="CP417" s="10" t="b">
        <f t="shared" si="158"/>
        <v>0</v>
      </c>
      <c r="CQ417" s="10" t="b">
        <f t="shared" si="159"/>
        <v>0</v>
      </c>
      <c r="CR417" s="10" cm="1">
        <f t="array" ref="CR417">_xlfn.IFS(AND($CI417=0, CK417=FALSE), NA(), AND($CI417=1, CK417=FALSE), 0, CK417=TRUE, 1)</f>
        <v>1</v>
      </c>
      <c r="CS417" s="10" cm="1">
        <f t="array" ref="CS417">_xlfn.IFS(AND($CI417=0, CL417=FALSE), NA(), AND($CI417=1, CL417=FALSE), 0, CL417=TRUE, 1)</f>
        <v>0</v>
      </c>
      <c r="CT417" s="10" cm="1">
        <f t="array" ref="CT417">_xlfn.IFS(AND($CI417=0, CM417=FALSE), NA(), AND($CI417=1, CM417=FALSE), 0, CM417=TRUE, 1)</f>
        <v>0</v>
      </c>
      <c r="CU417" s="10" cm="1">
        <f t="array" ref="CU417">_xlfn.IFS(AND($CN417=0, CP417=FALSE), NA(), AND($CN417=1, CP417=FALSE), 0, CP417=TRUE, 1)</f>
        <v>0</v>
      </c>
      <c r="CV417" s="10" cm="1">
        <f t="array" ref="CV417">_xlfn.IFS(AND($CN417=0, CQ417=FALSE), NA(), AND($CN417=1, CQ417=FALSE), 0, CQ417=TRUE, 1)</f>
        <v>0</v>
      </c>
    </row>
    <row r="418" spans="1:100" ht="15.75" x14ac:dyDescent="0.25">
      <c r="A418" s="8">
        <v>417</v>
      </c>
      <c r="B418" s="9">
        <v>170</v>
      </c>
      <c r="C418" s="10" t="s">
        <v>15</v>
      </c>
      <c r="D418" s="11" t="s">
        <v>163</v>
      </c>
      <c r="E418" s="12">
        <v>14454</v>
      </c>
      <c r="F418" s="13">
        <v>1</v>
      </c>
      <c r="G418" s="9">
        <v>76.903488159179688</v>
      </c>
      <c r="H418" s="12">
        <v>42543</v>
      </c>
      <c r="I418" s="9">
        <v>1</v>
      </c>
      <c r="J418" s="12">
        <v>42611</v>
      </c>
      <c r="K418" s="9">
        <v>1</v>
      </c>
      <c r="L418" s="9">
        <v>1</v>
      </c>
      <c r="M418" s="10" t="s">
        <v>401</v>
      </c>
      <c r="N418" s="9">
        <v>3</v>
      </c>
      <c r="O418" s="10" t="s">
        <v>417</v>
      </c>
      <c r="P418" s="9">
        <v>2</v>
      </c>
      <c r="Q418" s="10" t="s">
        <v>409</v>
      </c>
      <c r="R418" s="12">
        <v>42568</v>
      </c>
      <c r="S418" s="10" t="s">
        <v>145</v>
      </c>
      <c r="T418" s="9"/>
      <c r="U418" s="10" t="s">
        <v>401</v>
      </c>
      <c r="V418" s="10" t="s">
        <v>401</v>
      </c>
      <c r="W418" s="9"/>
      <c r="X418" s="9"/>
      <c r="Y418" s="9">
        <v>2</v>
      </c>
      <c r="Z418" s="14">
        <v>1</v>
      </c>
      <c r="AA418" s="17"/>
      <c r="AB418" s="18"/>
      <c r="AC418" s="18"/>
      <c r="AD418" s="9">
        <v>2</v>
      </c>
      <c r="AE418" s="9">
        <v>2</v>
      </c>
      <c r="AF418" s="9">
        <v>1</v>
      </c>
      <c r="AG418" s="9">
        <v>1</v>
      </c>
      <c r="AH418" s="9">
        <v>1</v>
      </c>
      <c r="AI418" s="9">
        <v>0</v>
      </c>
      <c r="AJ418" s="12">
        <v>42970</v>
      </c>
      <c r="AK418" s="9">
        <v>2</v>
      </c>
      <c r="AL418" s="12">
        <v>43131</v>
      </c>
      <c r="AM418" s="9">
        <v>4</v>
      </c>
      <c r="AN418" s="12">
        <v>43126</v>
      </c>
      <c r="AO418" s="12">
        <v>43070</v>
      </c>
      <c r="AP418" s="12">
        <v>43126</v>
      </c>
      <c r="AQ418" s="9">
        <v>1</v>
      </c>
      <c r="AR418" s="9">
        <f t="shared" si="149"/>
        <v>1</v>
      </c>
      <c r="AS418" s="9">
        <v>1</v>
      </c>
      <c r="AT418" s="9">
        <v>1</v>
      </c>
      <c r="AU418" s="9">
        <v>2</v>
      </c>
      <c r="AV418" s="9">
        <f t="shared" si="150"/>
        <v>1</v>
      </c>
      <c r="AW418" s="12">
        <v>43218</v>
      </c>
      <c r="AX418" s="9">
        <v>5900</v>
      </c>
      <c r="AY418" s="9">
        <v>3500</v>
      </c>
      <c r="AZ418" s="9">
        <v>1900</v>
      </c>
      <c r="BA418" s="9">
        <v>3500</v>
      </c>
      <c r="BB418" s="9">
        <v>1900</v>
      </c>
      <c r="BC418" s="9">
        <v>325000</v>
      </c>
      <c r="BD418" s="9">
        <v>400</v>
      </c>
      <c r="BE418" s="9">
        <v>0</v>
      </c>
      <c r="BF418" s="9">
        <v>153</v>
      </c>
      <c r="BG418" s="9">
        <v>8750</v>
      </c>
      <c r="BH418" s="9">
        <v>5880</v>
      </c>
      <c r="BI418" s="9">
        <v>2320</v>
      </c>
      <c r="BJ418" s="9">
        <v>230000</v>
      </c>
      <c r="BK418" s="9">
        <v>400</v>
      </c>
      <c r="BL418" s="9">
        <v>30</v>
      </c>
      <c r="BM418" s="9">
        <v>230</v>
      </c>
      <c r="BN418" s="9">
        <v>9100</v>
      </c>
      <c r="BO418" s="9">
        <v>6000</v>
      </c>
      <c r="BP418" s="9">
        <v>2400</v>
      </c>
      <c r="BQ418" s="9">
        <v>185000</v>
      </c>
      <c r="BR418" s="9">
        <v>600</v>
      </c>
      <c r="BS418" s="9">
        <v>0</v>
      </c>
      <c r="BT418" s="9">
        <v>211</v>
      </c>
      <c r="BU418" s="9">
        <v>6700</v>
      </c>
      <c r="BV418" s="9">
        <v>3800</v>
      </c>
      <c r="BW418" s="9">
        <v>2300</v>
      </c>
      <c r="BX418" s="9">
        <v>228000</v>
      </c>
      <c r="BY418" s="9">
        <v>500</v>
      </c>
      <c r="BZ418" s="10" t="s">
        <v>525</v>
      </c>
      <c r="CA418" s="9">
        <v>100</v>
      </c>
      <c r="CB418" s="9">
        <v>229</v>
      </c>
      <c r="CC418" s="10">
        <f t="shared" si="151"/>
        <v>1.8421052631578947</v>
      </c>
      <c r="CD418" s="10">
        <f t="shared" si="152"/>
        <v>171.05263157894737</v>
      </c>
      <c r="CE418" s="10">
        <f t="shared" si="167"/>
        <v>598684.21052631573</v>
      </c>
      <c r="CF418" s="10">
        <f t="shared" si="165"/>
        <v>0</v>
      </c>
      <c r="CG418" s="10">
        <f t="shared" si="146"/>
        <v>0</v>
      </c>
      <c r="CH418" s="10">
        <f t="shared" si="147"/>
        <v>5</v>
      </c>
      <c r="CI418" s="9">
        <f t="shared" si="153"/>
        <v>1</v>
      </c>
      <c r="CJ418" s="10">
        <f t="shared" si="148"/>
        <v>8</v>
      </c>
      <c r="CK418" s="10" t="b">
        <f t="shared" si="154"/>
        <v>1</v>
      </c>
      <c r="CL418" s="10" t="b">
        <f t="shared" si="155"/>
        <v>0</v>
      </c>
      <c r="CM418" s="10" t="b">
        <f t="shared" si="156"/>
        <v>0</v>
      </c>
      <c r="CN418" s="9">
        <f t="shared" si="157"/>
        <v>1</v>
      </c>
      <c r="CO418" s="10">
        <f t="shared" si="166"/>
        <v>4</v>
      </c>
      <c r="CP418" s="10" t="b">
        <f t="shared" si="158"/>
        <v>1</v>
      </c>
      <c r="CQ418" s="10" t="b">
        <f t="shared" si="159"/>
        <v>0</v>
      </c>
      <c r="CR418" s="10" cm="1">
        <f t="array" ref="CR418">_xlfn.IFS(AND($CI418=0, CK418=FALSE), NA(), AND($CI418=1, CK418=FALSE), 0, CK418=TRUE, 1)</f>
        <v>1</v>
      </c>
      <c r="CS418" s="10" cm="1">
        <f t="array" ref="CS418">_xlfn.IFS(AND($CI418=0, CL418=FALSE), NA(), AND($CI418=1, CL418=FALSE), 0, CL418=TRUE, 1)</f>
        <v>0</v>
      </c>
      <c r="CT418" s="10" cm="1">
        <f t="array" ref="CT418">_xlfn.IFS(AND($CI418=0, CM418=FALSE), NA(), AND($CI418=1, CM418=FALSE), 0, CM418=TRUE, 1)</f>
        <v>0</v>
      </c>
      <c r="CU418" s="10" cm="1">
        <f t="array" ref="CU418">_xlfn.IFS(AND($CN418=0, CP418=FALSE), NA(), AND($CN418=1, CP418=FALSE), 0, CP418=TRUE, 1)</f>
        <v>1</v>
      </c>
      <c r="CV418" s="10" cm="1">
        <f t="array" ref="CV418">_xlfn.IFS(AND($CN418=0, CQ418=FALSE), NA(), AND($CN418=1, CQ418=FALSE), 0, CQ418=TRUE, 1)</f>
        <v>0</v>
      </c>
    </row>
    <row r="419" spans="1:100" ht="15.75" x14ac:dyDescent="0.25">
      <c r="A419" s="8">
        <v>418</v>
      </c>
      <c r="B419" s="9">
        <v>365</v>
      </c>
      <c r="C419" s="10" t="s">
        <v>28</v>
      </c>
      <c r="D419" s="11" t="s">
        <v>85</v>
      </c>
      <c r="E419" s="12">
        <v>21344</v>
      </c>
      <c r="F419" s="13">
        <v>1</v>
      </c>
      <c r="G419" s="9">
        <v>58.053386688232422</v>
      </c>
      <c r="H419" s="12">
        <v>42548</v>
      </c>
      <c r="I419" s="9">
        <v>1</v>
      </c>
      <c r="J419" s="12">
        <v>42565</v>
      </c>
      <c r="K419" s="9">
        <v>0</v>
      </c>
      <c r="L419" s="9">
        <v>1</v>
      </c>
      <c r="M419" s="10" t="s">
        <v>401</v>
      </c>
      <c r="N419" s="9">
        <v>2</v>
      </c>
      <c r="O419" s="10" t="s">
        <v>409</v>
      </c>
      <c r="P419" s="9">
        <v>2</v>
      </c>
      <c r="Q419" s="10" t="s">
        <v>409</v>
      </c>
      <c r="R419" s="12">
        <v>42691</v>
      </c>
      <c r="S419" s="10" t="s">
        <v>145</v>
      </c>
      <c r="T419" s="9"/>
      <c r="U419" s="10" t="s">
        <v>401</v>
      </c>
      <c r="V419" s="10" t="s">
        <v>401</v>
      </c>
      <c r="W419" s="9"/>
      <c r="X419" s="9"/>
      <c r="Y419" s="9">
        <v>2</v>
      </c>
      <c r="Z419" s="14">
        <v>1</v>
      </c>
      <c r="AA419" s="15">
        <v>9.9</v>
      </c>
      <c r="AB419" s="16">
        <v>87</v>
      </c>
      <c r="AC419" s="16">
        <v>17</v>
      </c>
      <c r="AD419" s="9">
        <v>2</v>
      </c>
      <c r="AE419" s="9">
        <v>2</v>
      </c>
      <c r="AF419" s="9">
        <v>2</v>
      </c>
      <c r="AG419" s="9">
        <v>0</v>
      </c>
      <c r="AH419" s="9">
        <v>1</v>
      </c>
      <c r="AI419" s="9">
        <v>0</v>
      </c>
      <c r="AJ419" s="12">
        <v>42864</v>
      </c>
      <c r="AK419" s="9">
        <v>2</v>
      </c>
      <c r="AL419" s="12">
        <v>42878</v>
      </c>
      <c r="AM419" s="9">
        <v>4</v>
      </c>
      <c r="AN419" s="12">
        <v>42880</v>
      </c>
      <c r="AO419" s="12">
        <v>42880</v>
      </c>
      <c r="AP419" s="12">
        <v>42880</v>
      </c>
      <c r="AQ419" s="9">
        <v>1</v>
      </c>
      <c r="AR419" s="9">
        <f t="shared" si="149"/>
        <v>1</v>
      </c>
      <c r="AS419" s="9">
        <v>1</v>
      </c>
      <c r="AT419" s="9">
        <v>2</v>
      </c>
      <c r="AU419" s="9">
        <v>2</v>
      </c>
      <c r="AV419" s="9">
        <f t="shared" si="150"/>
        <v>1</v>
      </c>
      <c r="AW419" s="12">
        <v>42880</v>
      </c>
      <c r="AX419" s="9">
        <v>9060</v>
      </c>
      <c r="AY419" s="9">
        <v>6780</v>
      </c>
      <c r="AZ419" s="9">
        <v>1390</v>
      </c>
      <c r="BA419" s="9">
        <v>6780</v>
      </c>
      <c r="BB419" s="9">
        <v>1390.0001220703125</v>
      </c>
      <c r="BC419" s="9">
        <v>487000</v>
      </c>
      <c r="BD419" s="9">
        <v>780</v>
      </c>
      <c r="BE419" s="9">
        <v>20</v>
      </c>
      <c r="BF419" s="9"/>
      <c r="BG419" s="9">
        <v>10810</v>
      </c>
      <c r="BH419" s="9">
        <v>9050</v>
      </c>
      <c r="BI419" s="9">
        <v>960</v>
      </c>
      <c r="BJ419" s="9">
        <v>307000</v>
      </c>
      <c r="BK419" s="9">
        <v>670</v>
      </c>
      <c r="BL419" s="9">
        <v>50</v>
      </c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10" t="s">
        <v>401</v>
      </c>
      <c r="CA419" s="9"/>
      <c r="CB419" s="9"/>
      <c r="CC419" s="10">
        <f t="shared" si="151"/>
        <v>4.8776974133654338</v>
      </c>
      <c r="CD419" s="10">
        <f t="shared" si="152"/>
        <v>350.35968146149941</v>
      </c>
      <c r="CE419" s="10">
        <f t="shared" si="167"/>
        <v>2375438.6403089664</v>
      </c>
      <c r="CF419" s="10">
        <f t="shared" si="165"/>
        <v>0</v>
      </c>
      <c r="CG419" s="10">
        <f t="shared" si="146"/>
        <v>0</v>
      </c>
      <c r="CH419" s="10">
        <f t="shared" si="147"/>
        <v>0</v>
      </c>
      <c r="CI419" s="9">
        <f t="shared" si="153"/>
        <v>1</v>
      </c>
      <c r="CJ419" s="10">
        <f t="shared" si="148"/>
        <v>0</v>
      </c>
      <c r="CK419" s="10" t="b">
        <f t="shared" si="154"/>
        <v>0</v>
      </c>
      <c r="CL419" s="10" t="b">
        <f t="shared" si="155"/>
        <v>0</v>
      </c>
      <c r="CM419" s="10" t="b">
        <f t="shared" si="156"/>
        <v>0</v>
      </c>
      <c r="CN419" s="9">
        <f t="shared" si="157"/>
        <v>1</v>
      </c>
      <c r="CO419" s="10">
        <f t="shared" si="166"/>
        <v>0</v>
      </c>
      <c r="CP419" s="10" t="b">
        <f t="shared" si="158"/>
        <v>0</v>
      </c>
      <c r="CQ419" s="10" t="b">
        <f t="shared" si="159"/>
        <v>0</v>
      </c>
      <c r="CR419" s="10" cm="1">
        <f t="array" ref="CR419">_xlfn.IFS(AND($CI419=0, CK419=FALSE), NA(), AND($CI419=1, CK419=FALSE), 0, CK419=TRUE, 1)</f>
        <v>0</v>
      </c>
      <c r="CS419" s="10" cm="1">
        <f t="array" ref="CS419">_xlfn.IFS(AND($CI419=0, CL419=FALSE), NA(), AND($CI419=1, CL419=FALSE), 0, CL419=TRUE, 1)</f>
        <v>0</v>
      </c>
      <c r="CT419" s="10" cm="1">
        <f t="array" ref="CT419">_xlfn.IFS(AND($CI419=0, CM419=FALSE), NA(), AND($CI419=1, CM419=FALSE), 0, CM419=TRUE, 1)</f>
        <v>0</v>
      </c>
      <c r="CU419" s="10" cm="1">
        <f t="array" ref="CU419">_xlfn.IFS(AND($CN419=0, CP419=FALSE), NA(), AND($CN419=1, CP419=FALSE), 0, CP419=TRUE, 1)</f>
        <v>0</v>
      </c>
      <c r="CV419" s="10" cm="1">
        <f t="array" ref="CV419">_xlfn.IFS(AND($CN419=0, CQ419=FALSE), NA(), AND($CN419=1, CQ419=FALSE), 0, CQ419=TRUE, 1)</f>
        <v>0</v>
      </c>
    </row>
    <row r="420" spans="1:100" ht="15.75" x14ac:dyDescent="0.25">
      <c r="A420" s="8">
        <v>419</v>
      </c>
      <c r="B420" s="9">
        <v>431</v>
      </c>
      <c r="C420" s="10" t="s">
        <v>29</v>
      </c>
      <c r="D420" s="11" t="s">
        <v>342</v>
      </c>
      <c r="E420" s="12">
        <v>24647</v>
      </c>
      <c r="F420" s="13">
        <v>2</v>
      </c>
      <c r="G420" s="9">
        <v>49.018482208251953</v>
      </c>
      <c r="H420" s="12">
        <v>42551</v>
      </c>
      <c r="I420" s="9">
        <v>1</v>
      </c>
      <c r="J420" s="12">
        <v>42551</v>
      </c>
      <c r="K420" s="9">
        <v>0</v>
      </c>
      <c r="L420" s="9">
        <v>1</v>
      </c>
      <c r="M420" s="10" t="s">
        <v>401</v>
      </c>
      <c r="N420" s="9">
        <v>2</v>
      </c>
      <c r="O420" s="10" t="s">
        <v>145</v>
      </c>
      <c r="P420" s="9">
        <v>2</v>
      </c>
      <c r="Q420" s="10" t="s">
        <v>145</v>
      </c>
      <c r="R420" s="12">
        <v>42717</v>
      </c>
      <c r="S420" s="10" t="s">
        <v>145</v>
      </c>
      <c r="T420" s="9"/>
      <c r="U420" s="10" t="s">
        <v>401</v>
      </c>
      <c r="V420" s="10" t="s">
        <v>401</v>
      </c>
      <c r="W420" s="9"/>
      <c r="X420" s="9"/>
      <c r="Y420" s="9">
        <v>2</v>
      </c>
      <c r="Z420" s="14">
        <v>1</v>
      </c>
      <c r="AA420" s="17">
        <v>10.5</v>
      </c>
      <c r="AB420" s="18">
        <v>106</v>
      </c>
      <c r="AC420" s="18">
        <v>15</v>
      </c>
      <c r="AD420" s="9">
        <v>1</v>
      </c>
      <c r="AE420" s="9">
        <v>1</v>
      </c>
      <c r="AF420" s="9">
        <v>1</v>
      </c>
      <c r="AG420" s="9">
        <v>0</v>
      </c>
      <c r="AH420" s="9">
        <v>1</v>
      </c>
      <c r="AI420" s="9">
        <v>0</v>
      </c>
      <c r="AJ420" s="12">
        <v>43075</v>
      </c>
      <c r="AK420" s="9">
        <v>2</v>
      </c>
      <c r="AL420" s="12">
        <v>43384</v>
      </c>
      <c r="AM420" s="9">
        <v>2</v>
      </c>
      <c r="AN420" s="12">
        <v>43181</v>
      </c>
      <c r="AO420" s="12">
        <v>43427</v>
      </c>
      <c r="AP420" s="12">
        <v>43427</v>
      </c>
      <c r="AQ420" s="9">
        <v>1</v>
      </c>
      <c r="AR420" s="9">
        <f t="shared" si="149"/>
        <v>1</v>
      </c>
      <c r="AS420" s="9">
        <v>1</v>
      </c>
      <c r="AT420" s="9">
        <v>2</v>
      </c>
      <c r="AU420" s="9">
        <v>2</v>
      </c>
      <c r="AV420" s="9">
        <f t="shared" si="150"/>
        <v>1</v>
      </c>
      <c r="AW420" s="12">
        <v>43765</v>
      </c>
      <c r="AX420" s="9">
        <v>5510</v>
      </c>
      <c r="AY420" s="9">
        <v>4330</v>
      </c>
      <c r="AZ420" s="9">
        <v>660</v>
      </c>
      <c r="BA420" s="9">
        <v>4330</v>
      </c>
      <c r="BB420" s="9">
        <v>660.00006103515625</v>
      </c>
      <c r="BC420" s="9">
        <v>340000</v>
      </c>
      <c r="BD420" s="9">
        <v>350</v>
      </c>
      <c r="BE420" s="9">
        <v>150</v>
      </c>
      <c r="BF420" s="9"/>
      <c r="BG420" s="9">
        <v>5750</v>
      </c>
      <c r="BH420" s="9">
        <v>4270</v>
      </c>
      <c r="BI420" s="9">
        <v>510</v>
      </c>
      <c r="BJ420" s="9">
        <v>310000</v>
      </c>
      <c r="BK420" s="9">
        <v>520</v>
      </c>
      <c r="BL420" s="9">
        <v>20</v>
      </c>
      <c r="BM420" s="9"/>
      <c r="BN420" s="9">
        <v>8770</v>
      </c>
      <c r="BO420" s="9">
        <v>7020</v>
      </c>
      <c r="BP420" s="9">
        <v>940</v>
      </c>
      <c r="BQ420" s="9">
        <v>442000</v>
      </c>
      <c r="BR420" s="9">
        <v>700</v>
      </c>
      <c r="BS420" s="9">
        <v>90</v>
      </c>
      <c r="BT420" s="9"/>
      <c r="BU420" s="9">
        <v>7500</v>
      </c>
      <c r="BV420" s="9">
        <v>6680</v>
      </c>
      <c r="BW420" s="9">
        <v>1130</v>
      </c>
      <c r="BX420" s="9">
        <v>277000</v>
      </c>
      <c r="BY420" s="9">
        <v>720</v>
      </c>
      <c r="BZ420" s="10" t="s">
        <v>558</v>
      </c>
      <c r="CA420" s="9">
        <v>80</v>
      </c>
      <c r="CB420" s="9"/>
      <c r="CC420" s="10">
        <f t="shared" si="151"/>
        <v>6.5606054538976073</v>
      </c>
      <c r="CD420" s="10">
        <f t="shared" si="152"/>
        <v>515.15146751159045</v>
      </c>
      <c r="CE420" s="10">
        <f t="shared" si="167"/>
        <v>2230605.8543251865</v>
      </c>
      <c r="CF420" s="10">
        <f t="shared" si="165"/>
        <v>1</v>
      </c>
      <c r="CG420" s="10">
        <f t="shared" si="146"/>
        <v>1</v>
      </c>
      <c r="CH420" s="10">
        <f t="shared" si="147"/>
        <v>10</v>
      </c>
      <c r="CI420" s="9">
        <f t="shared" si="153"/>
        <v>1</v>
      </c>
      <c r="CJ420" s="10">
        <f t="shared" si="148"/>
        <v>22</v>
      </c>
      <c r="CK420" s="10" t="b">
        <f t="shared" si="154"/>
        <v>1</v>
      </c>
      <c r="CL420" s="10" t="b">
        <f t="shared" si="155"/>
        <v>1</v>
      </c>
      <c r="CM420" s="10" t="b">
        <f t="shared" si="156"/>
        <v>0</v>
      </c>
      <c r="CN420" s="9">
        <f t="shared" si="157"/>
        <v>1</v>
      </c>
      <c r="CO420" s="10">
        <f t="shared" si="166"/>
        <v>11</v>
      </c>
      <c r="CP420" s="10" t="b">
        <f t="shared" si="158"/>
        <v>1</v>
      </c>
      <c r="CQ420" s="10" t="b">
        <f t="shared" si="159"/>
        <v>1</v>
      </c>
      <c r="CR420" s="10" cm="1">
        <f t="array" ref="CR420">_xlfn.IFS(AND($CI420=0, CK420=FALSE), NA(), AND($CI420=1, CK420=FALSE), 0, CK420=TRUE, 1)</f>
        <v>1</v>
      </c>
      <c r="CS420" s="10" cm="1">
        <f t="array" ref="CS420">_xlfn.IFS(AND($CI420=0, CL420=FALSE), NA(), AND($CI420=1, CL420=FALSE), 0, CL420=TRUE, 1)</f>
        <v>1</v>
      </c>
      <c r="CT420" s="10" cm="1">
        <f t="array" ref="CT420">_xlfn.IFS(AND($CI420=0, CM420=FALSE), NA(), AND($CI420=1, CM420=FALSE), 0, CM420=TRUE, 1)</f>
        <v>0</v>
      </c>
      <c r="CU420" s="10" cm="1">
        <f t="array" ref="CU420">_xlfn.IFS(AND($CN420=0, CP420=FALSE), NA(), AND($CN420=1, CP420=FALSE), 0, CP420=TRUE, 1)</f>
        <v>1</v>
      </c>
      <c r="CV420" s="10" cm="1">
        <f t="array" ref="CV420">_xlfn.IFS(AND($CN420=0, CQ420=FALSE), NA(), AND($CN420=1, CQ420=FALSE), 0, CQ420=TRUE, 1)</f>
        <v>1</v>
      </c>
    </row>
    <row r="421" spans="1:100" ht="15.75" x14ac:dyDescent="0.25">
      <c r="A421" s="8">
        <v>420</v>
      </c>
      <c r="B421" s="9">
        <v>307</v>
      </c>
      <c r="C421" s="10" t="s">
        <v>24</v>
      </c>
      <c r="D421" s="11" t="s">
        <v>263</v>
      </c>
      <c r="E421" s="12"/>
      <c r="F421" s="13">
        <v>2</v>
      </c>
      <c r="G421" s="9">
        <v>65</v>
      </c>
      <c r="H421" s="12">
        <v>42551</v>
      </c>
      <c r="I421" s="9">
        <v>1</v>
      </c>
      <c r="J421" s="12">
        <v>42551</v>
      </c>
      <c r="K421" s="9">
        <v>1</v>
      </c>
      <c r="L421" s="9">
        <v>1</v>
      </c>
      <c r="M421" s="10" t="s">
        <v>401</v>
      </c>
      <c r="N421" s="9">
        <v>3</v>
      </c>
      <c r="O421" s="10" t="s">
        <v>417</v>
      </c>
      <c r="P421" s="9">
        <v>2</v>
      </c>
      <c r="Q421" s="10" t="s">
        <v>409</v>
      </c>
      <c r="R421" s="12">
        <v>42551</v>
      </c>
      <c r="S421" s="10" t="s">
        <v>146</v>
      </c>
      <c r="T421" s="9"/>
      <c r="U421" s="10" t="s">
        <v>401</v>
      </c>
      <c r="V421" s="10" t="s">
        <v>401</v>
      </c>
      <c r="W421" s="9"/>
      <c r="X421" s="9"/>
      <c r="Y421" s="9">
        <v>2</v>
      </c>
      <c r="Z421" s="14">
        <v>2</v>
      </c>
      <c r="AA421" s="21">
        <v>12</v>
      </c>
      <c r="AB421" s="22">
        <v>103</v>
      </c>
      <c r="AC421" s="22">
        <v>13</v>
      </c>
      <c r="AD421" s="9">
        <v>2</v>
      </c>
      <c r="AE421" s="9">
        <v>2</v>
      </c>
      <c r="AF421" s="9">
        <v>1</v>
      </c>
      <c r="AG421" s="9">
        <v>0</v>
      </c>
      <c r="AH421" s="9">
        <v>1</v>
      </c>
      <c r="AI421" s="9">
        <v>0</v>
      </c>
      <c r="AJ421" s="12">
        <v>43431</v>
      </c>
      <c r="AK421" s="9">
        <v>2</v>
      </c>
      <c r="AL421" s="12">
        <v>43487</v>
      </c>
      <c r="AM421" s="9">
        <v>4</v>
      </c>
      <c r="AN421" s="12">
        <v>43501</v>
      </c>
      <c r="AO421" s="12">
        <v>43501</v>
      </c>
      <c r="AP421" s="12">
        <v>43501</v>
      </c>
      <c r="AQ421" s="9">
        <v>1</v>
      </c>
      <c r="AR421" s="9">
        <f t="shared" si="149"/>
        <v>1</v>
      </c>
      <c r="AS421" s="9">
        <v>1</v>
      </c>
      <c r="AT421" s="9">
        <v>2</v>
      </c>
      <c r="AU421" s="9">
        <v>1</v>
      </c>
      <c r="AV421" s="9">
        <f t="shared" si="150"/>
        <v>0</v>
      </c>
      <c r="AW421" s="12">
        <v>43524</v>
      </c>
      <c r="AX421" s="9">
        <v>7970</v>
      </c>
      <c r="AY421" s="9">
        <v>5746</v>
      </c>
      <c r="AZ421" s="9"/>
      <c r="BA421" s="9">
        <v>5746</v>
      </c>
      <c r="BB421" s="9">
        <v>1186.170654296875</v>
      </c>
      <c r="BC421" s="9">
        <v>241000</v>
      </c>
      <c r="BD421" s="9"/>
      <c r="BE421" s="9"/>
      <c r="BF421" s="9"/>
      <c r="BG421" s="9">
        <v>8960</v>
      </c>
      <c r="BH421" s="9">
        <v>5904</v>
      </c>
      <c r="BI421" s="9"/>
      <c r="BJ421" s="9">
        <v>279000</v>
      </c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10" t="s">
        <v>401</v>
      </c>
      <c r="CA421" s="9"/>
      <c r="CB421" s="9"/>
      <c r="CC421" s="10">
        <f t="shared" si="151"/>
        <v>4.8441596318246889</v>
      </c>
      <c r="CD421" s="10">
        <f t="shared" si="152"/>
        <v>203.17481226414026</v>
      </c>
      <c r="CE421" s="10">
        <f t="shared" si="167"/>
        <v>1167442.47126975</v>
      </c>
      <c r="CF421" s="10">
        <f t="shared" si="165"/>
        <v>0</v>
      </c>
      <c r="CG421" s="10">
        <f t="shared" si="146"/>
        <v>0</v>
      </c>
      <c r="CH421" s="10">
        <f t="shared" si="147"/>
        <v>2</v>
      </c>
      <c r="CI421" s="9">
        <f t="shared" si="153"/>
        <v>0</v>
      </c>
      <c r="CJ421" s="10">
        <f t="shared" si="148"/>
        <v>3</v>
      </c>
      <c r="CK421" s="10" t="b">
        <f t="shared" si="154"/>
        <v>0</v>
      </c>
      <c r="CL421" s="10" t="b">
        <f t="shared" si="155"/>
        <v>0</v>
      </c>
      <c r="CM421" s="10" t="b">
        <f t="shared" si="156"/>
        <v>0</v>
      </c>
      <c r="CN421" s="9">
        <f t="shared" si="157"/>
        <v>1</v>
      </c>
      <c r="CO421" s="10">
        <f t="shared" si="166"/>
        <v>3</v>
      </c>
      <c r="CP421" s="10" t="b">
        <f t="shared" si="158"/>
        <v>1</v>
      </c>
      <c r="CQ421" s="10" t="b">
        <f t="shared" si="159"/>
        <v>0</v>
      </c>
      <c r="CR421" s="10" t="e" cm="1">
        <f t="array" ref="CR421">_xlfn.IFS(AND($CI421=0, CK421=FALSE), NA(), AND($CI421=1, CK421=FALSE), 0, CK421=TRUE, 1)</f>
        <v>#N/A</v>
      </c>
      <c r="CS421" s="10" t="e" cm="1">
        <f t="array" ref="CS421">_xlfn.IFS(AND($CI421=0, CL421=FALSE), NA(), AND($CI421=1, CL421=FALSE), 0, CL421=TRUE, 1)</f>
        <v>#N/A</v>
      </c>
      <c r="CT421" s="10" t="e" cm="1">
        <f t="array" ref="CT421">_xlfn.IFS(AND($CI421=0, CM421=FALSE), NA(), AND($CI421=1, CM421=FALSE), 0, CM421=TRUE, 1)</f>
        <v>#N/A</v>
      </c>
      <c r="CU421" s="10" cm="1">
        <f t="array" ref="CU421">_xlfn.IFS(AND($CN421=0, CP421=FALSE), NA(), AND($CN421=1, CP421=FALSE), 0, CP421=TRUE, 1)</f>
        <v>1</v>
      </c>
      <c r="CV421" s="10" cm="1">
        <f t="array" ref="CV421">_xlfn.IFS(AND($CN421=0, CQ421=FALSE), NA(), AND($CN421=1, CQ421=FALSE), 0, CQ421=TRUE, 1)</f>
        <v>0</v>
      </c>
    </row>
    <row r="422" spans="1:100" ht="15.75" x14ac:dyDescent="0.25">
      <c r="A422" s="8">
        <v>421</v>
      </c>
      <c r="B422" s="9">
        <v>226</v>
      </c>
      <c r="C422" s="10" t="s">
        <v>19</v>
      </c>
      <c r="D422" s="11" t="s">
        <v>222</v>
      </c>
      <c r="E422" s="12">
        <v>15300</v>
      </c>
      <c r="F422" s="13">
        <v>1</v>
      </c>
      <c r="G422" s="9">
        <v>74.611907958984375</v>
      </c>
      <c r="H422" s="12">
        <v>42552</v>
      </c>
      <c r="I422" s="9">
        <v>0</v>
      </c>
      <c r="J422" s="12"/>
      <c r="K422" s="9">
        <v>1</v>
      </c>
      <c r="L422" s="9">
        <v>1</v>
      </c>
      <c r="M422" s="10" t="s">
        <v>401</v>
      </c>
      <c r="N422" s="9">
        <v>2</v>
      </c>
      <c r="O422" s="10" t="s">
        <v>145</v>
      </c>
      <c r="P422" s="9">
        <v>2</v>
      </c>
      <c r="Q422" s="10" t="s">
        <v>145</v>
      </c>
      <c r="R422" s="12">
        <v>42577</v>
      </c>
      <c r="S422" s="10" t="s">
        <v>146</v>
      </c>
      <c r="T422" s="9"/>
      <c r="U422" s="10" t="s">
        <v>401</v>
      </c>
      <c r="V422" s="10" t="s">
        <v>401</v>
      </c>
      <c r="W422" s="9"/>
      <c r="X422" s="9"/>
      <c r="Y422" s="9">
        <v>2</v>
      </c>
      <c r="Z422" s="14">
        <v>2</v>
      </c>
      <c r="AA422" s="34">
        <v>9.9</v>
      </c>
      <c r="AB422" s="14">
        <v>88</v>
      </c>
      <c r="AC422" s="14">
        <v>15</v>
      </c>
      <c r="AD422" s="9">
        <v>2</v>
      </c>
      <c r="AE422" s="9">
        <v>2</v>
      </c>
      <c r="AF422" s="9">
        <v>1</v>
      </c>
      <c r="AG422" s="9">
        <v>1</v>
      </c>
      <c r="AH422" s="9">
        <v>1</v>
      </c>
      <c r="AI422" s="9">
        <v>0</v>
      </c>
      <c r="AJ422" s="12">
        <v>42804</v>
      </c>
      <c r="AK422" s="9">
        <v>2</v>
      </c>
      <c r="AL422" s="12">
        <v>42913</v>
      </c>
      <c r="AM422" s="9">
        <v>4</v>
      </c>
      <c r="AN422" s="12">
        <v>42893</v>
      </c>
      <c r="AO422" s="12">
        <v>42893</v>
      </c>
      <c r="AP422" s="12">
        <v>42913</v>
      </c>
      <c r="AQ422" s="9">
        <v>1</v>
      </c>
      <c r="AR422" s="9">
        <f t="shared" si="149"/>
        <v>1</v>
      </c>
      <c r="AS422" s="9">
        <v>1</v>
      </c>
      <c r="AT422" s="9">
        <v>1</v>
      </c>
      <c r="AU422" s="9">
        <v>2</v>
      </c>
      <c r="AV422" s="9">
        <f t="shared" si="150"/>
        <v>1</v>
      </c>
      <c r="AW422" s="12">
        <v>43089</v>
      </c>
      <c r="AX422" s="9">
        <v>7550</v>
      </c>
      <c r="AY422" s="9">
        <v>5200</v>
      </c>
      <c r="AZ422" s="9">
        <v>1500</v>
      </c>
      <c r="BA422" s="9">
        <v>5200</v>
      </c>
      <c r="BB422" s="9">
        <v>1500.0001220703125</v>
      </c>
      <c r="BC422" s="9">
        <v>525000</v>
      </c>
      <c r="BD422" s="9">
        <v>600</v>
      </c>
      <c r="BE422" s="9">
        <v>100</v>
      </c>
      <c r="BF422" s="9">
        <v>226</v>
      </c>
      <c r="BG422" s="9">
        <v>8880</v>
      </c>
      <c r="BH422" s="9">
        <v>6700</v>
      </c>
      <c r="BI422" s="9">
        <v>1200</v>
      </c>
      <c r="BJ422" s="9">
        <v>538000</v>
      </c>
      <c r="BK422" s="9">
        <v>600</v>
      </c>
      <c r="BL422" s="9">
        <v>200</v>
      </c>
      <c r="BM422" s="9">
        <v>228</v>
      </c>
      <c r="BN422" s="9">
        <v>8100</v>
      </c>
      <c r="BO422" s="9">
        <v>5200</v>
      </c>
      <c r="BP422" s="9">
        <v>1700</v>
      </c>
      <c r="BQ422" s="9">
        <v>539000</v>
      </c>
      <c r="BR422" s="9">
        <v>700</v>
      </c>
      <c r="BS422" s="9">
        <v>200</v>
      </c>
      <c r="BT422" s="9">
        <v>280</v>
      </c>
      <c r="BU422" s="9">
        <v>7830</v>
      </c>
      <c r="BV422" s="9">
        <v>5400</v>
      </c>
      <c r="BW422" s="9">
        <v>1500</v>
      </c>
      <c r="BX422" s="9">
        <v>433000</v>
      </c>
      <c r="BY422" s="9">
        <v>600</v>
      </c>
      <c r="BZ422" s="10" t="s">
        <v>525</v>
      </c>
      <c r="CA422" s="9">
        <v>100</v>
      </c>
      <c r="CB422" s="9">
        <v>264</v>
      </c>
      <c r="CC422" s="10">
        <f t="shared" si="151"/>
        <v>3.4666663845486339</v>
      </c>
      <c r="CD422" s="10">
        <f t="shared" si="152"/>
        <v>349.99997151692941</v>
      </c>
      <c r="CE422" s="10">
        <f t="shared" si="167"/>
        <v>1819999.8518880329</v>
      </c>
      <c r="CF422" s="10">
        <f t="shared" si="165"/>
        <v>0</v>
      </c>
      <c r="CG422" s="10">
        <f t="shared" si="146"/>
        <v>0</v>
      </c>
      <c r="CH422" s="10">
        <f t="shared" si="147"/>
        <v>3</v>
      </c>
      <c r="CI422" s="9">
        <f t="shared" si="153"/>
        <v>1</v>
      </c>
      <c r="CJ422" s="10">
        <f t="shared" si="148"/>
        <v>9</v>
      </c>
      <c r="CK422" s="10" t="b">
        <f t="shared" si="154"/>
        <v>1</v>
      </c>
      <c r="CL422" s="10" t="b">
        <f t="shared" si="155"/>
        <v>0</v>
      </c>
      <c r="CM422" s="10" t="b">
        <f t="shared" si="156"/>
        <v>0</v>
      </c>
      <c r="CN422" s="9">
        <f t="shared" si="157"/>
        <v>1</v>
      </c>
      <c r="CO422" s="10">
        <f t="shared" si="166"/>
        <v>3</v>
      </c>
      <c r="CP422" s="10" t="b">
        <f t="shared" si="158"/>
        <v>1</v>
      </c>
      <c r="CQ422" s="10" t="b">
        <f t="shared" si="159"/>
        <v>0</v>
      </c>
      <c r="CR422" s="10" cm="1">
        <f t="array" ref="CR422">_xlfn.IFS(AND($CI422=0, CK422=FALSE), NA(), AND($CI422=1, CK422=FALSE), 0, CK422=TRUE, 1)</f>
        <v>1</v>
      </c>
      <c r="CS422" s="10" cm="1">
        <f t="array" ref="CS422">_xlfn.IFS(AND($CI422=0, CL422=FALSE), NA(), AND($CI422=1, CL422=FALSE), 0, CL422=TRUE, 1)</f>
        <v>0</v>
      </c>
      <c r="CT422" s="10" cm="1">
        <f t="array" ref="CT422">_xlfn.IFS(AND($CI422=0, CM422=FALSE), NA(), AND($CI422=1, CM422=FALSE), 0, CM422=TRUE, 1)</f>
        <v>0</v>
      </c>
      <c r="CU422" s="10" cm="1">
        <f t="array" ref="CU422">_xlfn.IFS(AND($CN422=0, CP422=FALSE), NA(), AND($CN422=1, CP422=FALSE), 0, CP422=TRUE, 1)</f>
        <v>1</v>
      </c>
      <c r="CV422" s="10" cm="1">
        <f t="array" ref="CV422">_xlfn.IFS(AND($CN422=0, CQ422=FALSE), NA(), AND($CN422=1, CQ422=FALSE), 0, CQ422=TRUE, 1)</f>
        <v>0</v>
      </c>
    </row>
    <row r="423" spans="1:100" ht="15.75" x14ac:dyDescent="0.25">
      <c r="A423" s="8">
        <v>422</v>
      </c>
      <c r="B423" s="9">
        <v>139</v>
      </c>
      <c r="C423" s="10" t="s">
        <v>16</v>
      </c>
      <c r="D423" s="11" t="s">
        <v>178</v>
      </c>
      <c r="E423" s="12">
        <v>27814</v>
      </c>
      <c r="F423" s="13">
        <v>1</v>
      </c>
      <c r="G423" s="9">
        <v>40.3641357421875</v>
      </c>
      <c r="H423" s="12">
        <v>42557</v>
      </c>
      <c r="I423" s="9">
        <v>0</v>
      </c>
      <c r="J423" s="12"/>
      <c r="K423" s="9">
        <v>1</v>
      </c>
      <c r="L423" s="9">
        <v>1</v>
      </c>
      <c r="M423" s="10" t="s">
        <v>401</v>
      </c>
      <c r="N423" s="9">
        <v>2</v>
      </c>
      <c r="O423" s="10" t="s">
        <v>421</v>
      </c>
      <c r="P423" s="9">
        <v>3</v>
      </c>
      <c r="Q423" s="10" t="s">
        <v>447</v>
      </c>
      <c r="R423" s="12">
        <v>43246</v>
      </c>
      <c r="S423" s="10" t="s">
        <v>145</v>
      </c>
      <c r="T423" s="9">
        <v>4</v>
      </c>
      <c r="U423" s="10" t="s">
        <v>401</v>
      </c>
      <c r="V423" s="10" t="s">
        <v>401</v>
      </c>
      <c r="W423" s="9"/>
      <c r="X423" s="9"/>
      <c r="Y423" s="9">
        <v>3</v>
      </c>
      <c r="Z423" s="14">
        <v>1</v>
      </c>
      <c r="AA423" s="15">
        <v>12.7</v>
      </c>
      <c r="AB423" s="16">
        <v>90</v>
      </c>
      <c r="AC423" s="16">
        <v>16</v>
      </c>
      <c r="AD423" s="9">
        <v>2</v>
      </c>
      <c r="AE423" s="9">
        <v>3</v>
      </c>
      <c r="AF423" s="9">
        <v>1</v>
      </c>
      <c r="AG423" s="9">
        <v>1</v>
      </c>
      <c r="AH423" s="9">
        <v>1</v>
      </c>
      <c r="AI423" s="9">
        <v>0</v>
      </c>
      <c r="AJ423" s="12">
        <v>43475</v>
      </c>
      <c r="AK423" s="9">
        <v>2</v>
      </c>
      <c r="AL423" s="12">
        <v>43518</v>
      </c>
      <c r="AM423" s="9">
        <v>4</v>
      </c>
      <c r="AN423" s="12">
        <v>43543</v>
      </c>
      <c r="AO423" s="12">
        <v>43543</v>
      </c>
      <c r="AP423" s="12">
        <v>43543</v>
      </c>
      <c r="AQ423" s="9">
        <v>1</v>
      </c>
      <c r="AR423" s="9">
        <f t="shared" si="149"/>
        <v>1</v>
      </c>
      <c r="AS423" s="9">
        <v>1</v>
      </c>
      <c r="AT423" s="9">
        <v>2</v>
      </c>
      <c r="AU423" s="9">
        <v>2</v>
      </c>
      <c r="AV423" s="9">
        <f t="shared" si="150"/>
        <v>1</v>
      </c>
      <c r="AW423" s="12">
        <v>43543</v>
      </c>
      <c r="AX423" s="9">
        <v>5690</v>
      </c>
      <c r="AY423" s="9">
        <v>3930</v>
      </c>
      <c r="AZ423" s="9">
        <v>1090</v>
      </c>
      <c r="BA423" s="9">
        <v>3930</v>
      </c>
      <c r="BB423" s="9">
        <v>1090.000244140625</v>
      </c>
      <c r="BC423" s="9">
        <v>475000</v>
      </c>
      <c r="BD423" s="9">
        <v>370</v>
      </c>
      <c r="BE423" s="9">
        <v>100</v>
      </c>
      <c r="BF423" s="9"/>
      <c r="BG423" s="9">
        <v>8300</v>
      </c>
      <c r="BH423" s="9">
        <v>6000</v>
      </c>
      <c r="BI423" s="9"/>
      <c r="BJ423" s="9">
        <v>499000</v>
      </c>
      <c r="BK423" s="9"/>
      <c r="BL423" s="9"/>
      <c r="BM423" s="9"/>
      <c r="BN423" s="9"/>
      <c r="BO423" s="9">
        <v>6750</v>
      </c>
      <c r="BP423" s="9">
        <v>1440</v>
      </c>
      <c r="BQ423" s="9">
        <v>414000</v>
      </c>
      <c r="BR423" s="9">
        <v>520</v>
      </c>
      <c r="BS423" s="9">
        <v>70</v>
      </c>
      <c r="BT423" s="9">
        <v>406</v>
      </c>
      <c r="BU423" s="9">
        <v>8880</v>
      </c>
      <c r="BV423" s="9">
        <v>7940</v>
      </c>
      <c r="BW423" s="9">
        <v>1470</v>
      </c>
      <c r="BX423" s="9">
        <v>420000</v>
      </c>
      <c r="BY423" s="9">
        <v>590</v>
      </c>
      <c r="BZ423" s="10" t="s">
        <v>554</v>
      </c>
      <c r="CA423" s="9">
        <v>70</v>
      </c>
      <c r="CB423" s="9">
        <v>412</v>
      </c>
      <c r="CC423" s="10">
        <f t="shared" si="151"/>
        <v>3.6055037795872051</v>
      </c>
      <c r="CD423" s="10">
        <f t="shared" si="152"/>
        <v>435.77971890685052</v>
      </c>
      <c r="CE423" s="10">
        <f t="shared" si="167"/>
        <v>1712614.2953039224</v>
      </c>
      <c r="CF423" s="10">
        <f t="shared" si="165"/>
        <v>0</v>
      </c>
      <c r="CG423" s="10">
        <f t="shared" si="146"/>
        <v>0</v>
      </c>
      <c r="CH423" s="10">
        <f t="shared" si="147"/>
        <v>1</v>
      </c>
      <c r="CI423" s="9">
        <f t="shared" si="153"/>
        <v>1</v>
      </c>
      <c r="CJ423" s="10">
        <f t="shared" si="148"/>
        <v>2</v>
      </c>
      <c r="CK423" s="10" t="b">
        <f t="shared" si="154"/>
        <v>0</v>
      </c>
      <c r="CL423" s="10" t="b">
        <f t="shared" si="155"/>
        <v>0</v>
      </c>
      <c r="CM423" s="10" t="b">
        <f t="shared" si="156"/>
        <v>0</v>
      </c>
      <c r="CN423" s="9">
        <f t="shared" si="157"/>
        <v>1</v>
      </c>
      <c r="CO423" s="10">
        <f t="shared" si="166"/>
        <v>2</v>
      </c>
      <c r="CP423" s="10" t="b">
        <f t="shared" si="158"/>
        <v>0</v>
      </c>
      <c r="CQ423" s="10" t="b">
        <f t="shared" si="159"/>
        <v>0</v>
      </c>
      <c r="CR423" s="10" cm="1">
        <f t="array" ref="CR423">_xlfn.IFS(AND($CI423=0, CK423=FALSE), NA(), AND($CI423=1, CK423=FALSE), 0, CK423=TRUE, 1)</f>
        <v>0</v>
      </c>
      <c r="CS423" s="10" cm="1">
        <f t="array" ref="CS423">_xlfn.IFS(AND($CI423=0, CL423=FALSE), NA(), AND($CI423=1, CL423=FALSE), 0, CL423=TRUE, 1)</f>
        <v>0</v>
      </c>
      <c r="CT423" s="10" cm="1">
        <f t="array" ref="CT423">_xlfn.IFS(AND($CI423=0, CM423=FALSE), NA(), AND($CI423=1, CM423=FALSE), 0, CM423=TRUE, 1)</f>
        <v>0</v>
      </c>
      <c r="CU423" s="10" cm="1">
        <f t="array" ref="CU423">_xlfn.IFS(AND($CN423=0, CP423=FALSE), NA(), AND($CN423=1, CP423=FALSE), 0, CP423=TRUE, 1)</f>
        <v>0</v>
      </c>
      <c r="CV423" s="10" cm="1">
        <f t="array" ref="CV423">_xlfn.IFS(AND($CN423=0, CQ423=FALSE), NA(), AND($CN423=1, CQ423=FALSE), 0, CQ423=TRUE, 1)</f>
        <v>0</v>
      </c>
    </row>
    <row r="424" spans="1:100" ht="15.75" x14ac:dyDescent="0.25">
      <c r="A424" s="8">
        <v>423</v>
      </c>
      <c r="B424" s="9">
        <v>358</v>
      </c>
      <c r="C424" s="10" t="s">
        <v>28</v>
      </c>
      <c r="D424" s="11" t="s">
        <v>289</v>
      </c>
      <c r="E424" s="12">
        <v>23813</v>
      </c>
      <c r="F424" s="13">
        <v>2</v>
      </c>
      <c r="G424" s="9">
        <v>51.334701538085938</v>
      </c>
      <c r="H424" s="12">
        <v>42563</v>
      </c>
      <c r="I424" s="9">
        <v>1</v>
      </c>
      <c r="J424" s="12">
        <v>42562</v>
      </c>
      <c r="K424" s="9">
        <v>0</v>
      </c>
      <c r="L424" s="9">
        <v>2</v>
      </c>
      <c r="M424" s="10" t="s">
        <v>401</v>
      </c>
      <c r="N424" s="9">
        <v>2</v>
      </c>
      <c r="O424" s="10" t="s">
        <v>145</v>
      </c>
      <c r="P424" s="9">
        <v>2</v>
      </c>
      <c r="Q424" s="10" t="s">
        <v>411</v>
      </c>
      <c r="R424" s="12">
        <v>42704</v>
      </c>
      <c r="S424" s="10" t="s">
        <v>145</v>
      </c>
      <c r="T424" s="9">
        <v>5</v>
      </c>
      <c r="U424" s="10" t="s">
        <v>401</v>
      </c>
      <c r="V424" s="10" t="s">
        <v>401</v>
      </c>
      <c r="W424" s="9"/>
      <c r="X424" s="9"/>
      <c r="Y424" s="9">
        <v>3</v>
      </c>
      <c r="Z424" s="14">
        <v>1</v>
      </c>
      <c r="AA424" s="23">
        <v>13</v>
      </c>
      <c r="AB424" s="24">
        <v>92</v>
      </c>
      <c r="AC424" s="24">
        <v>14</v>
      </c>
      <c r="AD424" s="9">
        <v>2</v>
      </c>
      <c r="AE424" s="9">
        <v>2</v>
      </c>
      <c r="AF424" s="9">
        <v>1</v>
      </c>
      <c r="AG424" s="9">
        <v>1</v>
      </c>
      <c r="AH424" s="9">
        <v>1</v>
      </c>
      <c r="AI424" s="9">
        <v>0</v>
      </c>
      <c r="AJ424" s="12">
        <v>43125</v>
      </c>
      <c r="AK424" s="9">
        <v>2</v>
      </c>
      <c r="AL424" s="12">
        <v>43154</v>
      </c>
      <c r="AM424" s="9">
        <v>4</v>
      </c>
      <c r="AN424" s="12">
        <v>43186</v>
      </c>
      <c r="AO424" s="12">
        <v>43186</v>
      </c>
      <c r="AP424" s="12">
        <v>43186</v>
      </c>
      <c r="AQ424" s="9">
        <v>1</v>
      </c>
      <c r="AR424" s="9">
        <f t="shared" si="149"/>
        <v>1</v>
      </c>
      <c r="AS424" s="9">
        <v>1</v>
      </c>
      <c r="AT424" s="9">
        <v>2</v>
      </c>
      <c r="AU424" s="9">
        <v>1</v>
      </c>
      <c r="AV424" s="9">
        <f t="shared" si="150"/>
        <v>0</v>
      </c>
      <c r="AW424" s="12">
        <v>43311</v>
      </c>
      <c r="AX424" s="9">
        <v>11080</v>
      </c>
      <c r="AY424" s="9">
        <v>8810</v>
      </c>
      <c r="AZ424" s="9">
        <v>1310</v>
      </c>
      <c r="BA424" s="9">
        <v>8810</v>
      </c>
      <c r="BB424" s="9">
        <v>1310.0001220703125</v>
      </c>
      <c r="BC424" s="9">
        <v>409000</v>
      </c>
      <c r="BD424" s="9">
        <v>800</v>
      </c>
      <c r="BE424" s="9">
        <v>100</v>
      </c>
      <c r="BF424" s="9">
        <v>1302</v>
      </c>
      <c r="BG424" s="9">
        <v>11200</v>
      </c>
      <c r="BH424" s="9">
        <v>9670</v>
      </c>
      <c r="BI424" s="9">
        <v>730</v>
      </c>
      <c r="BJ424" s="9">
        <v>437000</v>
      </c>
      <c r="BK424" s="9">
        <v>640</v>
      </c>
      <c r="BL424" s="9">
        <v>100</v>
      </c>
      <c r="BM424" s="9">
        <v>1344</v>
      </c>
      <c r="BN424" s="9">
        <v>11640</v>
      </c>
      <c r="BO424" s="9">
        <v>9670</v>
      </c>
      <c r="BP424" s="9">
        <v>1000</v>
      </c>
      <c r="BQ424" s="9">
        <v>410000</v>
      </c>
      <c r="BR424" s="9">
        <v>760</v>
      </c>
      <c r="BS424" s="9">
        <v>80</v>
      </c>
      <c r="BT424" s="9">
        <v>1440</v>
      </c>
      <c r="BU424" s="9"/>
      <c r="BV424" s="9"/>
      <c r="BW424" s="9"/>
      <c r="BX424" s="9"/>
      <c r="BY424" s="9"/>
      <c r="BZ424" s="10" t="s">
        <v>401</v>
      </c>
      <c r="CA424" s="9"/>
      <c r="CB424" s="9"/>
      <c r="CC424" s="10">
        <f t="shared" si="151"/>
        <v>6.7251902130182666</v>
      </c>
      <c r="CD424" s="10">
        <f t="shared" si="152"/>
        <v>312.21371136486619</v>
      </c>
      <c r="CE424" s="10">
        <f t="shared" si="167"/>
        <v>2750602.797124471</v>
      </c>
      <c r="CF424" s="10">
        <f t="shared" si="165"/>
        <v>0</v>
      </c>
      <c r="CG424" s="10">
        <f t="shared" si="146"/>
        <v>0</v>
      </c>
      <c r="CH424" s="10">
        <f t="shared" si="147"/>
        <v>1</v>
      </c>
      <c r="CI424" s="9">
        <f t="shared" si="153"/>
        <v>0</v>
      </c>
      <c r="CJ424" s="10">
        <f t="shared" si="148"/>
        <v>6</v>
      </c>
      <c r="CK424" s="10" t="b">
        <f t="shared" si="154"/>
        <v>1</v>
      </c>
      <c r="CL424" s="10" t="b">
        <f t="shared" si="155"/>
        <v>0</v>
      </c>
      <c r="CM424" s="10" t="b">
        <f t="shared" si="156"/>
        <v>0</v>
      </c>
      <c r="CN424" s="9">
        <f t="shared" si="157"/>
        <v>1</v>
      </c>
      <c r="CO424" s="10">
        <f t="shared" si="166"/>
        <v>2</v>
      </c>
      <c r="CP424" s="10" t="b">
        <f t="shared" si="158"/>
        <v>0</v>
      </c>
      <c r="CQ424" s="10" t="b">
        <f t="shared" si="159"/>
        <v>0</v>
      </c>
      <c r="CR424" s="10" cm="1">
        <f t="array" ref="CR424">_xlfn.IFS(AND($CI424=0, CK424=FALSE), NA(), AND($CI424=1, CK424=FALSE), 0, CK424=TRUE, 1)</f>
        <v>1</v>
      </c>
      <c r="CS424" s="10" t="e" cm="1">
        <f t="array" ref="CS424">_xlfn.IFS(AND($CI424=0, CL424=FALSE), NA(), AND($CI424=1, CL424=FALSE), 0, CL424=TRUE, 1)</f>
        <v>#N/A</v>
      </c>
      <c r="CT424" s="10" t="e" cm="1">
        <f t="array" ref="CT424">_xlfn.IFS(AND($CI424=0, CM424=FALSE), NA(), AND($CI424=1, CM424=FALSE), 0, CM424=TRUE, 1)</f>
        <v>#N/A</v>
      </c>
      <c r="CU424" s="10" cm="1">
        <f t="array" ref="CU424">_xlfn.IFS(AND($CN424=0, CP424=FALSE), NA(), AND($CN424=1, CP424=FALSE), 0, CP424=TRUE, 1)</f>
        <v>0</v>
      </c>
      <c r="CV424" s="10" cm="1">
        <f t="array" ref="CV424">_xlfn.IFS(AND($CN424=0, CQ424=FALSE), NA(), AND($CN424=1, CQ424=FALSE), 0, CQ424=TRUE, 1)</f>
        <v>0</v>
      </c>
    </row>
    <row r="425" spans="1:100" ht="15.75" x14ac:dyDescent="0.25">
      <c r="A425" s="8">
        <v>424</v>
      </c>
      <c r="B425" s="9">
        <v>247</v>
      </c>
      <c r="C425" s="10" t="s">
        <v>20</v>
      </c>
      <c r="D425" s="11" t="s">
        <v>54</v>
      </c>
      <c r="E425" s="12">
        <v>25397</v>
      </c>
      <c r="F425" s="13">
        <v>1</v>
      </c>
      <c r="G425" s="9">
        <v>47.006160736083984</v>
      </c>
      <c r="H425" s="12">
        <v>42566</v>
      </c>
      <c r="I425" s="9">
        <v>1</v>
      </c>
      <c r="J425" s="12">
        <v>42566</v>
      </c>
      <c r="K425" s="9">
        <v>1</v>
      </c>
      <c r="L425" s="9">
        <v>1</v>
      </c>
      <c r="M425" s="10" t="s">
        <v>401</v>
      </c>
      <c r="N425" s="9">
        <v>3</v>
      </c>
      <c r="O425" s="10" t="s">
        <v>433</v>
      </c>
      <c r="P425" s="9">
        <v>3</v>
      </c>
      <c r="Q425" s="10" t="s">
        <v>433</v>
      </c>
      <c r="R425" s="12">
        <v>42566</v>
      </c>
      <c r="S425" s="10" t="s">
        <v>145</v>
      </c>
      <c r="T425" s="9"/>
      <c r="U425" s="10" t="s">
        <v>401</v>
      </c>
      <c r="V425" s="10" t="s">
        <v>401</v>
      </c>
      <c r="W425" s="9"/>
      <c r="X425" s="9"/>
      <c r="Y425" s="9">
        <v>2</v>
      </c>
      <c r="Z425" s="14">
        <v>1</v>
      </c>
      <c r="AB425" s="9"/>
      <c r="AC425" s="9"/>
      <c r="AD425" s="9">
        <v>3</v>
      </c>
      <c r="AE425" s="9">
        <v>3</v>
      </c>
      <c r="AF425" s="9">
        <v>2</v>
      </c>
      <c r="AG425" s="9">
        <v>1</v>
      </c>
      <c r="AH425" s="9">
        <v>1</v>
      </c>
      <c r="AI425" s="9">
        <v>0</v>
      </c>
      <c r="AJ425" s="12">
        <v>43023</v>
      </c>
      <c r="AK425" s="9">
        <v>2</v>
      </c>
      <c r="AL425" s="12">
        <v>43528</v>
      </c>
      <c r="AM425" s="9">
        <v>3</v>
      </c>
      <c r="AN425" s="12">
        <v>43279</v>
      </c>
      <c r="AO425" s="12">
        <v>43482</v>
      </c>
      <c r="AP425" s="12">
        <v>43570</v>
      </c>
      <c r="AQ425" s="9">
        <v>1</v>
      </c>
      <c r="AR425" s="9">
        <f t="shared" si="149"/>
        <v>1</v>
      </c>
      <c r="AS425" s="9">
        <v>1</v>
      </c>
      <c r="AT425" s="9">
        <v>1</v>
      </c>
      <c r="AU425" s="9">
        <v>2</v>
      </c>
      <c r="AV425" s="9">
        <f t="shared" si="150"/>
        <v>1</v>
      </c>
      <c r="AW425" s="12">
        <v>43600</v>
      </c>
      <c r="AX425" s="9">
        <v>7240</v>
      </c>
      <c r="AY425" s="9">
        <v>4633</v>
      </c>
      <c r="AZ425" s="9"/>
      <c r="BA425" s="9">
        <v>4633</v>
      </c>
      <c r="BB425" s="9">
        <v>1510.5535888671875</v>
      </c>
      <c r="BC425" s="9">
        <v>138000</v>
      </c>
      <c r="BD425" s="9"/>
      <c r="BE425" s="9"/>
      <c r="BF425" s="9"/>
      <c r="BG425" s="9">
        <v>4730</v>
      </c>
      <c r="BH425" s="9">
        <v>2081</v>
      </c>
      <c r="BI425" s="9"/>
      <c r="BJ425" s="9">
        <v>198000</v>
      </c>
      <c r="BK425" s="9"/>
      <c r="BL425" s="9"/>
      <c r="BM425" s="9"/>
      <c r="BN425" s="9">
        <v>5640</v>
      </c>
      <c r="BO425" s="9">
        <v>2538</v>
      </c>
      <c r="BP425" s="9"/>
      <c r="BQ425" s="9">
        <v>191000</v>
      </c>
      <c r="BR425" s="9"/>
      <c r="BS425" s="9"/>
      <c r="BT425" s="9"/>
      <c r="BU425" s="9">
        <v>5300</v>
      </c>
      <c r="BV425" s="9"/>
      <c r="BW425" s="9"/>
      <c r="BX425" s="9">
        <v>163000</v>
      </c>
      <c r="BY425" s="9"/>
      <c r="BZ425" s="10" t="s">
        <v>401</v>
      </c>
      <c r="CA425" s="9"/>
      <c r="CB425" s="9"/>
      <c r="CC425" s="10">
        <f t="shared" si="151"/>
        <v>3.0670874798122423</v>
      </c>
      <c r="CD425" s="10">
        <f t="shared" si="152"/>
        <v>91.357235530776904</v>
      </c>
      <c r="CE425" s="10">
        <f t="shared" si="167"/>
        <v>423258.07221408945</v>
      </c>
      <c r="CF425" s="10">
        <f t="shared" si="165"/>
        <v>1</v>
      </c>
      <c r="CG425" s="10">
        <f t="shared" si="146"/>
        <v>0</v>
      </c>
      <c r="CH425" s="10">
        <f t="shared" si="147"/>
        <v>17</v>
      </c>
      <c r="CI425" s="9">
        <f t="shared" si="153"/>
        <v>1</v>
      </c>
      <c r="CJ425" s="10">
        <f t="shared" si="148"/>
        <v>19</v>
      </c>
      <c r="CK425" s="10" t="b">
        <f t="shared" si="154"/>
        <v>1</v>
      </c>
      <c r="CL425" s="10" t="b">
        <f t="shared" si="155"/>
        <v>1</v>
      </c>
      <c r="CM425" s="10" t="b">
        <f t="shared" si="156"/>
        <v>0</v>
      </c>
      <c r="CN425" s="9">
        <f t="shared" si="157"/>
        <v>1</v>
      </c>
      <c r="CO425" s="10">
        <f t="shared" si="166"/>
        <v>15</v>
      </c>
      <c r="CP425" s="10" t="b">
        <f t="shared" si="158"/>
        <v>1</v>
      </c>
      <c r="CQ425" s="10" t="b">
        <f t="shared" si="159"/>
        <v>1</v>
      </c>
      <c r="CR425" s="10" cm="1">
        <f t="array" ref="CR425">_xlfn.IFS(AND($CI425=0, CK425=FALSE), NA(), AND($CI425=1, CK425=FALSE), 0, CK425=TRUE, 1)</f>
        <v>1</v>
      </c>
      <c r="CS425" s="10" cm="1">
        <f t="array" ref="CS425">_xlfn.IFS(AND($CI425=0, CL425=FALSE), NA(), AND($CI425=1, CL425=FALSE), 0, CL425=TRUE, 1)</f>
        <v>1</v>
      </c>
      <c r="CT425" s="10" cm="1">
        <f t="array" ref="CT425">_xlfn.IFS(AND($CI425=0, CM425=FALSE), NA(), AND($CI425=1, CM425=FALSE), 0, CM425=TRUE, 1)</f>
        <v>0</v>
      </c>
      <c r="CU425" s="10" cm="1">
        <f t="array" ref="CU425">_xlfn.IFS(AND($CN425=0, CP425=FALSE), NA(), AND($CN425=1, CP425=FALSE), 0, CP425=TRUE, 1)</f>
        <v>1</v>
      </c>
      <c r="CV425" s="10" cm="1">
        <f t="array" ref="CV425">_xlfn.IFS(AND($CN425=0, CQ425=FALSE), NA(), AND($CN425=1, CQ425=FALSE), 0, CQ425=TRUE, 1)</f>
        <v>1</v>
      </c>
    </row>
    <row r="426" spans="1:100" ht="15.75" x14ac:dyDescent="0.25">
      <c r="A426" s="8">
        <v>425</v>
      </c>
      <c r="B426" s="9">
        <v>207</v>
      </c>
      <c r="C426" s="10" t="s">
        <v>18</v>
      </c>
      <c r="D426" s="11" t="s">
        <v>210</v>
      </c>
      <c r="E426" s="12">
        <v>17876</v>
      </c>
      <c r="F426" s="13">
        <v>2</v>
      </c>
      <c r="G426" s="9">
        <v>67.613960266113281</v>
      </c>
      <c r="H426" s="12">
        <v>42572</v>
      </c>
      <c r="I426" s="9">
        <v>1</v>
      </c>
      <c r="J426" s="12">
        <v>42572</v>
      </c>
      <c r="K426" s="9">
        <v>0</v>
      </c>
      <c r="L426" s="9">
        <v>1</v>
      </c>
      <c r="M426" s="10" t="s">
        <v>401</v>
      </c>
      <c r="N426" s="9">
        <v>2</v>
      </c>
      <c r="O426" s="10" t="s">
        <v>428</v>
      </c>
      <c r="P426" s="9">
        <v>2</v>
      </c>
      <c r="Q426" s="10" t="s">
        <v>147</v>
      </c>
      <c r="R426" s="12">
        <v>43012</v>
      </c>
      <c r="S426" s="10" t="s">
        <v>145</v>
      </c>
      <c r="T426" s="9"/>
      <c r="U426" s="10" t="s">
        <v>401</v>
      </c>
      <c r="V426" s="10" t="s">
        <v>401</v>
      </c>
      <c r="W426" s="9"/>
      <c r="X426" s="9"/>
      <c r="Y426" s="9">
        <v>2</v>
      </c>
      <c r="Z426" s="14">
        <v>1</v>
      </c>
      <c r="AA426" s="17">
        <v>10.6</v>
      </c>
      <c r="AB426" s="18"/>
      <c r="AC426" s="18">
        <v>23</v>
      </c>
      <c r="AD426" s="9">
        <v>3</v>
      </c>
      <c r="AE426" s="9">
        <v>3</v>
      </c>
      <c r="AF426" s="9">
        <v>1</v>
      </c>
      <c r="AG426" s="9">
        <v>0</v>
      </c>
      <c r="AH426" s="9">
        <v>1</v>
      </c>
      <c r="AI426" s="9">
        <v>0</v>
      </c>
      <c r="AJ426" s="12">
        <v>43248</v>
      </c>
      <c r="AK426" s="9">
        <v>2</v>
      </c>
      <c r="AL426" s="12">
        <v>43248</v>
      </c>
      <c r="AM426" s="9">
        <v>4</v>
      </c>
      <c r="AN426" s="12">
        <v>43307</v>
      </c>
      <c r="AO426" s="12">
        <v>43307</v>
      </c>
      <c r="AP426" s="12">
        <v>43307</v>
      </c>
      <c r="AQ426" s="9">
        <v>1</v>
      </c>
      <c r="AR426" s="9">
        <f t="shared" si="149"/>
        <v>1</v>
      </c>
      <c r="AS426" s="9">
        <v>1</v>
      </c>
      <c r="AT426" s="9">
        <v>2</v>
      </c>
      <c r="AU426" s="9">
        <v>2</v>
      </c>
      <c r="AV426" s="9">
        <f t="shared" si="150"/>
        <v>1</v>
      </c>
      <c r="AW426" s="12">
        <v>43307</v>
      </c>
      <c r="AX426" s="9">
        <v>13490</v>
      </c>
      <c r="AY426" s="9">
        <v>11290</v>
      </c>
      <c r="AZ426" s="9">
        <v>1210</v>
      </c>
      <c r="BA426" s="9">
        <v>11290</v>
      </c>
      <c r="BB426" s="9">
        <v>1210.000244140625</v>
      </c>
      <c r="BC426" s="9">
        <v>563000</v>
      </c>
      <c r="BD426" s="9">
        <v>930</v>
      </c>
      <c r="BE426" s="9">
        <v>10</v>
      </c>
      <c r="BF426" s="9">
        <v>180</v>
      </c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10" t="s">
        <v>401</v>
      </c>
      <c r="CA426" s="9"/>
      <c r="CB426" s="9"/>
      <c r="CC426" s="10">
        <f t="shared" si="151"/>
        <v>9.3305766297745372</v>
      </c>
      <c r="CD426" s="10">
        <f t="shared" si="152"/>
        <v>465.28916231736622</v>
      </c>
      <c r="CE426" s="10">
        <f t="shared" si="167"/>
        <v>5253114.6425630646</v>
      </c>
      <c r="CF426" s="10">
        <f t="shared" si="165"/>
        <v>0</v>
      </c>
      <c r="CG426" s="10">
        <f t="shared" si="146"/>
        <v>0</v>
      </c>
      <c r="CH426" s="10">
        <f t="shared" si="147"/>
        <v>0</v>
      </c>
      <c r="CI426" s="9">
        <f t="shared" si="153"/>
        <v>1</v>
      </c>
      <c r="CJ426" s="10">
        <f t="shared" si="148"/>
        <v>2</v>
      </c>
      <c r="CK426" s="10" t="b">
        <f t="shared" si="154"/>
        <v>0</v>
      </c>
      <c r="CL426" s="10" t="b">
        <f t="shared" si="155"/>
        <v>0</v>
      </c>
      <c r="CM426" s="10" t="b">
        <f t="shared" si="156"/>
        <v>0</v>
      </c>
      <c r="CN426" s="9">
        <f t="shared" si="157"/>
        <v>1</v>
      </c>
      <c r="CO426" s="10">
        <f t="shared" si="166"/>
        <v>2</v>
      </c>
      <c r="CP426" s="10" t="b">
        <f t="shared" si="158"/>
        <v>0</v>
      </c>
      <c r="CQ426" s="10" t="b">
        <f t="shared" si="159"/>
        <v>0</v>
      </c>
      <c r="CR426" s="10" cm="1">
        <f t="array" ref="CR426">_xlfn.IFS(AND($CI426=0, CK426=FALSE), NA(), AND($CI426=1, CK426=FALSE), 0, CK426=TRUE, 1)</f>
        <v>0</v>
      </c>
      <c r="CS426" s="10" cm="1">
        <f t="array" ref="CS426">_xlfn.IFS(AND($CI426=0, CL426=FALSE), NA(), AND($CI426=1, CL426=FALSE), 0, CL426=TRUE, 1)</f>
        <v>0</v>
      </c>
      <c r="CT426" s="10" cm="1">
        <f t="array" ref="CT426">_xlfn.IFS(AND($CI426=0, CM426=FALSE), NA(), AND($CI426=1, CM426=FALSE), 0, CM426=TRUE, 1)</f>
        <v>0</v>
      </c>
      <c r="CU426" s="10" cm="1">
        <f t="array" ref="CU426">_xlfn.IFS(AND($CN426=0, CP426=FALSE), NA(), AND($CN426=1, CP426=FALSE), 0, CP426=TRUE, 1)</f>
        <v>0</v>
      </c>
      <c r="CV426" s="10" cm="1">
        <f t="array" ref="CV426">_xlfn.IFS(AND($CN426=0, CQ426=FALSE), NA(), AND($CN426=1, CQ426=FALSE), 0, CQ426=TRUE, 1)</f>
        <v>0</v>
      </c>
    </row>
    <row r="427" spans="1:100" ht="15.75" x14ac:dyDescent="0.25">
      <c r="A427" s="8">
        <v>426</v>
      </c>
      <c r="B427" s="9">
        <v>327</v>
      </c>
      <c r="C427" s="10" t="s">
        <v>25</v>
      </c>
      <c r="D427" s="11" t="s">
        <v>273</v>
      </c>
      <c r="E427" s="12">
        <v>17634</v>
      </c>
      <c r="F427" s="13">
        <v>1</v>
      </c>
      <c r="G427" s="9">
        <v>68.298423767089844</v>
      </c>
      <c r="H427" s="12">
        <v>42580</v>
      </c>
      <c r="I427" s="9">
        <v>1</v>
      </c>
      <c r="J427" s="12">
        <v>42580</v>
      </c>
      <c r="K427" s="9">
        <v>0</v>
      </c>
      <c r="L427" s="9">
        <v>1</v>
      </c>
      <c r="M427" s="10" t="s">
        <v>401</v>
      </c>
      <c r="N427" s="9">
        <v>2</v>
      </c>
      <c r="O427" s="10" t="s">
        <v>421</v>
      </c>
      <c r="P427" s="9">
        <v>2</v>
      </c>
      <c r="Q427" s="10" t="s">
        <v>421</v>
      </c>
      <c r="R427" s="12">
        <v>42755</v>
      </c>
      <c r="S427" s="10" t="s">
        <v>146</v>
      </c>
      <c r="T427" s="9"/>
      <c r="U427" s="10" t="s">
        <v>401</v>
      </c>
      <c r="V427" s="10" t="s">
        <v>401</v>
      </c>
      <c r="W427" s="9"/>
      <c r="X427" s="9"/>
      <c r="Y427" s="9">
        <v>2</v>
      </c>
      <c r="Z427" s="14">
        <v>2</v>
      </c>
      <c r="AA427" s="15">
        <v>11.3</v>
      </c>
      <c r="AB427" s="16">
        <v>97.6</v>
      </c>
      <c r="AC427" s="16">
        <v>13.7</v>
      </c>
      <c r="AD427" s="9">
        <v>2</v>
      </c>
      <c r="AE427" s="9">
        <v>2</v>
      </c>
      <c r="AF427" s="9">
        <v>1</v>
      </c>
      <c r="AG427" s="9">
        <v>1</v>
      </c>
      <c r="AH427" s="9">
        <v>1</v>
      </c>
      <c r="AI427" s="9">
        <v>1</v>
      </c>
      <c r="AJ427" s="12">
        <v>42976</v>
      </c>
      <c r="AK427" s="9">
        <v>2</v>
      </c>
      <c r="AL427" s="12">
        <v>43739</v>
      </c>
      <c r="AM427" s="9">
        <v>3</v>
      </c>
      <c r="AN427" s="12">
        <v>43656</v>
      </c>
      <c r="AO427" s="12">
        <v>43794</v>
      </c>
      <c r="AP427" s="12">
        <v>43794</v>
      </c>
      <c r="AQ427" s="9">
        <v>1</v>
      </c>
      <c r="AR427" s="9">
        <f t="shared" si="149"/>
        <v>1</v>
      </c>
      <c r="AS427" s="9">
        <v>1</v>
      </c>
      <c r="AT427" s="9">
        <v>2</v>
      </c>
      <c r="AU427" s="9">
        <v>1</v>
      </c>
      <c r="AV427" s="9">
        <f t="shared" si="150"/>
        <v>0</v>
      </c>
      <c r="AW427" s="12">
        <v>44859</v>
      </c>
      <c r="AX427" s="9">
        <v>6060</v>
      </c>
      <c r="AY427" s="9">
        <v>2700</v>
      </c>
      <c r="AZ427" s="9">
        <v>2700</v>
      </c>
      <c r="BA427" s="9">
        <v>2700</v>
      </c>
      <c r="BB427" s="9">
        <v>2700.000244140625</v>
      </c>
      <c r="BC427" s="9">
        <v>161000</v>
      </c>
      <c r="BD427" s="9">
        <v>300</v>
      </c>
      <c r="BE427" s="9">
        <v>200</v>
      </c>
      <c r="BF427" s="9">
        <v>201</v>
      </c>
      <c r="BG427" s="9">
        <v>8060</v>
      </c>
      <c r="BH427" s="9">
        <v>3800</v>
      </c>
      <c r="BI427" s="9">
        <v>3400</v>
      </c>
      <c r="BJ427" s="9">
        <v>183000</v>
      </c>
      <c r="BK427" s="9">
        <v>400</v>
      </c>
      <c r="BL427" s="9">
        <v>300</v>
      </c>
      <c r="BM427" s="9">
        <v>160</v>
      </c>
      <c r="BN427" s="9">
        <v>5940</v>
      </c>
      <c r="BO427" s="9">
        <v>2700</v>
      </c>
      <c r="BP427" s="9">
        <v>2500</v>
      </c>
      <c r="BQ427" s="9">
        <v>193000</v>
      </c>
      <c r="BR427" s="9">
        <v>200</v>
      </c>
      <c r="BS427" s="9">
        <v>300</v>
      </c>
      <c r="BT427" s="9">
        <v>199</v>
      </c>
      <c r="BU427" s="9">
        <v>7110</v>
      </c>
      <c r="BV427" s="9">
        <v>2800</v>
      </c>
      <c r="BW427" s="9">
        <v>3400</v>
      </c>
      <c r="BX427" s="9">
        <v>189000</v>
      </c>
      <c r="BY427" s="9">
        <v>400</v>
      </c>
      <c r="BZ427" s="10" t="s">
        <v>543</v>
      </c>
      <c r="CA427" s="9">
        <v>400</v>
      </c>
      <c r="CB427" s="9">
        <v>216</v>
      </c>
      <c r="CC427" s="10">
        <f t="shared" si="151"/>
        <v>0.99999990957755447</v>
      </c>
      <c r="CD427" s="10">
        <f t="shared" si="152"/>
        <v>59.629624237772695</v>
      </c>
      <c r="CE427" s="10">
        <f t="shared" si="167"/>
        <v>160999.98544198627</v>
      </c>
      <c r="CF427" s="10">
        <f t="shared" si="165"/>
        <v>1</v>
      </c>
      <c r="CG427" s="10">
        <f t="shared" si="146"/>
        <v>0</v>
      </c>
      <c r="CH427" s="10">
        <f t="shared" si="147"/>
        <v>26</v>
      </c>
      <c r="CI427" s="9">
        <f t="shared" si="153"/>
        <v>0</v>
      </c>
      <c r="CJ427" s="10">
        <f t="shared" si="148"/>
        <v>62</v>
      </c>
      <c r="CK427" s="10" t="b">
        <f t="shared" si="154"/>
        <v>1</v>
      </c>
      <c r="CL427" s="10" t="b">
        <f t="shared" si="155"/>
        <v>1</v>
      </c>
      <c r="CM427" s="10" t="b">
        <f t="shared" si="156"/>
        <v>1</v>
      </c>
      <c r="CN427" s="9">
        <f t="shared" si="157"/>
        <v>1</v>
      </c>
      <c r="CO427" s="10">
        <f t="shared" si="166"/>
        <v>27</v>
      </c>
      <c r="CP427" s="10" t="b">
        <f t="shared" si="158"/>
        <v>1</v>
      </c>
      <c r="CQ427" s="10" t="b">
        <f t="shared" si="159"/>
        <v>1</v>
      </c>
      <c r="CR427" s="10" cm="1">
        <f t="array" ref="CR427">_xlfn.IFS(AND($CI427=0, CK427=FALSE), NA(), AND($CI427=1, CK427=FALSE), 0, CK427=TRUE, 1)</f>
        <v>1</v>
      </c>
      <c r="CS427" s="10" cm="1">
        <f t="array" ref="CS427">_xlfn.IFS(AND($CI427=0, CL427=FALSE), NA(), AND($CI427=1, CL427=FALSE), 0, CL427=TRUE, 1)</f>
        <v>1</v>
      </c>
      <c r="CT427" s="10" cm="1">
        <f t="array" ref="CT427">_xlfn.IFS(AND($CI427=0, CM427=FALSE), NA(), AND($CI427=1, CM427=FALSE), 0, CM427=TRUE, 1)</f>
        <v>1</v>
      </c>
      <c r="CU427" s="10" cm="1">
        <f t="array" ref="CU427">_xlfn.IFS(AND($CN427=0, CP427=FALSE), NA(), AND($CN427=1, CP427=FALSE), 0, CP427=TRUE, 1)</f>
        <v>1</v>
      </c>
      <c r="CV427" s="10" cm="1">
        <f t="array" ref="CV427">_xlfn.IFS(AND($CN427=0, CQ427=FALSE), NA(), AND($CN427=1, CQ427=FALSE), 0, CQ427=TRUE, 1)</f>
        <v>1</v>
      </c>
    </row>
    <row r="428" spans="1:100" ht="15.75" x14ac:dyDescent="0.25">
      <c r="A428" s="8">
        <v>427</v>
      </c>
      <c r="B428" s="9">
        <v>205</v>
      </c>
      <c r="C428" s="10" t="s">
        <v>18</v>
      </c>
      <c r="D428" s="11" t="s">
        <v>209</v>
      </c>
      <c r="E428" s="12">
        <v>25095</v>
      </c>
      <c r="F428" s="13">
        <v>1</v>
      </c>
      <c r="G428" s="9">
        <v>47.879535675048828</v>
      </c>
      <c r="H428" s="12">
        <v>42583</v>
      </c>
      <c r="I428" s="9">
        <v>1</v>
      </c>
      <c r="J428" s="12">
        <v>42649</v>
      </c>
      <c r="K428" s="9">
        <v>1</v>
      </c>
      <c r="L428" s="9">
        <v>1</v>
      </c>
      <c r="M428" s="10" t="s">
        <v>401</v>
      </c>
      <c r="N428" s="9">
        <v>2</v>
      </c>
      <c r="O428" s="10" t="s">
        <v>145</v>
      </c>
      <c r="P428" s="9">
        <v>2</v>
      </c>
      <c r="Q428" s="10" t="s">
        <v>145</v>
      </c>
      <c r="R428" s="12">
        <v>42594</v>
      </c>
      <c r="S428" s="10" t="s">
        <v>145</v>
      </c>
      <c r="T428" s="9"/>
      <c r="U428" s="10" t="s">
        <v>401</v>
      </c>
      <c r="V428" s="10" t="s">
        <v>401</v>
      </c>
      <c r="W428" s="9"/>
      <c r="X428" s="9"/>
      <c r="Y428" s="9">
        <v>2</v>
      </c>
      <c r="Z428" s="14">
        <v>1</v>
      </c>
      <c r="AA428" s="17">
        <v>13.4</v>
      </c>
      <c r="AB428" s="18">
        <v>13.9</v>
      </c>
      <c r="AC428" s="18">
        <v>14</v>
      </c>
      <c r="AD428" s="9">
        <v>2</v>
      </c>
      <c r="AE428" s="9">
        <v>2</v>
      </c>
      <c r="AF428" s="9">
        <v>1</v>
      </c>
      <c r="AG428" s="9">
        <v>1</v>
      </c>
      <c r="AH428" s="9">
        <v>0</v>
      </c>
      <c r="AI428" s="9">
        <v>0</v>
      </c>
      <c r="AJ428" s="12">
        <v>43798</v>
      </c>
      <c r="AK428" s="9">
        <v>2</v>
      </c>
      <c r="AL428" s="12">
        <v>43966</v>
      </c>
      <c r="AM428" s="9">
        <v>3</v>
      </c>
      <c r="AN428" s="12">
        <v>43879</v>
      </c>
      <c r="AO428" s="12">
        <v>43966</v>
      </c>
      <c r="AP428" s="12">
        <v>43966</v>
      </c>
      <c r="AQ428" s="9">
        <v>1</v>
      </c>
      <c r="AR428" s="9">
        <f t="shared" si="149"/>
        <v>1</v>
      </c>
      <c r="AS428" s="9">
        <v>1</v>
      </c>
      <c r="AT428" s="9">
        <v>2</v>
      </c>
      <c r="AU428" s="9">
        <v>1</v>
      </c>
      <c r="AV428" s="9">
        <f t="shared" si="150"/>
        <v>0</v>
      </c>
      <c r="AW428" s="12">
        <v>44998</v>
      </c>
      <c r="AX428" s="9">
        <v>7060</v>
      </c>
      <c r="AY428" s="9">
        <v>3910</v>
      </c>
      <c r="AZ428" s="9">
        <v>2300</v>
      </c>
      <c r="BA428" s="9">
        <v>3910</v>
      </c>
      <c r="BB428" s="9">
        <v>2300.000244140625</v>
      </c>
      <c r="BC428" s="9">
        <v>183000</v>
      </c>
      <c r="BD428" s="9">
        <v>640</v>
      </c>
      <c r="BE428" s="9">
        <v>170</v>
      </c>
      <c r="BF428" s="9">
        <v>254</v>
      </c>
      <c r="BG428" s="9">
        <v>10300</v>
      </c>
      <c r="BH428" s="9">
        <v>6610</v>
      </c>
      <c r="BI428" s="9">
        <v>2230</v>
      </c>
      <c r="BJ428" s="9">
        <v>196000</v>
      </c>
      <c r="BK428" s="9">
        <v>860</v>
      </c>
      <c r="BL428" s="9">
        <v>490</v>
      </c>
      <c r="BM428" s="9">
        <v>291</v>
      </c>
      <c r="BN428" s="9">
        <v>7280</v>
      </c>
      <c r="BO428" s="9">
        <v>4750</v>
      </c>
      <c r="BP428" s="9">
        <v>1790</v>
      </c>
      <c r="BQ428" s="9">
        <v>18600</v>
      </c>
      <c r="BR428" s="9">
        <v>500</v>
      </c>
      <c r="BS428" s="9">
        <v>1800</v>
      </c>
      <c r="BT428" s="9">
        <v>208</v>
      </c>
      <c r="BU428" s="9">
        <v>8590</v>
      </c>
      <c r="BV428" s="9">
        <v>5750</v>
      </c>
      <c r="BW428" s="9">
        <v>2060</v>
      </c>
      <c r="BX428" s="9">
        <v>197000</v>
      </c>
      <c r="BY428" s="9">
        <v>540</v>
      </c>
      <c r="BZ428" s="10" t="s">
        <v>547</v>
      </c>
      <c r="CA428" s="9">
        <v>180</v>
      </c>
      <c r="CB428" s="9">
        <v>227</v>
      </c>
      <c r="CC428" s="10">
        <f t="shared" si="151"/>
        <v>1.6999998195482529</v>
      </c>
      <c r="CD428" s="10">
        <f t="shared" si="152"/>
        <v>79.565208945608759</v>
      </c>
      <c r="CE428" s="10">
        <f t="shared" si="167"/>
        <v>311099.96697733027</v>
      </c>
      <c r="CF428" s="10">
        <f t="shared" si="165"/>
        <v>1</v>
      </c>
      <c r="CG428" s="10">
        <f t="shared" si="146"/>
        <v>0</v>
      </c>
      <c r="CH428" s="10">
        <f t="shared" si="147"/>
        <v>6</v>
      </c>
      <c r="CI428" s="9">
        <f t="shared" si="153"/>
        <v>0</v>
      </c>
      <c r="CJ428" s="10">
        <f t="shared" si="148"/>
        <v>40</v>
      </c>
      <c r="CK428" s="10" t="b">
        <f t="shared" si="154"/>
        <v>1</v>
      </c>
      <c r="CL428" s="10" t="b">
        <f t="shared" si="155"/>
        <v>1</v>
      </c>
      <c r="CM428" s="10" t="b">
        <f t="shared" si="156"/>
        <v>1</v>
      </c>
      <c r="CN428" s="9">
        <f t="shared" si="157"/>
        <v>1</v>
      </c>
      <c r="CO428" s="10">
        <f t="shared" si="166"/>
        <v>6</v>
      </c>
      <c r="CP428" s="10" t="b">
        <f t="shared" si="158"/>
        <v>1</v>
      </c>
      <c r="CQ428" s="10" t="b">
        <f t="shared" si="159"/>
        <v>0</v>
      </c>
      <c r="CR428" s="10" cm="1">
        <f t="array" ref="CR428">_xlfn.IFS(AND($CI428=0, CK428=FALSE), NA(), AND($CI428=1, CK428=FALSE), 0, CK428=TRUE, 1)</f>
        <v>1</v>
      </c>
      <c r="CS428" s="10" cm="1">
        <f t="array" ref="CS428">_xlfn.IFS(AND($CI428=0, CL428=FALSE), NA(), AND($CI428=1, CL428=FALSE), 0, CL428=TRUE, 1)</f>
        <v>1</v>
      </c>
      <c r="CT428" s="10" cm="1">
        <f t="array" ref="CT428">_xlfn.IFS(AND($CI428=0, CM428=FALSE), NA(), AND($CI428=1, CM428=FALSE), 0, CM428=TRUE, 1)</f>
        <v>1</v>
      </c>
      <c r="CU428" s="10" cm="1">
        <f t="array" ref="CU428">_xlfn.IFS(AND($CN428=0, CP428=FALSE), NA(), AND($CN428=1, CP428=FALSE), 0, CP428=TRUE, 1)</f>
        <v>1</v>
      </c>
      <c r="CV428" s="10" cm="1">
        <f t="array" ref="CV428">_xlfn.IFS(AND($CN428=0, CQ428=FALSE), NA(), AND($CN428=1, CQ428=FALSE), 0, CQ428=TRUE, 1)</f>
        <v>0</v>
      </c>
    </row>
    <row r="429" spans="1:100" ht="15.75" x14ac:dyDescent="0.25">
      <c r="A429" s="8">
        <v>428</v>
      </c>
      <c r="B429" s="9">
        <v>138</v>
      </c>
      <c r="C429" s="10" t="s">
        <v>16</v>
      </c>
      <c r="D429" s="11" t="s">
        <v>135</v>
      </c>
      <c r="E429" s="12">
        <v>13781</v>
      </c>
      <c r="F429" s="13">
        <v>1</v>
      </c>
      <c r="G429" s="9">
        <v>78.858314514160156</v>
      </c>
      <c r="H429" s="12">
        <v>42584</v>
      </c>
      <c r="I429" s="9">
        <v>1</v>
      </c>
      <c r="J429" s="12">
        <v>42584</v>
      </c>
      <c r="K429" s="9">
        <v>1</v>
      </c>
      <c r="L429" s="9">
        <v>1</v>
      </c>
      <c r="M429" s="10" t="s">
        <v>401</v>
      </c>
      <c r="N429" s="9">
        <v>3</v>
      </c>
      <c r="O429" s="10" t="s">
        <v>427</v>
      </c>
      <c r="P429" s="9">
        <v>2</v>
      </c>
      <c r="Q429" s="10" t="s">
        <v>409</v>
      </c>
      <c r="R429" s="12">
        <v>42584</v>
      </c>
      <c r="S429" s="10" t="s">
        <v>146</v>
      </c>
      <c r="T429" s="9"/>
      <c r="U429" s="10" t="s">
        <v>401</v>
      </c>
      <c r="V429" s="10" t="s">
        <v>401</v>
      </c>
      <c r="W429" s="9"/>
      <c r="X429" s="9"/>
      <c r="Y429" s="9">
        <v>2</v>
      </c>
      <c r="Z429" s="14">
        <v>2</v>
      </c>
      <c r="AA429" s="15">
        <v>9.3000000000000007</v>
      </c>
      <c r="AB429" s="16">
        <v>71</v>
      </c>
      <c r="AC429" s="16">
        <v>19</v>
      </c>
      <c r="AD429" s="9">
        <v>3</v>
      </c>
      <c r="AE429" s="9">
        <v>2</v>
      </c>
      <c r="AF429" s="9">
        <v>1</v>
      </c>
      <c r="AG429" s="9">
        <v>0</v>
      </c>
      <c r="AH429" s="9">
        <v>1</v>
      </c>
      <c r="AI429" s="9">
        <v>0</v>
      </c>
      <c r="AJ429" s="12">
        <v>42845</v>
      </c>
      <c r="AK429" s="9">
        <v>2</v>
      </c>
      <c r="AL429" s="12">
        <v>42845</v>
      </c>
      <c r="AM429" s="9">
        <v>4</v>
      </c>
      <c r="AN429" s="12">
        <v>42929</v>
      </c>
      <c r="AO429" s="12">
        <v>42929</v>
      </c>
      <c r="AP429" s="12">
        <v>42929</v>
      </c>
      <c r="AQ429" s="9">
        <v>1</v>
      </c>
      <c r="AR429" s="9">
        <f t="shared" si="149"/>
        <v>1</v>
      </c>
      <c r="AS429" s="9">
        <v>1</v>
      </c>
      <c r="AT429" s="9">
        <v>2</v>
      </c>
      <c r="AU429" s="9">
        <v>2</v>
      </c>
      <c r="AV429" s="9">
        <f t="shared" si="150"/>
        <v>1</v>
      </c>
      <c r="AW429" s="12">
        <v>42929</v>
      </c>
      <c r="AX429" s="9">
        <v>6160</v>
      </c>
      <c r="AY429" s="9">
        <v>4300</v>
      </c>
      <c r="AZ429" s="9"/>
      <c r="BA429" s="9">
        <v>4300</v>
      </c>
      <c r="BB429" s="9">
        <v>1299.220703125</v>
      </c>
      <c r="BC429" s="9">
        <v>455000</v>
      </c>
      <c r="BD429" s="9"/>
      <c r="BE429" s="9"/>
      <c r="BF429" s="9">
        <v>145</v>
      </c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10" t="s">
        <v>401</v>
      </c>
      <c r="CA429" s="9"/>
      <c r="CB429" s="9"/>
      <c r="CC429" s="10">
        <f t="shared" si="151"/>
        <v>3.3096763233969884</v>
      </c>
      <c r="CD429" s="10">
        <f t="shared" si="152"/>
        <v>350.20993654549528</v>
      </c>
      <c r="CE429" s="10">
        <f t="shared" si="167"/>
        <v>1505902.7271456297</v>
      </c>
      <c r="CF429" s="10">
        <f t="shared" si="165"/>
        <v>0</v>
      </c>
      <c r="CG429" s="10">
        <f t="shared" si="146"/>
        <v>0</v>
      </c>
      <c r="CH429" s="10">
        <f t="shared" si="147"/>
        <v>0</v>
      </c>
      <c r="CI429" s="9">
        <f t="shared" si="153"/>
        <v>1</v>
      </c>
      <c r="CJ429" s="10">
        <f t="shared" si="148"/>
        <v>3</v>
      </c>
      <c r="CK429" s="10" t="b">
        <f t="shared" si="154"/>
        <v>0</v>
      </c>
      <c r="CL429" s="10" t="b">
        <f t="shared" si="155"/>
        <v>0</v>
      </c>
      <c r="CM429" s="10" t="b">
        <f t="shared" si="156"/>
        <v>0</v>
      </c>
      <c r="CN429" s="9">
        <f t="shared" si="157"/>
        <v>1</v>
      </c>
      <c r="CO429" s="10">
        <f t="shared" si="166"/>
        <v>3</v>
      </c>
      <c r="CP429" s="10" t="b">
        <f t="shared" si="158"/>
        <v>1</v>
      </c>
      <c r="CQ429" s="10" t="b">
        <f t="shared" si="159"/>
        <v>0</v>
      </c>
      <c r="CR429" s="10" cm="1">
        <f t="array" ref="CR429">_xlfn.IFS(AND($CI429=0, CK429=FALSE), NA(), AND($CI429=1, CK429=FALSE), 0, CK429=TRUE, 1)</f>
        <v>0</v>
      </c>
      <c r="CS429" s="10" cm="1">
        <f t="array" ref="CS429">_xlfn.IFS(AND($CI429=0, CL429=FALSE), NA(), AND($CI429=1, CL429=FALSE), 0, CL429=TRUE, 1)</f>
        <v>0</v>
      </c>
      <c r="CT429" s="10" cm="1">
        <f t="array" ref="CT429">_xlfn.IFS(AND($CI429=0, CM429=FALSE), NA(), AND($CI429=1, CM429=FALSE), 0, CM429=TRUE, 1)</f>
        <v>0</v>
      </c>
      <c r="CU429" s="10" cm="1">
        <f t="array" ref="CU429">_xlfn.IFS(AND($CN429=0, CP429=FALSE), NA(), AND($CN429=1, CP429=FALSE), 0, CP429=TRUE, 1)</f>
        <v>1</v>
      </c>
      <c r="CV429" s="10" cm="1">
        <f t="array" ref="CV429">_xlfn.IFS(AND($CN429=0, CQ429=FALSE), NA(), AND($CN429=1, CQ429=FALSE), 0, CQ429=TRUE, 1)</f>
        <v>0</v>
      </c>
    </row>
    <row r="430" spans="1:100" ht="15.75" x14ac:dyDescent="0.25">
      <c r="A430" s="8">
        <v>429</v>
      </c>
      <c r="B430" s="9">
        <v>44</v>
      </c>
      <c r="C430" s="10" t="s">
        <v>7</v>
      </c>
      <c r="D430" s="11" t="s">
        <v>78</v>
      </c>
      <c r="E430" s="12">
        <v>21758</v>
      </c>
      <c r="F430" s="13">
        <v>2</v>
      </c>
      <c r="G430" s="9">
        <v>57.034908294677734</v>
      </c>
      <c r="H430" s="12">
        <v>42590</v>
      </c>
      <c r="I430" s="9">
        <v>1</v>
      </c>
      <c r="J430" s="12">
        <v>42642</v>
      </c>
      <c r="K430" s="9">
        <v>0</v>
      </c>
      <c r="L430" s="9">
        <v>1</v>
      </c>
      <c r="M430" s="10" t="s">
        <v>401</v>
      </c>
      <c r="N430" s="9">
        <v>2</v>
      </c>
      <c r="O430" s="10" t="s">
        <v>145</v>
      </c>
      <c r="P430" s="9">
        <v>2</v>
      </c>
      <c r="Q430" s="10" t="s">
        <v>145</v>
      </c>
      <c r="R430" s="12">
        <v>42731</v>
      </c>
      <c r="S430" s="10" t="s">
        <v>145</v>
      </c>
      <c r="T430" s="9"/>
      <c r="U430" s="10" t="s">
        <v>401</v>
      </c>
      <c r="V430" s="10" t="s">
        <v>401</v>
      </c>
      <c r="W430" s="9"/>
      <c r="X430" s="9"/>
      <c r="Y430" s="9">
        <v>2</v>
      </c>
      <c r="Z430" s="14">
        <v>1</v>
      </c>
      <c r="AA430" s="21">
        <v>12.6</v>
      </c>
      <c r="AB430" s="22">
        <v>96</v>
      </c>
      <c r="AC430" s="22">
        <v>13</v>
      </c>
      <c r="AD430" s="9">
        <v>2</v>
      </c>
      <c r="AE430" s="9">
        <v>2</v>
      </c>
      <c r="AF430" s="9">
        <v>1</v>
      </c>
      <c r="AG430" s="9">
        <v>0</v>
      </c>
      <c r="AH430" s="9">
        <v>1</v>
      </c>
      <c r="AI430" s="9">
        <v>0</v>
      </c>
      <c r="AJ430" s="12">
        <v>42880</v>
      </c>
      <c r="AK430" s="9">
        <v>2</v>
      </c>
      <c r="AL430" s="12">
        <v>44809</v>
      </c>
      <c r="AM430" s="9">
        <v>2</v>
      </c>
      <c r="AN430" s="12">
        <v>43005</v>
      </c>
      <c r="AO430" s="12"/>
      <c r="AP430" s="12"/>
      <c r="AQ430" s="9">
        <v>2</v>
      </c>
      <c r="AR430" s="9">
        <f t="shared" si="149"/>
        <v>0</v>
      </c>
      <c r="AS430" s="9">
        <v>2</v>
      </c>
      <c r="AT430" s="9"/>
      <c r="AU430" s="9">
        <v>1</v>
      </c>
      <c r="AV430" s="9">
        <f t="shared" si="150"/>
        <v>0</v>
      </c>
      <c r="AW430" s="12">
        <v>44852</v>
      </c>
      <c r="AX430" s="9">
        <v>6360</v>
      </c>
      <c r="AY430" s="9">
        <v>3780</v>
      </c>
      <c r="AZ430" s="9">
        <v>1930</v>
      </c>
      <c r="BA430" s="9">
        <v>3780</v>
      </c>
      <c r="BB430" s="9">
        <v>1929.9998779296875</v>
      </c>
      <c r="BC430" s="9">
        <v>247000</v>
      </c>
      <c r="BD430" s="9">
        <v>430</v>
      </c>
      <c r="BE430" s="9">
        <v>180</v>
      </c>
      <c r="BF430" s="9">
        <v>273</v>
      </c>
      <c r="BG430" s="9">
        <v>5500</v>
      </c>
      <c r="BH430" s="9">
        <v>3020</v>
      </c>
      <c r="BI430" s="9">
        <v>1670</v>
      </c>
      <c r="BJ430" s="9">
        <v>247000</v>
      </c>
      <c r="BK430" s="9">
        <v>450</v>
      </c>
      <c r="BL430" s="9">
        <v>310</v>
      </c>
      <c r="BM430" s="9">
        <v>253</v>
      </c>
      <c r="BN430" s="9">
        <v>5530</v>
      </c>
      <c r="BO430" s="9">
        <v>3030</v>
      </c>
      <c r="BP430" s="9">
        <v>1720</v>
      </c>
      <c r="BQ430" s="9">
        <v>216000</v>
      </c>
      <c r="BR430" s="9">
        <v>440</v>
      </c>
      <c r="BS430" s="9">
        <v>300</v>
      </c>
      <c r="BT430" s="9">
        <v>286</v>
      </c>
      <c r="BU430" s="9">
        <v>6960</v>
      </c>
      <c r="BV430" s="9">
        <v>4060</v>
      </c>
      <c r="BW430" s="9">
        <v>2010</v>
      </c>
      <c r="BX430" s="9">
        <v>285000</v>
      </c>
      <c r="BY430" s="9">
        <v>390</v>
      </c>
      <c r="BZ430" s="10" t="s">
        <v>537</v>
      </c>
      <c r="CA430" s="9">
        <v>450</v>
      </c>
      <c r="CB430" s="9">
        <v>308</v>
      </c>
      <c r="CC430" s="10">
        <f t="shared" si="151"/>
        <v>1.9585493466739539</v>
      </c>
      <c r="CD430" s="10">
        <f t="shared" si="152"/>
        <v>127.97928270594355</v>
      </c>
      <c r="CE430" s="10">
        <f t="shared" si="167"/>
        <v>483761.68862846663</v>
      </c>
      <c r="CF430" s="10">
        <f t="shared" si="165"/>
        <v>1</v>
      </c>
      <c r="CG430" s="10">
        <f t="shared" si="146"/>
        <v>1</v>
      </c>
      <c r="CH430" s="10">
        <f t="shared" si="147"/>
        <v>64</v>
      </c>
      <c r="CI430" s="9">
        <f t="shared" si="153"/>
        <v>0</v>
      </c>
      <c r="CJ430" s="10">
        <f t="shared" si="148"/>
        <v>65</v>
      </c>
      <c r="CK430" s="10" t="b">
        <f t="shared" si="154"/>
        <v>1</v>
      </c>
      <c r="CL430" s="10" t="b">
        <f t="shared" si="155"/>
        <v>1</v>
      </c>
      <c r="CM430" s="10" t="b">
        <f t="shared" si="156"/>
        <v>1</v>
      </c>
      <c r="CN430" s="9">
        <f t="shared" si="157"/>
        <v>0</v>
      </c>
      <c r="CO430" s="10">
        <f>CJ430</f>
        <v>65</v>
      </c>
      <c r="CP430" s="10" t="b">
        <f t="shared" si="158"/>
        <v>1</v>
      </c>
      <c r="CQ430" s="10" t="b">
        <f t="shared" si="159"/>
        <v>1</v>
      </c>
      <c r="CR430" s="10" cm="1">
        <f t="array" ref="CR430">_xlfn.IFS(AND($CI430=0, CK430=FALSE), NA(), AND($CI430=1, CK430=FALSE), 0, CK430=TRUE, 1)</f>
        <v>1</v>
      </c>
      <c r="CS430" s="10" cm="1">
        <f t="array" ref="CS430">_xlfn.IFS(AND($CI430=0, CL430=FALSE), NA(), AND($CI430=1, CL430=FALSE), 0, CL430=TRUE, 1)</f>
        <v>1</v>
      </c>
      <c r="CT430" s="10" cm="1">
        <f t="array" ref="CT430">_xlfn.IFS(AND($CI430=0, CM430=FALSE), NA(), AND($CI430=1, CM430=FALSE), 0, CM430=TRUE, 1)</f>
        <v>1</v>
      </c>
      <c r="CU430" s="10" cm="1">
        <f t="array" ref="CU430">_xlfn.IFS(AND($CN430=0, CP430=FALSE), NA(), AND($CN430=1, CP430=FALSE), 0, CP430=TRUE, 1)</f>
        <v>1</v>
      </c>
      <c r="CV430" s="10" cm="1">
        <f t="array" ref="CV430">_xlfn.IFS(AND($CN430=0, CQ430=FALSE), NA(), AND($CN430=1, CQ430=FALSE), 0, CQ430=TRUE, 1)</f>
        <v>1</v>
      </c>
    </row>
    <row r="431" spans="1:100" ht="15.75" x14ac:dyDescent="0.25">
      <c r="A431" s="8">
        <v>430</v>
      </c>
      <c r="B431" s="9">
        <v>220</v>
      </c>
      <c r="C431" s="10" t="s">
        <v>19</v>
      </c>
      <c r="D431" s="11" t="s">
        <v>54</v>
      </c>
      <c r="E431" s="12">
        <v>27917</v>
      </c>
      <c r="F431" s="13">
        <v>1</v>
      </c>
      <c r="G431" s="9">
        <v>40.199863433837891</v>
      </c>
      <c r="H431" s="12">
        <v>42600</v>
      </c>
      <c r="I431" s="9">
        <v>0</v>
      </c>
      <c r="J431" s="12"/>
      <c r="K431" s="9">
        <v>1</v>
      </c>
      <c r="L431" s="9">
        <v>1</v>
      </c>
      <c r="M431" s="10" t="s">
        <v>401</v>
      </c>
      <c r="N431" s="9">
        <v>2</v>
      </c>
      <c r="O431" s="10" t="s">
        <v>145</v>
      </c>
      <c r="P431" s="9">
        <v>2</v>
      </c>
      <c r="Q431" s="10" t="s">
        <v>145</v>
      </c>
      <c r="R431" s="12">
        <v>42600</v>
      </c>
      <c r="S431" s="10" t="s">
        <v>145</v>
      </c>
      <c r="T431" s="9">
        <v>4</v>
      </c>
      <c r="U431" s="10" t="s">
        <v>401</v>
      </c>
      <c r="V431" s="10" t="s">
        <v>401</v>
      </c>
      <c r="W431" s="9"/>
      <c r="X431" s="9"/>
      <c r="Y431" s="9">
        <v>3</v>
      </c>
      <c r="Z431" s="14">
        <v>1</v>
      </c>
      <c r="AA431" s="34">
        <v>9</v>
      </c>
      <c r="AB431" s="14">
        <v>88</v>
      </c>
      <c r="AC431" s="14">
        <v>19</v>
      </c>
      <c r="AD431" s="9">
        <v>2</v>
      </c>
      <c r="AE431" s="9">
        <v>2</v>
      </c>
      <c r="AF431" s="9">
        <v>1</v>
      </c>
      <c r="AG431" s="9">
        <v>0</v>
      </c>
      <c r="AH431" s="9">
        <v>0</v>
      </c>
      <c r="AI431" s="9">
        <v>1</v>
      </c>
      <c r="AJ431" s="12">
        <v>42878</v>
      </c>
      <c r="AK431" s="9">
        <v>2</v>
      </c>
      <c r="AL431" s="12">
        <v>42878</v>
      </c>
      <c r="AM431" s="9">
        <v>4</v>
      </c>
      <c r="AN431" s="12">
        <v>42886</v>
      </c>
      <c r="AO431" s="12">
        <v>42886</v>
      </c>
      <c r="AP431" s="12">
        <v>42886</v>
      </c>
      <c r="AQ431" s="9">
        <v>1</v>
      </c>
      <c r="AR431" s="9">
        <f t="shared" si="149"/>
        <v>1</v>
      </c>
      <c r="AS431" s="9">
        <v>1</v>
      </c>
      <c r="AT431" s="9">
        <v>2</v>
      </c>
      <c r="AU431" s="9">
        <v>2</v>
      </c>
      <c r="AV431" s="9">
        <f t="shared" si="150"/>
        <v>1</v>
      </c>
      <c r="AW431" s="12">
        <v>42890</v>
      </c>
      <c r="AX431" s="9">
        <v>5160</v>
      </c>
      <c r="AY431" s="9">
        <v>4100</v>
      </c>
      <c r="AZ431" s="9">
        <v>400</v>
      </c>
      <c r="BA431" s="9">
        <v>4100</v>
      </c>
      <c r="BB431" s="9">
        <v>400.00003051757813</v>
      </c>
      <c r="BC431" s="9">
        <v>174000</v>
      </c>
      <c r="BD431" s="9">
        <v>400</v>
      </c>
      <c r="BE431" s="9">
        <v>100</v>
      </c>
      <c r="BF431" s="9">
        <v>742</v>
      </c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10" t="s">
        <v>401</v>
      </c>
      <c r="CA431" s="9"/>
      <c r="CB431" s="9"/>
      <c r="CC431" s="10">
        <f t="shared" si="151"/>
        <v>10.249999217987121</v>
      </c>
      <c r="CD431" s="10">
        <f t="shared" si="152"/>
        <v>434.99996681213634</v>
      </c>
      <c r="CE431" s="10">
        <f t="shared" si="167"/>
        <v>1783499.863929759</v>
      </c>
      <c r="CF431" s="10">
        <f t="shared" si="165"/>
        <v>0</v>
      </c>
      <c r="CG431" s="10">
        <f t="shared" si="146"/>
        <v>0</v>
      </c>
      <c r="CH431" s="10">
        <f t="shared" si="147"/>
        <v>0</v>
      </c>
      <c r="CI431" s="9">
        <f t="shared" si="153"/>
        <v>1</v>
      </c>
      <c r="CJ431" s="10">
        <f t="shared" si="148"/>
        <v>1</v>
      </c>
      <c r="CK431" s="10" t="b">
        <f t="shared" si="154"/>
        <v>0</v>
      </c>
      <c r="CL431" s="10" t="b">
        <f t="shared" si="155"/>
        <v>0</v>
      </c>
      <c r="CM431" s="10" t="b">
        <f t="shared" si="156"/>
        <v>0</v>
      </c>
      <c r="CN431" s="9">
        <f t="shared" si="157"/>
        <v>1</v>
      </c>
      <c r="CO431" s="10">
        <f>(YEAR(AO431)-YEAR(AJ431))*12+MONTH(AO431)-MONTH(AJ431)</f>
        <v>0</v>
      </c>
      <c r="CP431" s="10" t="b">
        <f t="shared" si="158"/>
        <v>0</v>
      </c>
      <c r="CQ431" s="10" t="b">
        <f t="shared" si="159"/>
        <v>0</v>
      </c>
      <c r="CR431" s="10" cm="1">
        <f t="array" ref="CR431">_xlfn.IFS(AND($CI431=0, CK431=FALSE), NA(), AND($CI431=1, CK431=FALSE), 0, CK431=TRUE, 1)</f>
        <v>0</v>
      </c>
      <c r="CS431" s="10" cm="1">
        <f t="array" ref="CS431">_xlfn.IFS(AND($CI431=0, CL431=FALSE), NA(), AND($CI431=1, CL431=FALSE), 0, CL431=TRUE, 1)</f>
        <v>0</v>
      </c>
      <c r="CT431" s="10" cm="1">
        <f t="array" ref="CT431">_xlfn.IFS(AND($CI431=0, CM431=FALSE), NA(), AND($CI431=1, CM431=FALSE), 0, CM431=TRUE, 1)</f>
        <v>0</v>
      </c>
      <c r="CU431" s="10" cm="1">
        <f t="array" ref="CU431">_xlfn.IFS(AND($CN431=0, CP431=FALSE), NA(), AND($CN431=1, CP431=FALSE), 0, CP431=TRUE, 1)</f>
        <v>0</v>
      </c>
      <c r="CV431" s="10" cm="1">
        <f t="array" ref="CV431">_xlfn.IFS(AND($CN431=0, CQ431=FALSE), NA(), AND($CN431=1, CQ431=FALSE), 0, CQ431=TRUE, 1)</f>
        <v>0</v>
      </c>
    </row>
    <row r="432" spans="1:100" ht="15.75" x14ac:dyDescent="0.25">
      <c r="A432" s="8">
        <v>431</v>
      </c>
      <c r="B432" s="9">
        <v>390</v>
      </c>
      <c r="C432" s="10" t="s">
        <v>29</v>
      </c>
      <c r="D432" s="11" t="s">
        <v>305</v>
      </c>
      <c r="E432" s="12">
        <v>25437</v>
      </c>
      <c r="F432" s="13">
        <v>1</v>
      </c>
      <c r="G432" s="9">
        <v>46.989734649658203</v>
      </c>
      <c r="H432" s="12">
        <v>42600</v>
      </c>
      <c r="I432" s="9">
        <v>1</v>
      </c>
      <c r="J432" s="12">
        <v>42600</v>
      </c>
      <c r="K432" s="9">
        <v>0</v>
      </c>
      <c r="L432" s="9">
        <v>1</v>
      </c>
      <c r="M432" s="10" t="s">
        <v>401</v>
      </c>
      <c r="N432" s="9">
        <v>1</v>
      </c>
      <c r="O432" s="10" t="s">
        <v>401</v>
      </c>
      <c r="P432" s="9">
        <v>1</v>
      </c>
      <c r="Q432" s="10" t="s">
        <v>401</v>
      </c>
      <c r="R432" s="12">
        <v>42978</v>
      </c>
      <c r="S432" s="10" t="s">
        <v>145</v>
      </c>
      <c r="T432" s="9"/>
      <c r="U432" s="10" t="s">
        <v>401</v>
      </c>
      <c r="V432" s="10" t="s">
        <v>401</v>
      </c>
      <c r="W432" s="9"/>
      <c r="X432" s="9"/>
      <c r="Y432" s="9">
        <v>2</v>
      </c>
      <c r="Z432" s="14">
        <v>1</v>
      </c>
      <c r="AA432" s="17">
        <v>12.9</v>
      </c>
      <c r="AB432" s="18"/>
      <c r="AC432" s="18"/>
      <c r="AD432" s="9">
        <v>3</v>
      </c>
      <c r="AE432" s="9">
        <v>3</v>
      </c>
      <c r="AF432" s="9">
        <v>2</v>
      </c>
      <c r="AG432" s="9">
        <v>0</v>
      </c>
      <c r="AH432" s="9">
        <v>0</v>
      </c>
      <c r="AI432" s="9">
        <v>1</v>
      </c>
      <c r="AJ432" s="12">
        <v>43503</v>
      </c>
      <c r="AK432" s="9">
        <v>1</v>
      </c>
      <c r="AL432" s="12">
        <v>44936</v>
      </c>
      <c r="AM432" s="9">
        <v>3</v>
      </c>
      <c r="AN432" s="12">
        <v>43650</v>
      </c>
      <c r="AO432" s="12"/>
      <c r="AP432" s="12"/>
      <c r="AQ432" s="9">
        <v>2</v>
      </c>
      <c r="AR432" s="9">
        <f t="shared" si="149"/>
        <v>0</v>
      </c>
      <c r="AS432" s="9">
        <v>2</v>
      </c>
      <c r="AT432" s="9"/>
      <c r="AU432" s="9">
        <v>1</v>
      </c>
      <c r="AV432" s="9">
        <f t="shared" si="150"/>
        <v>0</v>
      </c>
      <c r="AW432" s="12">
        <v>44936</v>
      </c>
      <c r="AX432" s="9">
        <v>2310</v>
      </c>
      <c r="AY432" s="9">
        <v>1210</v>
      </c>
      <c r="AZ432" s="9">
        <v>640</v>
      </c>
      <c r="BA432" s="9">
        <v>1210</v>
      </c>
      <c r="BB432" s="9">
        <v>640</v>
      </c>
      <c r="BC432" s="9">
        <v>107000</v>
      </c>
      <c r="BD432" s="9">
        <v>43</v>
      </c>
      <c r="BE432" s="9">
        <v>10</v>
      </c>
      <c r="BF432" s="9"/>
      <c r="BG432" s="9">
        <v>4770</v>
      </c>
      <c r="BH432" s="9">
        <v>2814</v>
      </c>
      <c r="BI432" s="9">
        <v>968</v>
      </c>
      <c r="BJ432" s="9">
        <v>254000</v>
      </c>
      <c r="BK432" s="9">
        <v>30</v>
      </c>
      <c r="BL432" s="9">
        <v>15</v>
      </c>
      <c r="BM432" s="9"/>
      <c r="BN432" s="9">
        <v>3300</v>
      </c>
      <c r="BO432" s="9">
        <v>1689</v>
      </c>
      <c r="BP432" s="9">
        <v>841</v>
      </c>
      <c r="BQ432" s="9">
        <v>227000</v>
      </c>
      <c r="BR432" s="9">
        <v>20</v>
      </c>
      <c r="BS432" s="9">
        <v>10</v>
      </c>
      <c r="BT432" s="9"/>
      <c r="BU432" s="9">
        <v>3360</v>
      </c>
      <c r="BV432" s="9">
        <v>1646</v>
      </c>
      <c r="BW432" s="9">
        <v>907</v>
      </c>
      <c r="BX432" s="9">
        <v>175000</v>
      </c>
      <c r="BY432" s="9">
        <v>20</v>
      </c>
      <c r="BZ432" s="10" t="s">
        <v>149</v>
      </c>
      <c r="CA432" s="9">
        <v>5</v>
      </c>
      <c r="CB432" s="9"/>
      <c r="CC432" s="10">
        <f t="shared" si="151"/>
        <v>1.890625</v>
      </c>
      <c r="CD432" s="10">
        <f t="shared" si="152"/>
        <v>167.1875</v>
      </c>
      <c r="CE432" s="10">
        <f t="shared" si="167"/>
        <v>202296.875</v>
      </c>
      <c r="CF432" s="10">
        <f t="shared" si="165"/>
        <v>1</v>
      </c>
      <c r="CG432" s="10">
        <f t="shared" si="146"/>
        <v>0</v>
      </c>
      <c r="CH432" s="10">
        <f t="shared" si="147"/>
        <v>47</v>
      </c>
      <c r="CI432" s="9">
        <f t="shared" si="153"/>
        <v>0</v>
      </c>
      <c r="CJ432" s="10">
        <f t="shared" si="148"/>
        <v>47</v>
      </c>
      <c r="CK432" s="10" t="b">
        <f t="shared" si="154"/>
        <v>1</v>
      </c>
      <c r="CL432" s="10" t="b">
        <f t="shared" si="155"/>
        <v>1</v>
      </c>
      <c r="CM432" s="10" t="b">
        <f t="shared" si="156"/>
        <v>1</v>
      </c>
      <c r="CN432" s="9">
        <f t="shared" si="157"/>
        <v>0</v>
      </c>
      <c r="CO432" s="10">
        <f>CJ432</f>
        <v>47</v>
      </c>
      <c r="CP432" s="10" t="b">
        <f t="shared" si="158"/>
        <v>1</v>
      </c>
      <c r="CQ432" s="10" t="b">
        <f t="shared" si="159"/>
        <v>1</v>
      </c>
      <c r="CR432" s="10" cm="1">
        <f t="array" ref="CR432">_xlfn.IFS(AND($CI432=0, CK432=FALSE), NA(), AND($CI432=1, CK432=FALSE), 0, CK432=TRUE, 1)</f>
        <v>1</v>
      </c>
      <c r="CS432" s="10" cm="1">
        <f t="array" ref="CS432">_xlfn.IFS(AND($CI432=0, CL432=FALSE), NA(), AND($CI432=1, CL432=FALSE), 0, CL432=TRUE, 1)</f>
        <v>1</v>
      </c>
      <c r="CT432" s="10" cm="1">
        <f t="array" ref="CT432">_xlfn.IFS(AND($CI432=0, CM432=FALSE), NA(), AND($CI432=1, CM432=FALSE), 0, CM432=TRUE, 1)</f>
        <v>1</v>
      </c>
      <c r="CU432" s="10" cm="1">
        <f t="array" ref="CU432">_xlfn.IFS(AND($CN432=0, CP432=FALSE), NA(), AND($CN432=1, CP432=FALSE), 0, CP432=TRUE, 1)</f>
        <v>1</v>
      </c>
      <c r="CV432" s="10" cm="1">
        <f t="array" ref="CV432">_xlfn.IFS(AND($CN432=0, CQ432=FALSE), NA(), AND($CN432=1, CQ432=FALSE), 0, CQ432=TRUE, 1)</f>
        <v>1</v>
      </c>
    </row>
    <row r="433" spans="1:100" ht="15.75" x14ac:dyDescent="0.25">
      <c r="A433" s="8">
        <v>432</v>
      </c>
      <c r="B433" s="9">
        <v>298</v>
      </c>
      <c r="C433" s="10" t="s">
        <v>23</v>
      </c>
      <c r="D433" s="11" t="s">
        <v>133</v>
      </c>
      <c r="E433" s="12">
        <v>17468</v>
      </c>
      <c r="F433" s="13">
        <v>1</v>
      </c>
      <c r="G433" s="9">
        <v>68.8240966796875</v>
      </c>
      <c r="H433" s="12">
        <v>42606</v>
      </c>
      <c r="I433" s="9">
        <v>1</v>
      </c>
      <c r="J433" s="12">
        <v>42606</v>
      </c>
      <c r="K433" s="9">
        <v>1</v>
      </c>
      <c r="L433" s="9">
        <v>1</v>
      </c>
      <c r="M433" s="10" t="s">
        <v>401</v>
      </c>
      <c r="N433" s="9">
        <v>2</v>
      </c>
      <c r="O433" s="10" t="s">
        <v>145</v>
      </c>
      <c r="P433" s="9">
        <v>2</v>
      </c>
      <c r="Q433" s="10" t="s">
        <v>145</v>
      </c>
      <c r="R433" s="12">
        <v>42606</v>
      </c>
      <c r="S433" s="10" t="s">
        <v>146</v>
      </c>
      <c r="T433" s="9"/>
      <c r="U433" s="10" t="s">
        <v>401</v>
      </c>
      <c r="V433" s="10" t="s">
        <v>401</v>
      </c>
      <c r="W433" s="9"/>
      <c r="X433" s="9"/>
      <c r="Y433" s="9">
        <v>2</v>
      </c>
      <c r="Z433" s="14">
        <v>2</v>
      </c>
      <c r="AA433" s="38">
        <v>10.9</v>
      </c>
      <c r="AB433" s="39">
        <v>95</v>
      </c>
      <c r="AC433" s="39">
        <v>15</v>
      </c>
      <c r="AD433" s="9">
        <v>2</v>
      </c>
      <c r="AE433" s="9">
        <v>2</v>
      </c>
      <c r="AF433" s="9">
        <v>1</v>
      </c>
      <c r="AG433" s="9">
        <v>0</v>
      </c>
      <c r="AH433" s="9">
        <v>1</v>
      </c>
      <c r="AI433" s="9">
        <v>0</v>
      </c>
      <c r="AJ433" s="12">
        <v>43346</v>
      </c>
      <c r="AK433" s="9">
        <v>1</v>
      </c>
      <c r="AL433" s="12">
        <v>44944</v>
      </c>
      <c r="AM433" s="9">
        <v>2</v>
      </c>
      <c r="AN433" s="12">
        <v>43515</v>
      </c>
      <c r="AO433" s="12">
        <v>44246</v>
      </c>
      <c r="AP433" s="12"/>
      <c r="AQ433" s="9">
        <v>1</v>
      </c>
      <c r="AR433" s="9">
        <f t="shared" si="149"/>
        <v>1</v>
      </c>
      <c r="AS433" s="9">
        <v>2</v>
      </c>
      <c r="AT433" s="9">
        <v>1</v>
      </c>
      <c r="AU433" s="9">
        <v>1</v>
      </c>
      <c r="AV433" s="9">
        <f t="shared" si="150"/>
        <v>0</v>
      </c>
      <c r="AW433" s="12">
        <v>44944</v>
      </c>
      <c r="AX433" s="9">
        <v>4720</v>
      </c>
      <c r="AY433" s="9">
        <v>2600</v>
      </c>
      <c r="AZ433" s="9">
        <v>1300</v>
      </c>
      <c r="BA433" s="9">
        <v>2600</v>
      </c>
      <c r="BB433" s="9">
        <v>1300.000244140625</v>
      </c>
      <c r="BC433" s="9">
        <v>274000</v>
      </c>
      <c r="BD433" s="9">
        <v>500</v>
      </c>
      <c r="BE433" s="9">
        <v>100</v>
      </c>
      <c r="BF433" s="9">
        <v>205</v>
      </c>
      <c r="BG433" s="9">
        <v>5100</v>
      </c>
      <c r="BH433" s="9">
        <v>3100</v>
      </c>
      <c r="BI433" s="9">
        <v>1200</v>
      </c>
      <c r="BJ433" s="9">
        <v>332000</v>
      </c>
      <c r="BK433" s="9">
        <v>500</v>
      </c>
      <c r="BL433" s="9">
        <v>100</v>
      </c>
      <c r="BM433" s="9">
        <v>191</v>
      </c>
      <c r="BN433" s="9">
        <v>6010</v>
      </c>
      <c r="BO433" s="9">
        <v>4500</v>
      </c>
      <c r="BP433" s="9">
        <v>1000</v>
      </c>
      <c r="BQ433" s="9">
        <v>320000</v>
      </c>
      <c r="BR433" s="9">
        <v>400</v>
      </c>
      <c r="BS433" s="9">
        <v>100</v>
      </c>
      <c r="BT433" s="9">
        <v>154</v>
      </c>
      <c r="BU433" s="9">
        <v>6970</v>
      </c>
      <c r="BV433" s="9">
        <v>5800</v>
      </c>
      <c r="BW433" s="9">
        <v>800</v>
      </c>
      <c r="BX433" s="9">
        <v>271000</v>
      </c>
      <c r="BY433" s="9">
        <v>200</v>
      </c>
      <c r="BZ433" s="10" t="s">
        <v>442</v>
      </c>
      <c r="CA433" s="9">
        <v>0</v>
      </c>
      <c r="CB433" s="9">
        <v>236</v>
      </c>
      <c r="CC433" s="10">
        <f t="shared" si="151"/>
        <v>1.9999996243991089</v>
      </c>
      <c r="CD433" s="10">
        <f t="shared" si="152"/>
        <v>210.76919118667533</v>
      </c>
      <c r="CE433" s="10">
        <f t="shared" si="167"/>
        <v>547999.89708535583</v>
      </c>
      <c r="CF433" s="10">
        <f t="shared" si="165"/>
        <v>1</v>
      </c>
      <c r="CG433" s="10">
        <f t="shared" si="146"/>
        <v>1</v>
      </c>
      <c r="CH433" s="10">
        <f t="shared" si="147"/>
        <v>52</v>
      </c>
      <c r="CI433" s="9">
        <f t="shared" si="153"/>
        <v>0</v>
      </c>
      <c r="CJ433" s="10">
        <f t="shared" si="148"/>
        <v>52</v>
      </c>
      <c r="CK433" s="10" t="b">
        <f t="shared" si="154"/>
        <v>1</v>
      </c>
      <c r="CL433" s="10" t="b">
        <f t="shared" si="155"/>
        <v>1</v>
      </c>
      <c r="CM433" s="10" t="b">
        <f t="shared" si="156"/>
        <v>1</v>
      </c>
      <c r="CN433" s="9">
        <f t="shared" si="157"/>
        <v>1</v>
      </c>
      <c r="CO433" s="10">
        <f>(YEAR(AO433)-YEAR(AJ433))*12+MONTH(AO433)-MONTH(AJ433)</f>
        <v>29</v>
      </c>
      <c r="CP433" s="10" t="b">
        <f t="shared" si="158"/>
        <v>1</v>
      </c>
      <c r="CQ433" s="10" t="b">
        <f t="shared" si="159"/>
        <v>1</v>
      </c>
      <c r="CR433" s="10" cm="1">
        <f t="array" ref="CR433">_xlfn.IFS(AND($CI433=0, CK433=FALSE), NA(), AND($CI433=1, CK433=FALSE), 0, CK433=TRUE, 1)</f>
        <v>1</v>
      </c>
      <c r="CS433" s="10" cm="1">
        <f t="array" ref="CS433">_xlfn.IFS(AND($CI433=0, CL433=FALSE), NA(), AND($CI433=1, CL433=FALSE), 0, CL433=TRUE, 1)</f>
        <v>1</v>
      </c>
      <c r="CT433" s="10" cm="1">
        <f t="array" ref="CT433">_xlfn.IFS(AND($CI433=0, CM433=FALSE), NA(), AND($CI433=1, CM433=FALSE), 0, CM433=TRUE, 1)</f>
        <v>1</v>
      </c>
      <c r="CU433" s="10" cm="1">
        <f t="array" ref="CU433">_xlfn.IFS(AND($CN433=0, CP433=FALSE), NA(), AND($CN433=1, CP433=FALSE), 0, CP433=TRUE, 1)</f>
        <v>1</v>
      </c>
      <c r="CV433" s="10" cm="1">
        <f t="array" ref="CV433">_xlfn.IFS(AND($CN433=0, CQ433=FALSE), NA(), AND($CN433=1, CQ433=FALSE), 0, CQ433=TRUE, 1)</f>
        <v>1</v>
      </c>
    </row>
    <row r="434" spans="1:100" ht="15.75" x14ac:dyDescent="0.25">
      <c r="A434" s="8">
        <v>433</v>
      </c>
      <c r="B434" s="9">
        <v>351</v>
      </c>
      <c r="C434" s="10" t="s">
        <v>28</v>
      </c>
      <c r="D434" s="11" t="s">
        <v>41</v>
      </c>
      <c r="E434" s="12">
        <v>27010</v>
      </c>
      <c r="F434" s="13">
        <v>2</v>
      </c>
      <c r="G434" s="9">
        <v>42.702259063720703</v>
      </c>
      <c r="H434" s="12">
        <v>42607</v>
      </c>
      <c r="I434" s="9">
        <v>1</v>
      </c>
      <c r="J434" s="12">
        <v>42628</v>
      </c>
      <c r="K434" s="9">
        <v>1</v>
      </c>
      <c r="L434" s="9">
        <v>1</v>
      </c>
      <c r="M434" s="10" t="s">
        <v>401</v>
      </c>
      <c r="N434" s="9">
        <v>3</v>
      </c>
      <c r="O434" s="10" t="s">
        <v>434</v>
      </c>
      <c r="P434" s="9">
        <v>3</v>
      </c>
      <c r="Q434" s="10" t="s">
        <v>419</v>
      </c>
      <c r="R434" s="12">
        <v>42607</v>
      </c>
      <c r="S434" s="10" t="s">
        <v>145</v>
      </c>
      <c r="T434" s="9"/>
      <c r="U434" s="10" t="s">
        <v>401</v>
      </c>
      <c r="V434" s="10" t="s">
        <v>401</v>
      </c>
      <c r="W434" s="9"/>
      <c r="X434" s="9"/>
      <c r="Y434" s="9">
        <v>2</v>
      </c>
      <c r="Z434" s="14">
        <v>1</v>
      </c>
      <c r="AA434" s="15">
        <v>10.3</v>
      </c>
      <c r="AB434" s="16">
        <v>88</v>
      </c>
      <c r="AC434" s="16">
        <v>19</v>
      </c>
      <c r="AD434" s="9">
        <v>3</v>
      </c>
      <c r="AE434" s="9">
        <v>3</v>
      </c>
      <c r="AF434" s="9">
        <v>2</v>
      </c>
      <c r="AG434" s="9">
        <v>1</v>
      </c>
      <c r="AH434" s="9">
        <v>1</v>
      </c>
      <c r="AI434" s="9">
        <v>1</v>
      </c>
      <c r="AJ434" s="12">
        <v>42965</v>
      </c>
      <c r="AK434" s="9">
        <v>2</v>
      </c>
      <c r="AL434" s="12">
        <v>42993</v>
      </c>
      <c r="AM434" s="9">
        <v>4</v>
      </c>
      <c r="AN434" s="12">
        <v>43017</v>
      </c>
      <c r="AO434" s="12">
        <v>43017</v>
      </c>
      <c r="AP434" s="12">
        <v>43017</v>
      </c>
      <c r="AQ434" s="9">
        <v>1</v>
      </c>
      <c r="AR434" s="9">
        <f t="shared" si="149"/>
        <v>1</v>
      </c>
      <c r="AS434" s="9">
        <v>1</v>
      </c>
      <c r="AT434" s="9">
        <v>2</v>
      </c>
      <c r="AU434" s="9">
        <v>2</v>
      </c>
      <c r="AV434" s="9">
        <f t="shared" si="150"/>
        <v>1</v>
      </c>
      <c r="AW434" s="12">
        <v>43017</v>
      </c>
      <c r="AX434" s="9">
        <v>6620</v>
      </c>
      <c r="AY434" s="9">
        <v>5110</v>
      </c>
      <c r="AZ434" s="9">
        <v>910</v>
      </c>
      <c r="BA434" s="9">
        <v>5110</v>
      </c>
      <c r="BB434" s="9">
        <v>910</v>
      </c>
      <c r="BC434" s="9">
        <v>289000</v>
      </c>
      <c r="BD434" s="9">
        <v>320</v>
      </c>
      <c r="BE434" s="9">
        <v>90</v>
      </c>
      <c r="BF434" s="9">
        <v>714</v>
      </c>
      <c r="BG434" s="9">
        <v>5540</v>
      </c>
      <c r="BH434" s="9">
        <v>3220</v>
      </c>
      <c r="BI434" s="9">
        <v>1190</v>
      </c>
      <c r="BJ434" s="9">
        <v>213000</v>
      </c>
      <c r="BK434" s="9">
        <v>340</v>
      </c>
      <c r="BL434" s="9">
        <v>540</v>
      </c>
      <c r="BM434" s="9">
        <v>761</v>
      </c>
      <c r="BN434" s="9">
        <v>5390</v>
      </c>
      <c r="BO434" s="9">
        <v>3560</v>
      </c>
      <c r="BP434" s="9">
        <v>1090</v>
      </c>
      <c r="BQ434" s="9">
        <v>332000</v>
      </c>
      <c r="BR434" s="9">
        <v>280</v>
      </c>
      <c r="BS434" s="9">
        <v>290</v>
      </c>
      <c r="BT434" s="9">
        <v>790</v>
      </c>
      <c r="BU434" s="9"/>
      <c r="BV434" s="9"/>
      <c r="BW434" s="9"/>
      <c r="BX434" s="9"/>
      <c r="BY434" s="9"/>
      <c r="BZ434" s="10" t="s">
        <v>401</v>
      </c>
      <c r="CA434" s="9"/>
      <c r="CB434" s="9"/>
      <c r="CC434" s="10">
        <f t="shared" si="151"/>
        <v>5.615384615384615</v>
      </c>
      <c r="CD434" s="10">
        <f t="shared" si="152"/>
        <v>317.58241758241758</v>
      </c>
      <c r="CE434" s="10">
        <f t="shared" si="167"/>
        <v>1622846.1538461538</v>
      </c>
      <c r="CF434" s="10">
        <f t="shared" si="165"/>
        <v>0</v>
      </c>
      <c r="CG434" s="10">
        <f t="shared" si="146"/>
        <v>0</v>
      </c>
      <c r="CH434" s="10">
        <f t="shared" si="147"/>
        <v>1</v>
      </c>
      <c r="CI434" s="9">
        <f t="shared" si="153"/>
        <v>1</v>
      </c>
      <c r="CJ434" s="10">
        <f t="shared" si="148"/>
        <v>2</v>
      </c>
      <c r="CK434" s="10" t="b">
        <f t="shared" si="154"/>
        <v>0</v>
      </c>
      <c r="CL434" s="10" t="b">
        <f t="shared" si="155"/>
        <v>0</v>
      </c>
      <c r="CM434" s="10" t="b">
        <f t="shared" si="156"/>
        <v>0</v>
      </c>
      <c r="CN434" s="9">
        <f t="shared" si="157"/>
        <v>1</v>
      </c>
      <c r="CO434" s="10">
        <f>(YEAR(AO434)-YEAR(AJ434))*12+MONTH(AO434)-MONTH(AJ434)</f>
        <v>2</v>
      </c>
      <c r="CP434" s="10" t="b">
        <f t="shared" si="158"/>
        <v>0</v>
      </c>
      <c r="CQ434" s="10" t="b">
        <f t="shared" si="159"/>
        <v>0</v>
      </c>
      <c r="CR434" s="10" cm="1">
        <f t="array" ref="CR434">_xlfn.IFS(AND($CI434=0, CK434=FALSE), NA(), AND($CI434=1, CK434=FALSE), 0, CK434=TRUE, 1)</f>
        <v>0</v>
      </c>
      <c r="CS434" s="10" cm="1">
        <f t="array" ref="CS434">_xlfn.IFS(AND($CI434=0, CL434=FALSE), NA(), AND($CI434=1, CL434=FALSE), 0, CL434=TRUE, 1)</f>
        <v>0</v>
      </c>
      <c r="CT434" s="10" cm="1">
        <f t="array" ref="CT434">_xlfn.IFS(AND($CI434=0, CM434=FALSE), NA(), AND($CI434=1, CM434=FALSE), 0, CM434=TRUE, 1)</f>
        <v>0</v>
      </c>
      <c r="CU434" s="10" cm="1">
        <f t="array" ref="CU434">_xlfn.IFS(AND($CN434=0, CP434=FALSE), NA(), AND($CN434=1, CP434=FALSE), 0, CP434=TRUE, 1)</f>
        <v>0</v>
      </c>
      <c r="CV434" s="10" cm="1">
        <f t="array" ref="CV434">_xlfn.IFS(AND($CN434=0, CQ434=FALSE), NA(), AND($CN434=1, CQ434=FALSE), 0, CQ434=TRUE, 1)</f>
        <v>0</v>
      </c>
    </row>
    <row r="435" spans="1:100" ht="15.75" x14ac:dyDescent="0.25">
      <c r="A435" s="8">
        <v>434</v>
      </c>
      <c r="B435" s="9">
        <v>141</v>
      </c>
      <c r="C435" s="10" t="s">
        <v>16</v>
      </c>
      <c r="D435" s="11" t="s">
        <v>180</v>
      </c>
      <c r="E435" s="12">
        <v>27060</v>
      </c>
      <c r="F435" s="13">
        <v>1</v>
      </c>
      <c r="G435" s="9">
        <v>42.576316833496094</v>
      </c>
      <c r="H435" s="12">
        <v>42611</v>
      </c>
      <c r="I435" s="9">
        <v>1</v>
      </c>
      <c r="J435" s="12">
        <v>42611</v>
      </c>
      <c r="K435" s="9">
        <v>0</v>
      </c>
      <c r="L435" s="9">
        <v>1</v>
      </c>
      <c r="M435" s="10" t="s">
        <v>401</v>
      </c>
      <c r="N435" s="9">
        <v>2</v>
      </c>
      <c r="O435" s="10" t="s">
        <v>428</v>
      </c>
      <c r="P435" s="9">
        <v>2</v>
      </c>
      <c r="Q435" s="10" t="s">
        <v>410</v>
      </c>
      <c r="R435" s="12">
        <v>42928</v>
      </c>
      <c r="S435" s="10" t="s">
        <v>146</v>
      </c>
      <c r="T435" s="9"/>
      <c r="U435" s="10" t="s">
        <v>401</v>
      </c>
      <c r="V435" s="10" t="s">
        <v>401</v>
      </c>
      <c r="W435" s="9"/>
      <c r="X435" s="9"/>
      <c r="Y435" s="9">
        <v>2</v>
      </c>
      <c r="Z435" s="14">
        <v>2</v>
      </c>
      <c r="AA435" s="15">
        <v>12.8</v>
      </c>
      <c r="AB435" s="16">
        <v>97</v>
      </c>
      <c r="AC435" s="16">
        <v>15</v>
      </c>
      <c r="AD435" s="9">
        <v>1</v>
      </c>
      <c r="AE435" s="9">
        <v>2</v>
      </c>
      <c r="AF435" s="9">
        <v>1</v>
      </c>
      <c r="AG435" s="9">
        <v>0</v>
      </c>
      <c r="AH435" s="9">
        <v>1</v>
      </c>
      <c r="AI435" s="9">
        <v>1</v>
      </c>
      <c r="AJ435" s="12">
        <v>43279</v>
      </c>
      <c r="AK435" s="9">
        <v>2</v>
      </c>
      <c r="AL435" s="12">
        <v>43328</v>
      </c>
      <c r="AM435" s="9">
        <v>4</v>
      </c>
      <c r="AN435" s="12">
        <v>43346</v>
      </c>
      <c r="AO435" s="12">
        <v>43346</v>
      </c>
      <c r="AP435" s="12">
        <v>43346</v>
      </c>
      <c r="AQ435" s="9">
        <v>1</v>
      </c>
      <c r="AR435" s="9">
        <f t="shared" si="149"/>
        <v>1</v>
      </c>
      <c r="AS435" s="9">
        <v>1</v>
      </c>
      <c r="AT435" s="9">
        <v>2</v>
      </c>
      <c r="AU435" s="9">
        <v>2</v>
      </c>
      <c r="AV435" s="9">
        <f t="shared" si="150"/>
        <v>1</v>
      </c>
      <c r="AW435" s="12">
        <v>43328</v>
      </c>
      <c r="AX435" s="9">
        <v>3610</v>
      </c>
      <c r="AY435" s="9">
        <v>2400</v>
      </c>
      <c r="AZ435" s="9"/>
      <c r="BA435" s="9">
        <v>2400</v>
      </c>
      <c r="BB435" s="9">
        <v>823.63067626953125</v>
      </c>
      <c r="BC435" s="9">
        <v>237000</v>
      </c>
      <c r="BD435" s="9"/>
      <c r="BE435" s="9"/>
      <c r="BF435" s="9">
        <v>253</v>
      </c>
      <c r="BG435" s="9">
        <v>5290</v>
      </c>
      <c r="BH435" s="9">
        <v>3600</v>
      </c>
      <c r="BI435" s="9"/>
      <c r="BJ435" s="9">
        <v>326000</v>
      </c>
      <c r="BK435" s="9"/>
      <c r="BL435" s="9"/>
      <c r="BM435" s="9">
        <v>237</v>
      </c>
      <c r="BN435" s="9"/>
      <c r="BO435" s="9">
        <v>4500</v>
      </c>
      <c r="BP435" s="9">
        <v>500</v>
      </c>
      <c r="BQ435" s="9">
        <v>254000</v>
      </c>
      <c r="BR435" s="9">
        <v>400</v>
      </c>
      <c r="BS435" s="9">
        <v>100</v>
      </c>
      <c r="BT435" s="9"/>
      <c r="BU435" s="9">
        <v>5580</v>
      </c>
      <c r="BV435" s="9">
        <v>5400</v>
      </c>
      <c r="BW435" s="9"/>
      <c r="BX435" s="9">
        <v>412000</v>
      </c>
      <c r="BY435" s="9"/>
      <c r="BZ435" s="10" t="s">
        <v>401</v>
      </c>
      <c r="CA435" s="9"/>
      <c r="CB435" s="9"/>
      <c r="CC435" s="10">
        <f t="shared" si="151"/>
        <v>2.9139274059950209</v>
      </c>
      <c r="CD435" s="10">
        <f t="shared" si="152"/>
        <v>287.75033134200834</v>
      </c>
      <c r="CE435" s="10">
        <f t="shared" si="167"/>
        <v>690600.79522082</v>
      </c>
      <c r="CF435" s="10">
        <f t="shared" si="165"/>
        <v>0</v>
      </c>
      <c r="CG435" s="10">
        <f t="shared" si="146"/>
        <v>0</v>
      </c>
      <c r="CH435" s="10">
        <f t="shared" si="147"/>
        <v>2</v>
      </c>
      <c r="CI435" s="9">
        <f t="shared" si="153"/>
        <v>1</v>
      </c>
      <c r="CJ435" s="10">
        <f t="shared" si="148"/>
        <v>2</v>
      </c>
      <c r="CK435" s="10" t="b">
        <f t="shared" si="154"/>
        <v>0</v>
      </c>
      <c r="CL435" s="10" t="b">
        <f t="shared" si="155"/>
        <v>0</v>
      </c>
      <c r="CM435" s="10" t="b">
        <f t="shared" si="156"/>
        <v>0</v>
      </c>
      <c r="CN435" s="9">
        <f t="shared" si="157"/>
        <v>1</v>
      </c>
      <c r="CO435" s="10">
        <f>(YEAR(AO435)-YEAR(AJ435))*12+MONTH(AO435)-MONTH(AJ435)</f>
        <v>3</v>
      </c>
      <c r="CP435" s="10" t="b">
        <f t="shared" si="158"/>
        <v>1</v>
      </c>
      <c r="CQ435" s="10" t="b">
        <f t="shared" si="159"/>
        <v>0</v>
      </c>
      <c r="CR435" s="10" cm="1">
        <f t="array" ref="CR435">_xlfn.IFS(AND($CI435=0, CK435=FALSE), NA(), AND($CI435=1, CK435=FALSE), 0, CK435=TRUE, 1)</f>
        <v>0</v>
      </c>
      <c r="CS435" s="10" cm="1">
        <f t="array" ref="CS435">_xlfn.IFS(AND($CI435=0, CL435=FALSE), NA(), AND($CI435=1, CL435=FALSE), 0, CL435=TRUE, 1)</f>
        <v>0</v>
      </c>
      <c r="CT435" s="10" cm="1">
        <f t="array" ref="CT435">_xlfn.IFS(AND($CI435=0, CM435=FALSE), NA(), AND($CI435=1, CM435=FALSE), 0, CM435=TRUE, 1)</f>
        <v>0</v>
      </c>
      <c r="CU435" s="10" cm="1">
        <f t="array" ref="CU435">_xlfn.IFS(AND($CN435=0, CP435=FALSE), NA(), AND($CN435=1, CP435=FALSE), 0, CP435=TRUE, 1)</f>
        <v>1</v>
      </c>
      <c r="CV435" s="10" cm="1">
        <f t="array" ref="CV435">_xlfn.IFS(AND($CN435=0, CQ435=FALSE), NA(), AND($CN435=1, CQ435=FALSE), 0, CQ435=TRUE, 1)</f>
        <v>0</v>
      </c>
    </row>
    <row r="436" spans="1:100" ht="15.75" x14ac:dyDescent="0.25">
      <c r="A436" s="8">
        <v>435</v>
      </c>
      <c r="B436" s="9">
        <v>330</v>
      </c>
      <c r="C436" s="10" t="s">
        <v>26</v>
      </c>
      <c r="D436" s="11" t="s">
        <v>142</v>
      </c>
      <c r="E436" s="12">
        <v>16635</v>
      </c>
      <c r="F436" s="13">
        <v>2</v>
      </c>
      <c r="G436" s="9">
        <v>71.126625061035156</v>
      </c>
      <c r="H436" s="12">
        <v>42614</v>
      </c>
      <c r="I436" s="9">
        <v>1</v>
      </c>
      <c r="J436" s="12">
        <v>42614</v>
      </c>
      <c r="K436" s="9">
        <v>0</v>
      </c>
      <c r="L436" s="9">
        <v>1</v>
      </c>
      <c r="M436" s="10" t="s">
        <v>401</v>
      </c>
      <c r="N436" s="9">
        <v>2</v>
      </c>
      <c r="O436" s="10" t="s">
        <v>145</v>
      </c>
      <c r="P436" s="9">
        <v>2</v>
      </c>
      <c r="Q436" s="10" t="s">
        <v>145</v>
      </c>
      <c r="R436" s="12">
        <v>42826</v>
      </c>
      <c r="S436" s="10" t="s">
        <v>145</v>
      </c>
      <c r="T436" s="9"/>
      <c r="U436" s="10" t="s">
        <v>401</v>
      </c>
      <c r="V436" s="10" t="s">
        <v>401</v>
      </c>
      <c r="W436" s="9"/>
      <c r="X436" s="9"/>
      <c r="Y436" s="9">
        <v>2</v>
      </c>
      <c r="Z436" s="14">
        <v>1</v>
      </c>
      <c r="AA436" s="15">
        <v>13.2</v>
      </c>
      <c r="AB436" s="16" t="s">
        <v>486</v>
      </c>
      <c r="AC436" s="16" t="s">
        <v>487</v>
      </c>
      <c r="AD436" s="9">
        <v>2</v>
      </c>
      <c r="AE436" s="9">
        <v>2</v>
      </c>
      <c r="AF436" s="9">
        <v>1</v>
      </c>
      <c r="AG436" s="9">
        <v>1</v>
      </c>
      <c r="AH436" s="9">
        <v>1</v>
      </c>
      <c r="AI436" s="9">
        <v>0</v>
      </c>
      <c r="AJ436" s="12">
        <v>43154</v>
      </c>
      <c r="AK436" s="9">
        <v>1</v>
      </c>
      <c r="AL436" s="12">
        <v>44973</v>
      </c>
      <c r="AM436" s="9">
        <v>2</v>
      </c>
      <c r="AN436" s="12">
        <v>43277</v>
      </c>
      <c r="AO436" s="12"/>
      <c r="AP436" s="12"/>
      <c r="AQ436" s="9">
        <v>2</v>
      </c>
      <c r="AR436" s="9">
        <f t="shared" si="149"/>
        <v>0</v>
      </c>
      <c r="AS436" s="9">
        <v>2</v>
      </c>
      <c r="AT436" s="9"/>
      <c r="AU436" s="9">
        <v>1</v>
      </c>
      <c r="AV436" s="9">
        <f t="shared" si="150"/>
        <v>0</v>
      </c>
      <c r="AW436" s="12">
        <v>44973</v>
      </c>
      <c r="AX436" s="9">
        <v>9120</v>
      </c>
      <c r="AY436" s="9">
        <v>5280</v>
      </c>
      <c r="AZ436" s="9">
        <v>2790</v>
      </c>
      <c r="BA436" s="9">
        <v>5280</v>
      </c>
      <c r="BB436" s="9">
        <v>2790</v>
      </c>
      <c r="BC436" s="9">
        <v>414000</v>
      </c>
      <c r="BD436" s="9">
        <v>720</v>
      </c>
      <c r="BE436" s="9">
        <v>240</v>
      </c>
      <c r="BF436" s="9">
        <v>336</v>
      </c>
      <c r="BG436" s="9">
        <v>6730</v>
      </c>
      <c r="BH436" s="9">
        <v>3960</v>
      </c>
      <c r="BI436" s="9">
        <v>1880</v>
      </c>
      <c r="BJ436" s="9">
        <v>404000</v>
      </c>
      <c r="BK436" s="9">
        <v>540</v>
      </c>
      <c r="BL436" s="9">
        <v>270</v>
      </c>
      <c r="BM436" s="9"/>
      <c r="BN436" s="9">
        <v>7070</v>
      </c>
      <c r="BO436" s="9">
        <v>4090</v>
      </c>
      <c r="BP436" s="9">
        <v>1940</v>
      </c>
      <c r="BQ436" s="9">
        <v>378000</v>
      </c>
      <c r="BR436" s="9">
        <v>620</v>
      </c>
      <c r="BS436" s="9">
        <v>310</v>
      </c>
      <c r="BT436" s="9"/>
      <c r="BU436" s="9">
        <v>11710</v>
      </c>
      <c r="BV436" s="9">
        <v>8600</v>
      </c>
      <c r="BW436" s="9">
        <v>1910</v>
      </c>
      <c r="BX436" s="9">
        <v>313000</v>
      </c>
      <c r="BY436" s="9">
        <v>790</v>
      </c>
      <c r="BZ436" s="10" t="s">
        <v>542</v>
      </c>
      <c r="CA436" s="9">
        <v>300</v>
      </c>
      <c r="CB436" s="9"/>
      <c r="CC436" s="10">
        <f t="shared" si="151"/>
        <v>1.89247311827957</v>
      </c>
      <c r="CD436" s="10">
        <f t="shared" si="152"/>
        <v>148.38709677419354</v>
      </c>
      <c r="CE436" s="10">
        <f t="shared" si="167"/>
        <v>783483.87096774194</v>
      </c>
      <c r="CF436" s="10">
        <f t="shared" si="165"/>
        <v>1</v>
      </c>
      <c r="CG436" s="10">
        <f t="shared" si="146"/>
        <v>1</v>
      </c>
      <c r="CH436" s="10">
        <f t="shared" si="147"/>
        <v>60</v>
      </c>
      <c r="CI436" s="9">
        <f t="shared" si="153"/>
        <v>0</v>
      </c>
      <c r="CJ436" s="10">
        <f t="shared" si="148"/>
        <v>60</v>
      </c>
      <c r="CK436" s="10" t="b">
        <f t="shared" si="154"/>
        <v>1</v>
      </c>
      <c r="CL436" s="10" t="b">
        <f t="shared" si="155"/>
        <v>1</v>
      </c>
      <c r="CM436" s="10" t="b">
        <f t="shared" si="156"/>
        <v>1</v>
      </c>
      <c r="CN436" s="9">
        <f t="shared" si="157"/>
        <v>0</v>
      </c>
      <c r="CO436" s="10">
        <f>CJ436</f>
        <v>60</v>
      </c>
      <c r="CP436" s="10" t="b">
        <f t="shared" si="158"/>
        <v>1</v>
      </c>
      <c r="CQ436" s="10" t="b">
        <f t="shared" si="159"/>
        <v>1</v>
      </c>
      <c r="CR436" s="10" cm="1">
        <f t="array" ref="CR436">_xlfn.IFS(AND($CI436=0, CK436=FALSE), NA(), AND($CI436=1, CK436=FALSE), 0, CK436=TRUE, 1)</f>
        <v>1</v>
      </c>
      <c r="CS436" s="10" cm="1">
        <f t="array" ref="CS436">_xlfn.IFS(AND($CI436=0, CL436=FALSE), NA(), AND($CI436=1, CL436=FALSE), 0, CL436=TRUE, 1)</f>
        <v>1</v>
      </c>
      <c r="CT436" s="10" cm="1">
        <f t="array" ref="CT436">_xlfn.IFS(AND($CI436=0, CM436=FALSE), NA(), AND($CI436=1, CM436=FALSE), 0, CM436=TRUE, 1)</f>
        <v>1</v>
      </c>
      <c r="CU436" s="10" cm="1">
        <f t="array" ref="CU436">_xlfn.IFS(AND($CN436=0, CP436=FALSE), NA(), AND($CN436=1, CP436=FALSE), 0, CP436=TRUE, 1)</f>
        <v>1</v>
      </c>
      <c r="CV436" s="10" cm="1">
        <f t="array" ref="CV436">_xlfn.IFS(AND($CN436=0, CQ436=FALSE), NA(), AND($CN436=1, CQ436=FALSE), 0, CQ436=TRUE, 1)</f>
        <v>1</v>
      </c>
    </row>
    <row r="437" spans="1:100" ht="15.75" x14ac:dyDescent="0.25">
      <c r="A437" s="8">
        <v>436</v>
      </c>
      <c r="B437" s="9">
        <v>383</v>
      </c>
      <c r="C437" s="10" t="s">
        <v>29</v>
      </c>
      <c r="D437" s="11" t="s">
        <v>298</v>
      </c>
      <c r="E437" s="12">
        <v>20161</v>
      </c>
      <c r="F437" s="13">
        <v>1</v>
      </c>
      <c r="G437" s="9">
        <v>61.486652374267578</v>
      </c>
      <c r="H437" s="12">
        <v>42619</v>
      </c>
      <c r="I437" s="9">
        <v>1</v>
      </c>
      <c r="J437" s="12">
        <v>42619</v>
      </c>
      <c r="K437" s="9">
        <v>1</v>
      </c>
      <c r="L437" s="9">
        <v>1</v>
      </c>
      <c r="M437" s="10" t="s">
        <v>401</v>
      </c>
      <c r="N437" s="9">
        <v>3</v>
      </c>
      <c r="O437" s="10" t="s">
        <v>424</v>
      </c>
      <c r="P437" s="9">
        <v>2</v>
      </c>
      <c r="Q437" s="10" t="s">
        <v>409</v>
      </c>
      <c r="R437" s="12">
        <v>42649</v>
      </c>
      <c r="S437" s="10" t="s">
        <v>146</v>
      </c>
      <c r="T437" s="9"/>
      <c r="U437" s="10" t="s">
        <v>401</v>
      </c>
      <c r="V437" s="10" t="s">
        <v>401</v>
      </c>
      <c r="W437" s="9"/>
      <c r="X437" s="9"/>
      <c r="Y437" s="9">
        <v>2</v>
      </c>
      <c r="Z437" s="14">
        <v>2</v>
      </c>
      <c r="AA437" s="17">
        <v>11</v>
      </c>
      <c r="AB437" s="18">
        <v>93</v>
      </c>
      <c r="AC437" s="18"/>
      <c r="AD437" s="9">
        <v>2</v>
      </c>
      <c r="AE437" s="9">
        <v>2</v>
      </c>
      <c r="AF437" s="9">
        <v>1</v>
      </c>
      <c r="AG437" s="9">
        <v>0</v>
      </c>
      <c r="AH437" s="9">
        <v>1</v>
      </c>
      <c r="AI437" s="9">
        <v>0</v>
      </c>
      <c r="AJ437" s="12">
        <v>42920</v>
      </c>
      <c r="AK437" s="9">
        <v>2</v>
      </c>
      <c r="AL437" s="12">
        <v>43019</v>
      </c>
      <c r="AM437" s="9">
        <v>4</v>
      </c>
      <c r="AN437" s="12">
        <v>43033</v>
      </c>
      <c r="AO437" s="12">
        <v>43033</v>
      </c>
      <c r="AP437" s="12">
        <v>43033</v>
      </c>
      <c r="AQ437" s="9">
        <v>1</v>
      </c>
      <c r="AR437" s="9">
        <f t="shared" si="149"/>
        <v>1</v>
      </c>
      <c r="AS437" s="9">
        <v>1</v>
      </c>
      <c r="AT437" s="9">
        <v>2</v>
      </c>
      <c r="AU437" s="9">
        <v>2</v>
      </c>
      <c r="AV437" s="9">
        <f t="shared" si="150"/>
        <v>1</v>
      </c>
      <c r="AW437" s="12">
        <v>43117</v>
      </c>
      <c r="AX437" s="9">
        <v>4800</v>
      </c>
      <c r="AY437" s="9">
        <v>3870</v>
      </c>
      <c r="AZ437" s="9">
        <v>1870</v>
      </c>
      <c r="BA437" s="9">
        <v>3870</v>
      </c>
      <c r="BB437" s="9">
        <v>1870.0001220703125</v>
      </c>
      <c r="BC437" s="9">
        <v>308000</v>
      </c>
      <c r="BD437" s="9">
        <v>81</v>
      </c>
      <c r="BE437" s="9">
        <v>32</v>
      </c>
      <c r="BF437" s="9"/>
      <c r="BG437" s="9">
        <v>6500</v>
      </c>
      <c r="BH437" s="9">
        <v>3960</v>
      </c>
      <c r="BI437" s="9">
        <v>1610</v>
      </c>
      <c r="BJ437" s="9">
        <v>304000</v>
      </c>
      <c r="BK437" s="9">
        <v>79</v>
      </c>
      <c r="BL437" s="9">
        <v>11</v>
      </c>
      <c r="BM437" s="9"/>
      <c r="BN437" s="9">
        <v>7600</v>
      </c>
      <c r="BO437" s="9">
        <v>4270</v>
      </c>
      <c r="BP437" s="9">
        <v>2180</v>
      </c>
      <c r="BQ437" s="9">
        <v>350000</v>
      </c>
      <c r="BR437" s="9">
        <v>86</v>
      </c>
      <c r="BS437" s="9">
        <v>23</v>
      </c>
      <c r="BT437" s="9"/>
      <c r="BU437" s="9">
        <v>7500</v>
      </c>
      <c r="BV437" s="9">
        <v>4210</v>
      </c>
      <c r="BW437" s="9">
        <v>2140</v>
      </c>
      <c r="BX437" s="9">
        <v>369000</v>
      </c>
      <c r="BY437" s="9">
        <v>85</v>
      </c>
      <c r="BZ437" s="10" t="s">
        <v>311</v>
      </c>
      <c r="CA437" s="9">
        <v>24</v>
      </c>
      <c r="CB437" s="9"/>
      <c r="CC437" s="10">
        <f t="shared" si="151"/>
        <v>2.0695185814830053</v>
      </c>
      <c r="CD437" s="10">
        <f t="shared" si="152"/>
        <v>164.70587160123142</v>
      </c>
      <c r="CE437" s="10">
        <f t="shared" si="167"/>
        <v>637411.72309676558</v>
      </c>
      <c r="CF437" s="10">
        <f t="shared" si="165"/>
        <v>0</v>
      </c>
      <c r="CG437" s="10">
        <f t="shared" si="146"/>
        <v>0</v>
      </c>
      <c r="CH437" s="10">
        <f t="shared" si="147"/>
        <v>3</v>
      </c>
      <c r="CI437" s="9">
        <f t="shared" si="153"/>
        <v>1</v>
      </c>
      <c r="CJ437" s="10">
        <f t="shared" si="148"/>
        <v>6</v>
      </c>
      <c r="CK437" s="10" t="b">
        <f t="shared" si="154"/>
        <v>1</v>
      </c>
      <c r="CL437" s="10" t="b">
        <f t="shared" si="155"/>
        <v>0</v>
      </c>
      <c r="CM437" s="10" t="b">
        <f t="shared" si="156"/>
        <v>0</v>
      </c>
      <c r="CN437" s="9">
        <f t="shared" si="157"/>
        <v>1</v>
      </c>
      <c r="CO437" s="10">
        <f>(YEAR(AO437)-YEAR(AJ437))*12+MONTH(AO437)-MONTH(AJ437)</f>
        <v>3</v>
      </c>
      <c r="CP437" s="10" t="b">
        <f t="shared" si="158"/>
        <v>1</v>
      </c>
      <c r="CQ437" s="10" t="b">
        <f t="shared" si="159"/>
        <v>0</v>
      </c>
      <c r="CR437" s="10" cm="1">
        <f t="array" ref="CR437">_xlfn.IFS(AND($CI437=0, CK437=FALSE), NA(), AND($CI437=1, CK437=FALSE), 0, CK437=TRUE, 1)</f>
        <v>1</v>
      </c>
      <c r="CS437" s="10" cm="1">
        <f t="array" ref="CS437">_xlfn.IFS(AND($CI437=0, CL437=FALSE), NA(), AND($CI437=1, CL437=FALSE), 0, CL437=TRUE, 1)</f>
        <v>0</v>
      </c>
      <c r="CT437" s="10" cm="1">
        <f t="array" ref="CT437">_xlfn.IFS(AND($CI437=0, CM437=FALSE), NA(), AND($CI437=1, CM437=FALSE), 0, CM437=TRUE, 1)</f>
        <v>0</v>
      </c>
      <c r="CU437" s="10" cm="1">
        <f t="array" ref="CU437">_xlfn.IFS(AND($CN437=0, CP437=FALSE), NA(), AND($CN437=1, CP437=FALSE), 0, CP437=TRUE, 1)</f>
        <v>1</v>
      </c>
      <c r="CV437" s="10" cm="1">
        <f t="array" ref="CV437">_xlfn.IFS(AND($CN437=0, CQ437=FALSE), NA(), AND($CN437=1, CQ437=FALSE), 0, CQ437=TRUE, 1)</f>
        <v>0</v>
      </c>
    </row>
    <row r="438" spans="1:100" ht="15.75" x14ac:dyDescent="0.25">
      <c r="A438" s="8">
        <v>437</v>
      </c>
      <c r="B438" s="9">
        <v>65</v>
      </c>
      <c r="C438" s="10" t="s">
        <v>8</v>
      </c>
      <c r="D438" s="11" t="s">
        <v>95</v>
      </c>
      <c r="E438" s="12">
        <v>24217</v>
      </c>
      <c r="F438" s="13">
        <v>1</v>
      </c>
      <c r="G438" s="9">
        <v>50.406570434570313</v>
      </c>
      <c r="H438" s="12">
        <v>42628</v>
      </c>
      <c r="I438" s="9">
        <v>1</v>
      </c>
      <c r="J438" s="12">
        <v>42628</v>
      </c>
      <c r="K438" s="9">
        <v>0</v>
      </c>
      <c r="L438" s="9">
        <v>1</v>
      </c>
      <c r="M438" s="10" t="s">
        <v>401</v>
      </c>
      <c r="N438" s="9">
        <v>1</v>
      </c>
      <c r="O438" s="10" t="s">
        <v>401</v>
      </c>
      <c r="P438" s="9">
        <v>1</v>
      </c>
      <c r="Q438" s="10" t="s">
        <v>401</v>
      </c>
      <c r="R438" s="12">
        <v>43174</v>
      </c>
      <c r="S438" s="10" t="s">
        <v>146</v>
      </c>
      <c r="T438" s="9"/>
      <c r="U438" s="10" t="s">
        <v>401</v>
      </c>
      <c r="V438" s="10" t="s">
        <v>401</v>
      </c>
      <c r="W438" s="9"/>
      <c r="X438" s="9"/>
      <c r="Y438" s="9">
        <v>2</v>
      </c>
      <c r="Z438" s="14">
        <v>2</v>
      </c>
      <c r="AA438" s="17">
        <v>10.6</v>
      </c>
      <c r="AB438" s="18">
        <v>94</v>
      </c>
      <c r="AC438" s="18">
        <v>22</v>
      </c>
      <c r="AD438" s="9">
        <v>1</v>
      </c>
      <c r="AE438" s="9">
        <v>2</v>
      </c>
      <c r="AF438" s="9">
        <v>1</v>
      </c>
      <c r="AG438" s="9">
        <v>0</v>
      </c>
      <c r="AH438" s="9">
        <v>1</v>
      </c>
      <c r="AI438" s="9">
        <v>1</v>
      </c>
      <c r="AJ438" s="12">
        <v>43315</v>
      </c>
      <c r="AK438" s="9">
        <v>1</v>
      </c>
      <c r="AL438" s="12">
        <v>44930</v>
      </c>
      <c r="AM438" s="9">
        <v>2</v>
      </c>
      <c r="AN438" s="12">
        <v>43407</v>
      </c>
      <c r="AO438" s="12"/>
      <c r="AP438" s="12"/>
      <c r="AQ438" s="9">
        <v>2</v>
      </c>
      <c r="AR438" s="9">
        <f t="shared" si="149"/>
        <v>0</v>
      </c>
      <c r="AS438" s="9">
        <v>2</v>
      </c>
      <c r="AT438" s="9"/>
      <c r="AU438" s="9">
        <v>1</v>
      </c>
      <c r="AV438" s="9">
        <f t="shared" si="150"/>
        <v>0</v>
      </c>
      <c r="AW438" s="12">
        <v>44930</v>
      </c>
      <c r="AX438" s="9">
        <v>4440</v>
      </c>
      <c r="AY438" s="9">
        <v>2950</v>
      </c>
      <c r="AZ438" s="9">
        <v>940</v>
      </c>
      <c r="BA438" s="9">
        <v>2950</v>
      </c>
      <c r="BB438" s="9">
        <v>940.0001220703125</v>
      </c>
      <c r="BC438" s="9">
        <v>129000</v>
      </c>
      <c r="BD438" s="9">
        <v>510</v>
      </c>
      <c r="BE438" s="9">
        <v>30</v>
      </c>
      <c r="BF438" s="9">
        <v>294</v>
      </c>
      <c r="BG438" s="9"/>
      <c r="BH438" s="9"/>
      <c r="BI438" s="9"/>
      <c r="BJ438" s="9"/>
      <c r="BK438" s="9"/>
      <c r="BL438" s="9"/>
      <c r="BM438" s="9"/>
      <c r="BN438" s="9">
        <v>4800</v>
      </c>
      <c r="BO438" s="9">
        <v>3460</v>
      </c>
      <c r="BP438" s="9"/>
      <c r="BQ438" s="9">
        <v>98000</v>
      </c>
      <c r="BR438" s="9"/>
      <c r="BS438" s="9"/>
      <c r="BT438" s="9"/>
      <c r="BU438" s="9">
        <v>8400</v>
      </c>
      <c r="BV438" s="9">
        <v>6520</v>
      </c>
      <c r="BW438" s="9"/>
      <c r="BX438" s="9">
        <v>128000</v>
      </c>
      <c r="BY438" s="9"/>
      <c r="BZ438" s="10" t="s">
        <v>401</v>
      </c>
      <c r="CA438" s="9"/>
      <c r="CB438" s="9"/>
      <c r="CC438" s="10">
        <f t="shared" si="151"/>
        <v>3.1382974647947317</v>
      </c>
      <c r="CD438" s="10">
        <f t="shared" si="152"/>
        <v>137.23402473170182</v>
      </c>
      <c r="CE438" s="10">
        <f t="shared" si="167"/>
        <v>404840.37295852037</v>
      </c>
      <c r="CF438" s="10">
        <f t="shared" si="165"/>
        <v>1</v>
      </c>
      <c r="CG438" s="10">
        <f t="shared" si="146"/>
        <v>1</v>
      </c>
      <c r="CH438" s="10">
        <f t="shared" si="147"/>
        <v>53</v>
      </c>
      <c r="CI438" s="9">
        <f t="shared" si="153"/>
        <v>0</v>
      </c>
      <c r="CJ438" s="10">
        <f t="shared" si="148"/>
        <v>53</v>
      </c>
      <c r="CK438" s="10" t="b">
        <f t="shared" si="154"/>
        <v>1</v>
      </c>
      <c r="CL438" s="10" t="b">
        <f t="shared" si="155"/>
        <v>1</v>
      </c>
      <c r="CM438" s="10" t="b">
        <f t="shared" si="156"/>
        <v>1</v>
      </c>
      <c r="CN438" s="9">
        <f t="shared" si="157"/>
        <v>0</v>
      </c>
      <c r="CO438" s="10">
        <f>CJ438</f>
        <v>53</v>
      </c>
      <c r="CP438" s="10" t="b">
        <f t="shared" si="158"/>
        <v>1</v>
      </c>
      <c r="CQ438" s="10" t="b">
        <f t="shared" si="159"/>
        <v>1</v>
      </c>
      <c r="CR438" s="10" cm="1">
        <f t="array" ref="CR438">_xlfn.IFS(AND($CI438=0, CK438=FALSE), NA(), AND($CI438=1, CK438=FALSE), 0, CK438=TRUE, 1)</f>
        <v>1</v>
      </c>
      <c r="CS438" s="10" cm="1">
        <f t="array" ref="CS438">_xlfn.IFS(AND($CI438=0, CL438=FALSE), NA(), AND($CI438=1, CL438=FALSE), 0, CL438=TRUE, 1)</f>
        <v>1</v>
      </c>
      <c r="CT438" s="10" cm="1">
        <f t="array" ref="CT438">_xlfn.IFS(AND($CI438=0, CM438=FALSE), NA(), AND($CI438=1, CM438=FALSE), 0, CM438=TRUE, 1)</f>
        <v>1</v>
      </c>
      <c r="CU438" s="10" cm="1">
        <f t="array" ref="CU438">_xlfn.IFS(AND($CN438=0, CP438=FALSE), NA(), AND($CN438=1, CP438=FALSE), 0, CP438=TRUE, 1)</f>
        <v>1</v>
      </c>
      <c r="CV438" s="10" cm="1">
        <f t="array" ref="CV438">_xlfn.IFS(AND($CN438=0, CQ438=FALSE), NA(), AND($CN438=1, CQ438=FALSE), 0, CQ438=TRUE, 1)</f>
        <v>1</v>
      </c>
    </row>
    <row r="439" spans="1:100" ht="15.75" x14ac:dyDescent="0.25">
      <c r="A439" s="8">
        <v>438</v>
      </c>
      <c r="B439" s="9">
        <v>490</v>
      </c>
      <c r="C439" s="10" t="s">
        <v>32</v>
      </c>
      <c r="D439" s="11" t="s">
        <v>376</v>
      </c>
      <c r="E439" s="12">
        <v>18085</v>
      </c>
      <c r="F439" s="13">
        <v>1</v>
      </c>
      <c r="G439" s="9">
        <v>67.2142333984375</v>
      </c>
      <c r="H439" s="12">
        <v>42635</v>
      </c>
      <c r="I439" s="9">
        <v>1</v>
      </c>
      <c r="J439" s="12">
        <v>42669</v>
      </c>
      <c r="K439" s="9">
        <v>1</v>
      </c>
      <c r="L439" s="9">
        <v>1</v>
      </c>
      <c r="M439" s="10" t="s">
        <v>401</v>
      </c>
      <c r="N439" s="9">
        <v>2</v>
      </c>
      <c r="O439" s="10" t="s">
        <v>145</v>
      </c>
      <c r="P439" s="9">
        <v>2</v>
      </c>
      <c r="Q439" s="10" t="s">
        <v>145</v>
      </c>
      <c r="R439" s="12">
        <v>42635</v>
      </c>
      <c r="S439" s="10" t="s">
        <v>145</v>
      </c>
      <c r="T439" s="9"/>
      <c r="U439" s="10" t="s">
        <v>401</v>
      </c>
      <c r="V439" s="10" t="s">
        <v>401</v>
      </c>
      <c r="W439" s="9"/>
      <c r="X439" s="9"/>
      <c r="Y439" s="9">
        <v>2</v>
      </c>
      <c r="Z439" s="14">
        <v>1</v>
      </c>
      <c r="AA439" s="17">
        <v>11.2</v>
      </c>
      <c r="AB439" s="18">
        <v>102</v>
      </c>
      <c r="AC439" s="18">
        <v>14</v>
      </c>
      <c r="AD439" s="9">
        <v>2</v>
      </c>
      <c r="AE439" s="9">
        <v>2</v>
      </c>
      <c r="AF439" s="9">
        <v>1</v>
      </c>
      <c r="AG439" s="9">
        <v>0</v>
      </c>
      <c r="AH439" s="9">
        <v>1</v>
      </c>
      <c r="AI439" s="9">
        <v>0</v>
      </c>
      <c r="AJ439" s="12">
        <v>42982</v>
      </c>
      <c r="AK439" s="9">
        <v>2</v>
      </c>
      <c r="AL439" s="12">
        <v>43103</v>
      </c>
      <c r="AM439" s="9">
        <v>4</v>
      </c>
      <c r="AN439" s="12">
        <v>43110</v>
      </c>
      <c r="AO439" s="12">
        <v>43110</v>
      </c>
      <c r="AP439" s="12">
        <v>43110</v>
      </c>
      <c r="AQ439" s="9">
        <v>1</v>
      </c>
      <c r="AR439" s="9">
        <f t="shared" si="149"/>
        <v>1</v>
      </c>
      <c r="AS439" s="9">
        <v>1</v>
      </c>
      <c r="AT439" s="9">
        <v>2</v>
      </c>
      <c r="AU439" s="9">
        <v>2</v>
      </c>
      <c r="AV439" s="9">
        <f t="shared" si="150"/>
        <v>1</v>
      </c>
      <c r="AW439" s="12">
        <v>44574</v>
      </c>
      <c r="AX439" s="9">
        <v>7210</v>
      </c>
      <c r="AY439" s="9">
        <v>4430</v>
      </c>
      <c r="AZ439" s="9">
        <v>1520</v>
      </c>
      <c r="BA439" s="9">
        <v>4430</v>
      </c>
      <c r="BB439" s="9">
        <v>1520</v>
      </c>
      <c r="BC439" s="9">
        <v>358000</v>
      </c>
      <c r="BD439" s="9">
        <v>640</v>
      </c>
      <c r="BE439" s="9">
        <v>150</v>
      </c>
      <c r="BF439" s="9">
        <v>230</v>
      </c>
      <c r="BG439" s="9">
        <v>5800</v>
      </c>
      <c r="BH439" s="9">
        <v>3800</v>
      </c>
      <c r="BI439" s="9">
        <v>1230</v>
      </c>
      <c r="BJ439" s="9">
        <v>302000</v>
      </c>
      <c r="BK439" s="9">
        <v>510</v>
      </c>
      <c r="BL439" s="9">
        <v>130</v>
      </c>
      <c r="BM439" s="9">
        <v>210</v>
      </c>
      <c r="BN439" s="9">
        <v>5630</v>
      </c>
      <c r="BO439" s="9">
        <v>3750</v>
      </c>
      <c r="BP439" s="9">
        <v>1100</v>
      </c>
      <c r="BQ439" s="9">
        <v>258000</v>
      </c>
      <c r="BR439" s="9">
        <v>480</v>
      </c>
      <c r="BS439" s="9">
        <v>135</v>
      </c>
      <c r="BT439" s="9">
        <v>280</v>
      </c>
      <c r="BU439" s="9">
        <v>5740</v>
      </c>
      <c r="BV439" s="9">
        <v>3900</v>
      </c>
      <c r="BW439" s="9">
        <v>1120</v>
      </c>
      <c r="BX439" s="9">
        <v>180000</v>
      </c>
      <c r="BY439" s="9">
        <v>420</v>
      </c>
      <c r="BZ439" s="10" t="s">
        <v>563</v>
      </c>
      <c r="CA439" s="9">
        <v>130</v>
      </c>
      <c r="CB439" s="9">
        <v>310</v>
      </c>
      <c r="CC439" s="10">
        <f t="shared" si="151"/>
        <v>2.9144736842105261</v>
      </c>
      <c r="CD439" s="10">
        <f t="shared" si="152"/>
        <v>235.52631578947367</v>
      </c>
      <c r="CE439" s="10">
        <f t="shared" si="167"/>
        <v>1043381.5789473683</v>
      </c>
      <c r="CF439" s="10">
        <f t="shared" si="165"/>
        <v>0</v>
      </c>
      <c r="CG439" s="10">
        <f t="shared" si="146"/>
        <v>0</v>
      </c>
      <c r="CH439" s="10">
        <f t="shared" si="147"/>
        <v>4</v>
      </c>
      <c r="CI439" s="9">
        <f t="shared" si="153"/>
        <v>1</v>
      </c>
      <c r="CJ439" s="10">
        <f t="shared" si="148"/>
        <v>52</v>
      </c>
      <c r="CK439" s="10" t="b">
        <f t="shared" si="154"/>
        <v>1</v>
      </c>
      <c r="CL439" s="10" t="b">
        <f t="shared" si="155"/>
        <v>1</v>
      </c>
      <c r="CM439" s="10" t="b">
        <f t="shared" si="156"/>
        <v>1</v>
      </c>
      <c r="CN439" s="9">
        <f t="shared" si="157"/>
        <v>1</v>
      </c>
      <c r="CO439" s="10">
        <f>(YEAR(AO439)-YEAR(AJ439))*12+MONTH(AO439)-MONTH(AJ439)</f>
        <v>4</v>
      </c>
      <c r="CP439" s="10" t="b">
        <f t="shared" si="158"/>
        <v>1</v>
      </c>
      <c r="CQ439" s="10" t="b">
        <f t="shared" si="159"/>
        <v>0</v>
      </c>
      <c r="CR439" s="10" cm="1">
        <f t="array" ref="CR439">_xlfn.IFS(AND($CI439=0, CK439=FALSE), NA(), AND($CI439=1, CK439=FALSE), 0, CK439=TRUE, 1)</f>
        <v>1</v>
      </c>
      <c r="CS439" s="10" cm="1">
        <f t="array" ref="CS439">_xlfn.IFS(AND($CI439=0, CL439=FALSE), NA(), AND($CI439=1, CL439=FALSE), 0, CL439=TRUE, 1)</f>
        <v>1</v>
      </c>
      <c r="CT439" s="10" cm="1">
        <f t="array" ref="CT439">_xlfn.IFS(AND($CI439=0, CM439=FALSE), NA(), AND($CI439=1, CM439=FALSE), 0, CM439=TRUE, 1)</f>
        <v>1</v>
      </c>
      <c r="CU439" s="10" cm="1">
        <f t="array" ref="CU439">_xlfn.IFS(AND($CN439=0, CP439=FALSE), NA(), AND($CN439=1, CP439=FALSE), 0, CP439=TRUE, 1)</f>
        <v>1</v>
      </c>
      <c r="CV439" s="10" cm="1">
        <f t="array" ref="CV439">_xlfn.IFS(AND($CN439=0, CQ439=FALSE), NA(), AND($CN439=1, CQ439=FALSE), 0, CQ439=TRUE, 1)</f>
        <v>0</v>
      </c>
    </row>
    <row r="440" spans="1:100" ht="15.75" x14ac:dyDescent="0.25">
      <c r="A440" s="8">
        <v>439</v>
      </c>
      <c r="B440" s="9">
        <v>55</v>
      </c>
      <c r="C440" s="10" t="s">
        <v>7</v>
      </c>
      <c r="D440" s="11" t="s">
        <v>87</v>
      </c>
      <c r="E440" s="12">
        <v>25133</v>
      </c>
      <c r="F440" s="13">
        <v>1</v>
      </c>
      <c r="G440" s="9">
        <v>47.953456878662109</v>
      </c>
      <c r="H440" s="12">
        <v>42648</v>
      </c>
      <c r="I440" s="9">
        <v>1</v>
      </c>
      <c r="J440" s="12">
        <v>42648</v>
      </c>
      <c r="K440" s="9">
        <v>0</v>
      </c>
      <c r="L440" s="9">
        <v>1</v>
      </c>
      <c r="M440" s="10" t="s">
        <v>401</v>
      </c>
      <c r="N440" s="9">
        <v>2</v>
      </c>
      <c r="O440" s="10" t="s">
        <v>412</v>
      </c>
      <c r="P440" s="9">
        <v>2</v>
      </c>
      <c r="Q440" s="10" t="s">
        <v>412</v>
      </c>
      <c r="R440" s="12">
        <v>42937</v>
      </c>
      <c r="S440" s="10" t="s">
        <v>145</v>
      </c>
      <c r="T440" s="9"/>
      <c r="U440" s="10" t="s">
        <v>401</v>
      </c>
      <c r="V440" s="10" t="s">
        <v>401</v>
      </c>
      <c r="W440" s="9"/>
      <c r="X440" s="9"/>
      <c r="Y440" s="9">
        <v>2</v>
      </c>
      <c r="Z440" s="14">
        <v>1</v>
      </c>
      <c r="AA440" s="21">
        <v>11.7</v>
      </c>
      <c r="AB440" s="22">
        <v>79</v>
      </c>
      <c r="AC440" s="22">
        <v>20.399999999999999</v>
      </c>
      <c r="AD440" s="9">
        <v>3</v>
      </c>
      <c r="AE440" s="9">
        <v>2</v>
      </c>
      <c r="AF440" s="9">
        <v>1</v>
      </c>
      <c r="AG440" s="9">
        <v>1</v>
      </c>
      <c r="AH440" s="9">
        <v>1</v>
      </c>
      <c r="AI440" s="9">
        <v>0</v>
      </c>
      <c r="AJ440" s="12">
        <v>43242</v>
      </c>
      <c r="AK440" s="9">
        <v>2</v>
      </c>
      <c r="AL440" s="12">
        <v>43804</v>
      </c>
      <c r="AM440" s="9">
        <v>2</v>
      </c>
      <c r="AN440" s="12">
        <v>43297</v>
      </c>
      <c r="AO440" s="12">
        <v>43865</v>
      </c>
      <c r="AP440" s="12">
        <v>43865</v>
      </c>
      <c r="AQ440" s="9">
        <v>1</v>
      </c>
      <c r="AR440" s="9">
        <f t="shared" si="149"/>
        <v>1</v>
      </c>
      <c r="AS440" s="9">
        <v>1</v>
      </c>
      <c r="AT440" s="9">
        <v>2</v>
      </c>
      <c r="AU440" s="9">
        <v>2</v>
      </c>
      <c r="AV440" s="9">
        <f t="shared" si="150"/>
        <v>1</v>
      </c>
      <c r="AW440" s="12">
        <v>44013</v>
      </c>
      <c r="AX440" s="9">
        <v>10030</v>
      </c>
      <c r="AY440" s="9">
        <v>7830</v>
      </c>
      <c r="AZ440" s="9">
        <v>1180</v>
      </c>
      <c r="BA440" s="9">
        <v>7830</v>
      </c>
      <c r="BB440" s="9">
        <v>1180.0001220703125</v>
      </c>
      <c r="BC440" s="9">
        <v>620000</v>
      </c>
      <c r="BD440" s="9">
        <v>680</v>
      </c>
      <c r="BE440" s="9">
        <v>280</v>
      </c>
      <c r="BF440" s="9">
        <v>226</v>
      </c>
      <c r="BG440" s="9">
        <v>6570</v>
      </c>
      <c r="BH440" s="9">
        <v>4630</v>
      </c>
      <c r="BI440" s="9">
        <v>1230</v>
      </c>
      <c r="BJ440" s="9">
        <v>511000</v>
      </c>
      <c r="BK440" s="9">
        <v>380</v>
      </c>
      <c r="BL440" s="9">
        <v>230</v>
      </c>
      <c r="BM440" s="9"/>
      <c r="BN440" s="9">
        <v>6250</v>
      </c>
      <c r="BO440" s="9">
        <v>3980</v>
      </c>
      <c r="BP440" s="9">
        <v>1400</v>
      </c>
      <c r="BQ440" s="9">
        <v>322000</v>
      </c>
      <c r="BR440" s="9">
        <v>480</v>
      </c>
      <c r="BS440" s="9">
        <v>310</v>
      </c>
      <c r="BT440" s="9"/>
      <c r="BU440" s="9">
        <v>5680</v>
      </c>
      <c r="BV440" s="9">
        <v>3790</v>
      </c>
      <c r="BW440" s="9">
        <v>1250</v>
      </c>
      <c r="BX440" s="9">
        <v>345000</v>
      </c>
      <c r="BY440" s="9">
        <v>350</v>
      </c>
      <c r="BZ440" s="10" t="s">
        <v>555</v>
      </c>
      <c r="CA440" s="9">
        <v>230</v>
      </c>
      <c r="CB440" s="9"/>
      <c r="CC440" s="10">
        <f t="shared" si="151"/>
        <v>6.6355925338908017</v>
      </c>
      <c r="CD440" s="10">
        <f t="shared" si="152"/>
        <v>525.42367445878631</v>
      </c>
      <c r="CE440" s="10">
        <f t="shared" si="167"/>
        <v>4114067.371012297</v>
      </c>
      <c r="CF440" s="10">
        <f t="shared" si="165"/>
        <v>1</v>
      </c>
      <c r="CG440" s="10">
        <f t="shared" si="146"/>
        <v>1</v>
      </c>
      <c r="CH440" s="10">
        <f t="shared" si="147"/>
        <v>19</v>
      </c>
      <c r="CI440" s="9">
        <f t="shared" si="153"/>
        <v>1</v>
      </c>
      <c r="CJ440" s="10">
        <f t="shared" si="148"/>
        <v>26</v>
      </c>
      <c r="CK440" s="10" t="b">
        <f t="shared" si="154"/>
        <v>1</v>
      </c>
      <c r="CL440" s="10" t="b">
        <f t="shared" si="155"/>
        <v>1</v>
      </c>
      <c r="CM440" s="10" t="b">
        <f t="shared" si="156"/>
        <v>1</v>
      </c>
      <c r="CN440" s="9">
        <f t="shared" si="157"/>
        <v>1</v>
      </c>
      <c r="CO440" s="10">
        <f>(YEAR(AO440)-YEAR(AJ440))*12+MONTH(AO440)-MONTH(AJ440)</f>
        <v>21</v>
      </c>
      <c r="CP440" s="10" t="b">
        <f t="shared" si="158"/>
        <v>1</v>
      </c>
      <c r="CQ440" s="10" t="b">
        <f t="shared" si="159"/>
        <v>1</v>
      </c>
      <c r="CR440" s="10" cm="1">
        <f t="array" ref="CR440">_xlfn.IFS(AND($CI440=0, CK440=FALSE), NA(), AND($CI440=1, CK440=FALSE), 0, CK440=TRUE, 1)</f>
        <v>1</v>
      </c>
      <c r="CS440" s="10" cm="1">
        <f t="array" ref="CS440">_xlfn.IFS(AND($CI440=0, CL440=FALSE), NA(), AND($CI440=1, CL440=FALSE), 0, CL440=TRUE, 1)</f>
        <v>1</v>
      </c>
      <c r="CT440" s="10" cm="1">
        <f t="array" ref="CT440">_xlfn.IFS(AND($CI440=0, CM440=FALSE), NA(), AND($CI440=1, CM440=FALSE), 0, CM440=TRUE, 1)</f>
        <v>1</v>
      </c>
      <c r="CU440" s="10" cm="1">
        <f t="array" ref="CU440">_xlfn.IFS(AND($CN440=0, CP440=FALSE), NA(), AND($CN440=1, CP440=FALSE), 0, CP440=TRUE, 1)</f>
        <v>1</v>
      </c>
      <c r="CV440" s="10" cm="1">
        <f t="array" ref="CV440">_xlfn.IFS(AND($CN440=0, CQ440=FALSE), NA(), AND($CN440=1, CQ440=FALSE), 0, CQ440=TRUE, 1)</f>
        <v>1</v>
      </c>
    </row>
    <row r="441" spans="1:100" x14ac:dyDescent="0.25">
      <c r="A441" s="8">
        <v>440</v>
      </c>
      <c r="B441" s="9">
        <v>29</v>
      </c>
      <c r="C441" s="10" t="s">
        <v>5</v>
      </c>
      <c r="D441" s="11" t="s">
        <v>64</v>
      </c>
      <c r="E441" s="12">
        <v>20587</v>
      </c>
      <c r="F441" s="13">
        <v>2</v>
      </c>
      <c r="G441" s="9">
        <v>60.424365997314453</v>
      </c>
      <c r="H441" s="12">
        <v>42657</v>
      </c>
      <c r="I441" s="9">
        <v>1</v>
      </c>
      <c r="J441" s="12">
        <v>42657</v>
      </c>
      <c r="K441" s="9">
        <v>1</v>
      </c>
      <c r="L441" s="9">
        <v>4</v>
      </c>
      <c r="M441" s="10" t="s">
        <v>402</v>
      </c>
      <c r="N441" s="9"/>
      <c r="O441" s="10" t="s">
        <v>401</v>
      </c>
      <c r="P441" s="9"/>
      <c r="Q441" s="10" t="s">
        <v>401</v>
      </c>
      <c r="R441" s="12">
        <v>42657</v>
      </c>
      <c r="S441" s="10" t="s">
        <v>146</v>
      </c>
      <c r="T441" s="9"/>
      <c r="U441" s="10" t="s">
        <v>401</v>
      </c>
      <c r="V441" s="10" t="s">
        <v>401</v>
      </c>
      <c r="W441" s="9"/>
      <c r="X441" s="9"/>
      <c r="Y441" s="9">
        <v>2</v>
      </c>
      <c r="Z441" s="19">
        <v>2</v>
      </c>
      <c r="AB441" s="9"/>
      <c r="AC441" s="9"/>
      <c r="AD441" s="9"/>
      <c r="AE441" s="9"/>
      <c r="AF441" s="9">
        <v>1</v>
      </c>
      <c r="AG441" s="9">
        <v>1</v>
      </c>
      <c r="AH441" s="9">
        <v>1</v>
      </c>
      <c r="AI441" s="9">
        <v>0</v>
      </c>
      <c r="AJ441" s="12">
        <v>43004</v>
      </c>
      <c r="AK441" s="9">
        <v>1</v>
      </c>
      <c r="AL441" s="12">
        <v>43920</v>
      </c>
      <c r="AM441" s="9">
        <v>3</v>
      </c>
      <c r="AN441" s="12">
        <v>43183</v>
      </c>
      <c r="AO441" s="12"/>
      <c r="AP441" s="12"/>
      <c r="AQ441" s="9">
        <v>2</v>
      </c>
      <c r="AR441" s="9">
        <f t="shared" si="149"/>
        <v>0</v>
      </c>
      <c r="AS441" s="9">
        <v>2</v>
      </c>
      <c r="AT441" s="9"/>
      <c r="AU441" s="9">
        <v>1</v>
      </c>
      <c r="AV441" s="9">
        <f t="shared" si="150"/>
        <v>0</v>
      </c>
      <c r="AW441" s="12">
        <v>43928</v>
      </c>
      <c r="AX441" s="9"/>
      <c r="AY441" s="9"/>
      <c r="AZ441" s="9"/>
      <c r="BA441" s="9">
        <v>4959.6201171875</v>
      </c>
      <c r="BB441" s="9">
        <v>1314.37060546875</v>
      </c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10" t="s">
        <v>401</v>
      </c>
      <c r="CA441" s="9"/>
      <c r="CB441" s="9"/>
      <c r="CC441" s="10">
        <f t="shared" si="151"/>
        <v>3.77338027535904</v>
      </c>
      <c r="CF441" s="10">
        <f t="shared" si="165"/>
        <v>1</v>
      </c>
      <c r="CG441" s="10">
        <f t="shared" si="146"/>
        <v>0</v>
      </c>
      <c r="CH441" s="10">
        <f t="shared" si="147"/>
        <v>30</v>
      </c>
      <c r="CI441" s="9">
        <f t="shared" si="153"/>
        <v>0</v>
      </c>
      <c r="CJ441" s="10">
        <f t="shared" si="148"/>
        <v>31</v>
      </c>
      <c r="CK441" s="10" t="b">
        <f t="shared" si="154"/>
        <v>1</v>
      </c>
      <c r="CL441" s="10" t="b">
        <f t="shared" si="155"/>
        <v>1</v>
      </c>
      <c r="CM441" s="10" t="b">
        <f t="shared" si="156"/>
        <v>1</v>
      </c>
      <c r="CN441" s="9">
        <f t="shared" si="157"/>
        <v>0</v>
      </c>
      <c r="CO441" s="10">
        <f>CJ441</f>
        <v>31</v>
      </c>
      <c r="CP441" s="10" t="b">
        <f t="shared" si="158"/>
        <v>1</v>
      </c>
      <c r="CQ441" s="10" t="b">
        <f t="shared" si="159"/>
        <v>1</v>
      </c>
      <c r="CR441" s="10" cm="1">
        <f t="array" ref="CR441">_xlfn.IFS(AND($CI441=0, CK441=FALSE), NA(), AND($CI441=1, CK441=FALSE), 0, CK441=TRUE, 1)</f>
        <v>1</v>
      </c>
      <c r="CS441" s="10" cm="1">
        <f t="array" ref="CS441">_xlfn.IFS(AND($CI441=0, CL441=FALSE), NA(), AND($CI441=1, CL441=FALSE), 0, CL441=TRUE, 1)</f>
        <v>1</v>
      </c>
      <c r="CT441" s="10" cm="1">
        <f t="array" ref="CT441">_xlfn.IFS(AND($CI441=0, CM441=FALSE), NA(), AND($CI441=1, CM441=FALSE), 0, CM441=TRUE, 1)</f>
        <v>1</v>
      </c>
      <c r="CU441" s="10" cm="1">
        <f t="array" ref="CU441">_xlfn.IFS(AND($CN441=0, CP441=FALSE), NA(), AND($CN441=1, CP441=FALSE), 0, CP441=TRUE, 1)</f>
        <v>1</v>
      </c>
      <c r="CV441" s="10" cm="1">
        <f t="array" ref="CV441">_xlfn.IFS(AND($CN441=0, CQ441=FALSE), NA(), AND($CN441=1, CQ441=FALSE), 0, CQ441=TRUE, 1)</f>
        <v>1</v>
      </c>
    </row>
    <row r="442" spans="1:100" x14ac:dyDescent="0.25">
      <c r="A442" s="8">
        <v>441</v>
      </c>
      <c r="B442" s="9">
        <v>31</v>
      </c>
      <c r="C442" s="10" t="s">
        <v>5</v>
      </c>
      <c r="D442" s="11" t="s">
        <v>67</v>
      </c>
      <c r="E442" s="12">
        <v>16342</v>
      </c>
      <c r="F442" s="13">
        <v>2</v>
      </c>
      <c r="G442" s="9">
        <v>72.062973022460938</v>
      </c>
      <c r="H442" s="12">
        <v>42663</v>
      </c>
      <c r="I442" s="9">
        <v>1</v>
      </c>
      <c r="J442" s="12">
        <v>42663</v>
      </c>
      <c r="K442" s="9">
        <v>1</v>
      </c>
      <c r="L442" s="9">
        <v>1</v>
      </c>
      <c r="M442" s="10" t="s">
        <v>401</v>
      </c>
      <c r="N442" s="9">
        <v>2</v>
      </c>
      <c r="O442" s="10" t="s">
        <v>409</v>
      </c>
      <c r="P442" s="9">
        <v>2</v>
      </c>
      <c r="Q442" s="10" t="s">
        <v>409</v>
      </c>
      <c r="R442" s="12">
        <v>42663</v>
      </c>
      <c r="S442" s="10" t="s">
        <v>146</v>
      </c>
      <c r="T442" s="9">
        <v>6</v>
      </c>
      <c r="U442" s="10" t="s">
        <v>401</v>
      </c>
      <c r="V442" s="10" t="s">
        <v>401</v>
      </c>
      <c r="W442" s="9"/>
      <c r="X442" s="9"/>
      <c r="Y442" s="9">
        <v>3</v>
      </c>
      <c r="Z442" s="19">
        <v>2</v>
      </c>
      <c r="AB442" s="9"/>
      <c r="AC442" s="9"/>
      <c r="AD442" s="9"/>
      <c r="AE442" s="9"/>
      <c r="AF442" s="9">
        <v>1</v>
      </c>
      <c r="AG442" s="9">
        <v>1</v>
      </c>
      <c r="AH442" s="9">
        <v>1</v>
      </c>
      <c r="AI442" s="9">
        <v>1</v>
      </c>
      <c r="AJ442" s="12">
        <v>42846</v>
      </c>
      <c r="AK442" s="9">
        <v>2</v>
      </c>
      <c r="AL442" s="12">
        <v>42919</v>
      </c>
      <c r="AM442" s="9">
        <v>4</v>
      </c>
      <c r="AN442" s="12">
        <v>42913</v>
      </c>
      <c r="AO442" s="12">
        <v>42913</v>
      </c>
      <c r="AP442" s="12">
        <v>42913</v>
      </c>
      <c r="AQ442" s="9">
        <v>1</v>
      </c>
      <c r="AR442" s="9">
        <f t="shared" si="149"/>
        <v>1</v>
      </c>
      <c r="AS442" s="9">
        <v>1</v>
      </c>
      <c r="AT442" s="9">
        <v>2</v>
      </c>
      <c r="AU442" s="9">
        <v>1</v>
      </c>
      <c r="AV442" s="9">
        <f t="shared" si="150"/>
        <v>0</v>
      </c>
      <c r="AW442" s="12">
        <v>42919</v>
      </c>
      <c r="AX442" s="9"/>
      <c r="AY442" s="9"/>
      <c r="AZ442" s="9"/>
      <c r="BA442" s="9">
        <v>4399.0224609375</v>
      </c>
      <c r="BB442" s="9">
        <v>1335.6268310546875</v>
      </c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10" t="s">
        <v>401</v>
      </c>
      <c r="CA442" s="9"/>
      <c r="CB442" s="9"/>
      <c r="CC442" s="10">
        <f t="shared" si="151"/>
        <v>3.2936014451460065</v>
      </c>
      <c r="CF442" s="10">
        <f t="shared" ref="CF442:CF473" si="168">IF(AM442=4, 0,1)</f>
        <v>0</v>
      </c>
      <c r="CG442" s="10">
        <f t="shared" si="146"/>
        <v>0</v>
      </c>
      <c r="CH442" s="10">
        <f t="shared" si="147"/>
        <v>3</v>
      </c>
      <c r="CI442" s="9">
        <f t="shared" si="153"/>
        <v>0</v>
      </c>
      <c r="CJ442" s="10">
        <f t="shared" si="148"/>
        <v>3</v>
      </c>
      <c r="CK442" s="10" t="b">
        <f t="shared" si="154"/>
        <v>0</v>
      </c>
      <c r="CL442" s="10" t="b">
        <f t="shared" si="155"/>
        <v>0</v>
      </c>
      <c r="CM442" s="10" t="b">
        <f t="shared" si="156"/>
        <v>0</v>
      </c>
      <c r="CN442" s="9">
        <f t="shared" si="157"/>
        <v>1</v>
      </c>
      <c r="CO442" s="10">
        <f t="shared" ref="CO442:CO461" si="169">(YEAR(AO442)-YEAR(AJ442))*12+MONTH(AO442)-MONTH(AJ442)</f>
        <v>2</v>
      </c>
      <c r="CP442" s="10" t="b">
        <f t="shared" si="158"/>
        <v>0</v>
      </c>
      <c r="CQ442" s="10" t="b">
        <f t="shared" si="159"/>
        <v>0</v>
      </c>
      <c r="CR442" s="10" t="e" cm="1">
        <f t="array" ref="CR442">_xlfn.IFS(AND($CI442=0, CK442=FALSE), NA(), AND($CI442=1, CK442=FALSE), 0, CK442=TRUE, 1)</f>
        <v>#N/A</v>
      </c>
      <c r="CS442" s="10" t="e" cm="1">
        <f t="array" ref="CS442">_xlfn.IFS(AND($CI442=0, CL442=FALSE), NA(), AND($CI442=1, CL442=FALSE), 0, CL442=TRUE, 1)</f>
        <v>#N/A</v>
      </c>
      <c r="CT442" s="10" t="e" cm="1">
        <f t="array" ref="CT442">_xlfn.IFS(AND($CI442=0, CM442=FALSE), NA(), AND($CI442=1, CM442=FALSE), 0, CM442=TRUE, 1)</f>
        <v>#N/A</v>
      </c>
      <c r="CU442" s="10" cm="1">
        <f t="array" ref="CU442">_xlfn.IFS(AND($CN442=0, CP442=FALSE), NA(), AND($CN442=1, CP442=FALSE), 0, CP442=TRUE, 1)</f>
        <v>0</v>
      </c>
      <c r="CV442" s="10" cm="1">
        <f t="array" ref="CV442">_xlfn.IFS(AND($CN442=0, CQ442=FALSE), NA(), AND($CN442=1, CQ442=FALSE), 0, CQ442=TRUE, 1)</f>
        <v>0</v>
      </c>
    </row>
    <row r="443" spans="1:100" ht="15.75" x14ac:dyDescent="0.25">
      <c r="A443" s="8">
        <v>442</v>
      </c>
      <c r="B443" s="9">
        <v>492</v>
      </c>
      <c r="C443" s="10" t="s">
        <v>32</v>
      </c>
      <c r="D443" s="11" t="s">
        <v>377</v>
      </c>
      <c r="E443" s="12">
        <v>21613</v>
      </c>
      <c r="F443" s="13">
        <v>1</v>
      </c>
      <c r="G443" s="9">
        <v>57.631759643554688</v>
      </c>
      <c r="H443" s="12">
        <v>42663</v>
      </c>
      <c r="I443" s="9">
        <v>1</v>
      </c>
      <c r="J443" s="12">
        <v>42685</v>
      </c>
      <c r="K443" s="9">
        <v>0</v>
      </c>
      <c r="L443" s="9">
        <v>1</v>
      </c>
      <c r="M443" s="10" t="s">
        <v>401</v>
      </c>
      <c r="N443" s="9">
        <v>2</v>
      </c>
      <c r="O443" s="10" t="s">
        <v>145</v>
      </c>
      <c r="P443" s="9">
        <v>2</v>
      </c>
      <c r="Q443" s="10" t="s">
        <v>145</v>
      </c>
      <c r="R443" s="12">
        <v>42797</v>
      </c>
      <c r="S443" s="10" t="s">
        <v>145</v>
      </c>
      <c r="T443" s="9"/>
      <c r="U443" s="10" t="s">
        <v>401</v>
      </c>
      <c r="V443" s="10" t="s">
        <v>401</v>
      </c>
      <c r="W443" s="9"/>
      <c r="X443" s="9"/>
      <c r="Y443" s="9">
        <v>2</v>
      </c>
      <c r="Z443" s="14">
        <v>1</v>
      </c>
      <c r="AA443" s="17">
        <v>15.4</v>
      </c>
      <c r="AB443" s="18">
        <v>92</v>
      </c>
      <c r="AC443" s="18">
        <v>13</v>
      </c>
      <c r="AD443" s="9">
        <v>2</v>
      </c>
      <c r="AE443" s="9">
        <v>2</v>
      </c>
      <c r="AF443" s="9">
        <v>1</v>
      </c>
      <c r="AG443" s="9">
        <v>0</v>
      </c>
      <c r="AH443" s="9">
        <v>1</v>
      </c>
      <c r="AI443" s="9">
        <v>0</v>
      </c>
      <c r="AJ443" s="12">
        <v>43010</v>
      </c>
      <c r="AK443" s="9">
        <v>2</v>
      </c>
      <c r="AL443" s="12">
        <v>43955</v>
      </c>
      <c r="AM443" s="9">
        <v>2</v>
      </c>
      <c r="AN443" s="12">
        <v>43254</v>
      </c>
      <c r="AO443" s="12">
        <v>44018</v>
      </c>
      <c r="AP443" s="12">
        <v>44018</v>
      </c>
      <c r="AQ443" s="9">
        <v>1</v>
      </c>
      <c r="AR443" s="9">
        <f t="shared" si="149"/>
        <v>1</v>
      </c>
      <c r="AS443" s="9">
        <v>1</v>
      </c>
      <c r="AT443" s="9">
        <v>2</v>
      </c>
      <c r="AU443" s="9">
        <v>1</v>
      </c>
      <c r="AV443" s="9">
        <f t="shared" si="150"/>
        <v>0</v>
      </c>
      <c r="AW443" s="12">
        <v>44980</v>
      </c>
      <c r="AX443" s="9">
        <v>11990</v>
      </c>
      <c r="AY443" s="9">
        <v>8500</v>
      </c>
      <c r="AZ443" s="9">
        <v>2640</v>
      </c>
      <c r="BA443" s="9">
        <v>8500</v>
      </c>
      <c r="BB443" s="9">
        <v>2640.000244140625</v>
      </c>
      <c r="BC443" s="9">
        <v>275000</v>
      </c>
      <c r="BD443" s="9">
        <v>610</v>
      </c>
      <c r="BE443" s="9">
        <v>70</v>
      </c>
      <c r="BF443" s="9">
        <v>145</v>
      </c>
      <c r="BG443" s="9">
        <v>9650</v>
      </c>
      <c r="BH443" s="9">
        <v>5780</v>
      </c>
      <c r="BI443" s="9">
        <v>2720</v>
      </c>
      <c r="BJ443" s="9">
        <v>265000</v>
      </c>
      <c r="BK443" s="9">
        <v>580</v>
      </c>
      <c r="BL443" s="9">
        <v>310</v>
      </c>
      <c r="BM443" s="9">
        <v>160</v>
      </c>
      <c r="BN443" s="9">
        <v>9480</v>
      </c>
      <c r="BO443" s="9">
        <v>5600</v>
      </c>
      <c r="BP443" s="9">
        <v>2760</v>
      </c>
      <c r="BQ443" s="9">
        <v>262000</v>
      </c>
      <c r="BR443" s="9">
        <v>620</v>
      </c>
      <c r="BS443" s="9">
        <v>270</v>
      </c>
      <c r="BT443" s="9">
        <v>185</v>
      </c>
      <c r="BU443" s="9">
        <v>11770</v>
      </c>
      <c r="BV443" s="9">
        <v>7700</v>
      </c>
      <c r="BW443" s="9">
        <v>2840</v>
      </c>
      <c r="BX443" s="9">
        <v>270000</v>
      </c>
      <c r="BY443" s="9">
        <v>700</v>
      </c>
      <c r="BZ443" s="10" t="s">
        <v>531</v>
      </c>
      <c r="CA443" s="9">
        <v>270</v>
      </c>
      <c r="CB443" s="9">
        <v>172</v>
      </c>
      <c r="CC443" s="10">
        <f t="shared" si="151"/>
        <v>3.2196966719474402</v>
      </c>
      <c r="CD443" s="10">
        <f t="shared" si="152"/>
        <v>104.16665703359365</v>
      </c>
      <c r="CE443" s="10">
        <f t="shared" ref="CE443:CE457" si="170">BC443*CC443</f>
        <v>885416.58478554606</v>
      </c>
      <c r="CF443" s="10">
        <f t="shared" si="168"/>
        <v>1</v>
      </c>
      <c r="CG443" s="10">
        <f t="shared" si="146"/>
        <v>1</v>
      </c>
      <c r="CH443" s="10">
        <f t="shared" si="147"/>
        <v>31</v>
      </c>
      <c r="CI443" s="9">
        <f t="shared" si="153"/>
        <v>0</v>
      </c>
      <c r="CJ443" s="10">
        <f t="shared" si="148"/>
        <v>64</v>
      </c>
      <c r="CK443" s="10" t="b">
        <f t="shared" si="154"/>
        <v>1</v>
      </c>
      <c r="CL443" s="10" t="b">
        <f t="shared" si="155"/>
        <v>1</v>
      </c>
      <c r="CM443" s="10" t="b">
        <f t="shared" si="156"/>
        <v>1</v>
      </c>
      <c r="CN443" s="9">
        <f t="shared" si="157"/>
        <v>1</v>
      </c>
      <c r="CO443" s="10">
        <f t="shared" si="169"/>
        <v>33</v>
      </c>
      <c r="CP443" s="10" t="b">
        <f t="shared" si="158"/>
        <v>1</v>
      </c>
      <c r="CQ443" s="10" t="b">
        <f t="shared" si="159"/>
        <v>1</v>
      </c>
      <c r="CR443" s="10" cm="1">
        <f t="array" ref="CR443">_xlfn.IFS(AND($CI443=0, CK443=FALSE), NA(), AND($CI443=1, CK443=FALSE), 0, CK443=TRUE, 1)</f>
        <v>1</v>
      </c>
      <c r="CS443" s="10" cm="1">
        <f t="array" ref="CS443">_xlfn.IFS(AND($CI443=0, CL443=FALSE), NA(), AND($CI443=1, CL443=FALSE), 0, CL443=TRUE, 1)</f>
        <v>1</v>
      </c>
      <c r="CT443" s="10" cm="1">
        <f t="array" ref="CT443">_xlfn.IFS(AND($CI443=0, CM443=FALSE), NA(), AND($CI443=1, CM443=FALSE), 0, CM443=TRUE, 1)</f>
        <v>1</v>
      </c>
      <c r="CU443" s="10" cm="1">
        <f t="array" ref="CU443">_xlfn.IFS(AND($CN443=0, CP443=FALSE), NA(), AND($CN443=1, CP443=FALSE), 0, CP443=TRUE, 1)</f>
        <v>1</v>
      </c>
      <c r="CV443" s="10" cm="1">
        <f t="array" ref="CV443">_xlfn.IFS(AND($CN443=0, CQ443=FALSE), NA(), AND($CN443=1, CQ443=FALSE), 0, CQ443=TRUE, 1)</f>
        <v>1</v>
      </c>
    </row>
    <row r="444" spans="1:100" ht="15.75" x14ac:dyDescent="0.25">
      <c r="A444" s="8">
        <v>443</v>
      </c>
      <c r="B444" s="9">
        <v>210</v>
      </c>
      <c r="C444" s="10" t="s">
        <v>19</v>
      </c>
      <c r="D444" s="11" t="s">
        <v>78</v>
      </c>
      <c r="E444" s="12">
        <v>23401</v>
      </c>
      <c r="F444" s="13">
        <v>1</v>
      </c>
      <c r="G444" s="9">
        <v>52.750171661376953</v>
      </c>
      <c r="H444" s="12">
        <v>42668</v>
      </c>
      <c r="I444" s="9">
        <v>1</v>
      </c>
      <c r="J444" s="12">
        <v>42688</v>
      </c>
      <c r="K444" s="9">
        <v>1</v>
      </c>
      <c r="L444" s="9">
        <v>1</v>
      </c>
      <c r="M444" s="10" t="s">
        <v>401</v>
      </c>
      <c r="N444" s="9">
        <v>2</v>
      </c>
      <c r="O444" s="10" t="s">
        <v>145</v>
      </c>
      <c r="P444" s="9">
        <v>2</v>
      </c>
      <c r="Q444" s="10" t="s">
        <v>145</v>
      </c>
      <c r="R444" s="12">
        <v>42668</v>
      </c>
      <c r="S444" s="10" t="s">
        <v>145</v>
      </c>
      <c r="T444" s="9"/>
      <c r="U444" s="10" t="s">
        <v>401</v>
      </c>
      <c r="V444" s="10" t="s">
        <v>401</v>
      </c>
      <c r="W444" s="9"/>
      <c r="X444" s="9"/>
      <c r="Y444" s="9">
        <v>2</v>
      </c>
      <c r="Z444" s="14">
        <v>1</v>
      </c>
      <c r="AA444" s="34">
        <v>13.2</v>
      </c>
      <c r="AB444" s="14">
        <v>96</v>
      </c>
      <c r="AC444" s="14">
        <v>15</v>
      </c>
      <c r="AD444" s="9">
        <v>2</v>
      </c>
      <c r="AE444" s="9">
        <v>2</v>
      </c>
      <c r="AF444" s="9">
        <v>1</v>
      </c>
      <c r="AG444" s="9">
        <v>0</v>
      </c>
      <c r="AH444" s="9">
        <v>1</v>
      </c>
      <c r="AI444" s="9">
        <v>0</v>
      </c>
      <c r="AJ444" s="12">
        <v>42947</v>
      </c>
      <c r="AK444" s="9">
        <v>2</v>
      </c>
      <c r="AL444" s="12">
        <v>43017</v>
      </c>
      <c r="AM444" s="9">
        <v>4</v>
      </c>
      <c r="AN444" s="12">
        <v>43031</v>
      </c>
      <c r="AO444" s="12">
        <v>43031</v>
      </c>
      <c r="AP444" s="12">
        <v>43031</v>
      </c>
      <c r="AQ444" s="9">
        <v>1</v>
      </c>
      <c r="AR444" s="9">
        <f t="shared" si="149"/>
        <v>1</v>
      </c>
      <c r="AS444" s="9">
        <v>1</v>
      </c>
      <c r="AT444" s="9">
        <v>2</v>
      </c>
      <c r="AU444" s="9">
        <v>2</v>
      </c>
      <c r="AV444" s="9">
        <f t="shared" si="150"/>
        <v>1</v>
      </c>
      <c r="AW444" s="12">
        <v>43210</v>
      </c>
      <c r="AX444" s="9">
        <v>7670</v>
      </c>
      <c r="AY444" s="9">
        <v>6000</v>
      </c>
      <c r="AZ444" s="9">
        <v>1200</v>
      </c>
      <c r="BA444" s="9">
        <v>6000</v>
      </c>
      <c r="BB444" s="9">
        <v>1200.0001220703125</v>
      </c>
      <c r="BC444" s="9">
        <v>252000</v>
      </c>
      <c r="BD444" s="9">
        <v>400</v>
      </c>
      <c r="BE444" s="9">
        <v>100</v>
      </c>
      <c r="BF444" s="9">
        <v>270</v>
      </c>
      <c r="BG444" s="9"/>
      <c r="BH444" s="9"/>
      <c r="BI444" s="9"/>
      <c r="BJ444" s="9"/>
      <c r="BK444" s="9"/>
      <c r="BL444" s="9"/>
      <c r="BM444" s="9"/>
      <c r="BN444" s="9">
        <v>7890</v>
      </c>
      <c r="BO444" s="9">
        <v>6400</v>
      </c>
      <c r="BP444" s="9">
        <v>900</v>
      </c>
      <c r="BQ444" s="9">
        <v>213000</v>
      </c>
      <c r="BR444" s="9">
        <v>400</v>
      </c>
      <c r="BS444" s="9">
        <v>100</v>
      </c>
      <c r="BT444" s="9">
        <v>351</v>
      </c>
      <c r="BU444" s="9"/>
      <c r="BV444" s="9"/>
      <c r="BW444" s="9"/>
      <c r="BX444" s="9"/>
      <c r="BY444" s="9"/>
      <c r="BZ444" s="10" t="s">
        <v>401</v>
      </c>
      <c r="CA444" s="9"/>
      <c r="CB444" s="9">
        <v>252</v>
      </c>
      <c r="CC444" s="10">
        <f t="shared" si="151"/>
        <v>4.9999994913737495</v>
      </c>
      <c r="CD444" s="10">
        <f t="shared" si="152"/>
        <v>209.9999786376975</v>
      </c>
      <c r="CE444" s="10">
        <f t="shared" si="170"/>
        <v>1259999.8718261849</v>
      </c>
      <c r="CF444" s="10">
        <f t="shared" si="168"/>
        <v>0</v>
      </c>
      <c r="CG444" s="10">
        <f t="shared" si="146"/>
        <v>0</v>
      </c>
      <c r="CH444" s="10">
        <f t="shared" si="147"/>
        <v>3</v>
      </c>
      <c r="CI444" s="9">
        <f t="shared" si="153"/>
        <v>1</v>
      </c>
      <c r="CJ444" s="10">
        <f t="shared" si="148"/>
        <v>9</v>
      </c>
      <c r="CK444" s="10" t="b">
        <f t="shared" si="154"/>
        <v>1</v>
      </c>
      <c r="CL444" s="10" t="b">
        <f t="shared" si="155"/>
        <v>0</v>
      </c>
      <c r="CM444" s="10" t="b">
        <f t="shared" si="156"/>
        <v>0</v>
      </c>
      <c r="CN444" s="9">
        <f t="shared" si="157"/>
        <v>1</v>
      </c>
      <c r="CO444" s="10">
        <f t="shared" si="169"/>
        <v>3</v>
      </c>
      <c r="CP444" s="10" t="b">
        <f t="shared" si="158"/>
        <v>1</v>
      </c>
      <c r="CQ444" s="10" t="b">
        <f t="shared" si="159"/>
        <v>0</v>
      </c>
      <c r="CR444" s="10" cm="1">
        <f t="array" ref="CR444">_xlfn.IFS(AND($CI444=0, CK444=FALSE), NA(), AND($CI444=1, CK444=FALSE), 0, CK444=TRUE, 1)</f>
        <v>1</v>
      </c>
      <c r="CS444" s="10" cm="1">
        <f t="array" ref="CS444">_xlfn.IFS(AND($CI444=0, CL444=FALSE), NA(), AND($CI444=1, CL444=FALSE), 0, CL444=TRUE, 1)</f>
        <v>0</v>
      </c>
      <c r="CT444" s="10" cm="1">
        <f t="array" ref="CT444">_xlfn.IFS(AND($CI444=0, CM444=FALSE), NA(), AND($CI444=1, CM444=FALSE), 0, CM444=TRUE, 1)</f>
        <v>0</v>
      </c>
      <c r="CU444" s="10" cm="1">
        <f t="array" ref="CU444">_xlfn.IFS(AND($CN444=0, CP444=FALSE), NA(), AND($CN444=1, CP444=FALSE), 0, CP444=TRUE, 1)</f>
        <v>1</v>
      </c>
      <c r="CV444" s="10" cm="1">
        <f t="array" ref="CV444">_xlfn.IFS(AND($CN444=0, CQ444=FALSE), NA(), AND($CN444=1, CQ444=FALSE), 0, CQ444=TRUE, 1)</f>
        <v>0</v>
      </c>
    </row>
    <row r="445" spans="1:100" ht="15.75" x14ac:dyDescent="0.25">
      <c r="A445" s="8">
        <v>444</v>
      </c>
      <c r="B445" s="9">
        <v>421</v>
      </c>
      <c r="C445" s="10" t="s">
        <v>29</v>
      </c>
      <c r="D445" s="11" t="s">
        <v>333</v>
      </c>
      <c r="E445" s="12">
        <v>16377</v>
      </c>
      <c r="F445" s="13">
        <v>1</v>
      </c>
      <c r="G445" s="9">
        <v>71.989051818847656</v>
      </c>
      <c r="H445" s="12">
        <v>42671</v>
      </c>
      <c r="I445" s="9">
        <v>1</v>
      </c>
      <c r="J445" s="12">
        <v>42671</v>
      </c>
      <c r="K445" s="9">
        <v>0</v>
      </c>
      <c r="L445" s="9">
        <v>4</v>
      </c>
      <c r="M445" s="10" t="s">
        <v>404</v>
      </c>
      <c r="N445" s="9">
        <v>2</v>
      </c>
      <c r="O445" s="10" t="s">
        <v>145</v>
      </c>
      <c r="P445" s="9">
        <v>2</v>
      </c>
      <c r="Q445" s="10" t="s">
        <v>145</v>
      </c>
      <c r="R445" s="12">
        <v>42761</v>
      </c>
      <c r="S445" s="10" t="s">
        <v>514</v>
      </c>
      <c r="T445" s="9">
        <v>1</v>
      </c>
      <c r="U445" s="10" t="s">
        <v>401</v>
      </c>
      <c r="V445" s="10" t="s">
        <v>401</v>
      </c>
      <c r="W445" s="9"/>
      <c r="X445" s="9"/>
      <c r="Y445" s="9">
        <v>3</v>
      </c>
      <c r="Z445" s="11">
        <v>1</v>
      </c>
      <c r="AA445" s="17">
        <v>7.5</v>
      </c>
      <c r="AB445" s="18">
        <v>105</v>
      </c>
      <c r="AC445" s="18"/>
      <c r="AD445" s="9">
        <v>3</v>
      </c>
      <c r="AE445" s="9">
        <v>3</v>
      </c>
      <c r="AF445" s="9">
        <v>2</v>
      </c>
      <c r="AG445" s="9">
        <v>0</v>
      </c>
      <c r="AH445" s="9">
        <v>1</v>
      </c>
      <c r="AI445" s="9">
        <v>1</v>
      </c>
      <c r="AJ445" s="12">
        <v>42949</v>
      </c>
      <c r="AK445" s="9">
        <v>2</v>
      </c>
      <c r="AL445" s="12">
        <v>42949</v>
      </c>
      <c r="AM445" s="9">
        <v>4</v>
      </c>
      <c r="AN445" s="12">
        <v>42969</v>
      </c>
      <c r="AO445" s="12">
        <v>42969</v>
      </c>
      <c r="AP445" s="12">
        <v>42969</v>
      </c>
      <c r="AQ445" s="9">
        <v>1</v>
      </c>
      <c r="AR445" s="9">
        <f t="shared" si="149"/>
        <v>1</v>
      </c>
      <c r="AS445" s="9">
        <v>1</v>
      </c>
      <c r="AT445" s="9">
        <v>2</v>
      </c>
      <c r="AU445" s="9">
        <v>2</v>
      </c>
      <c r="AV445" s="9">
        <f t="shared" si="150"/>
        <v>1</v>
      </c>
      <c r="AW445" s="12">
        <v>42980</v>
      </c>
      <c r="AX445" s="9">
        <v>2350</v>
      </c>
      <c r="AY445" s="9">
        <v>1580</v>
      </c>
      <c r="AZ445" s="9">
        <v>490</v>
      </c>
      <c r="BA445" s="9">
        <v>1580</v>
      </c>
      <c r="BB445" s="9">
        <v>490.00009155273438</v>
      </c>
      <c r="BC445" s="9">
        <v>117000</v>
      </c>
      <c r="BD445" s="9">
        <v>270</v>
      </c>
      <c r="BE445" s="9">
        <v>0</v>
      </c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10" t="s">
        <v>401</v>
      </c>
      <c r="CA445" s="9"/>
      <c r="CB445" s="9"/>
      <c r="CC445" s="10">
        <f t="shared" si="151"/>
        <v>3.2244891934473414</v>
      </c>
      <c r="CD445" s="10">
        <f t="shared" si="152"/>
        <v>238.77546559072087</v>
      </c>
      <c r="CE445" s="10">
        <f t="shared" si="170"/>
        <v>377265.23563333892</v>
      </c>
      <c r="CF445" s="10">
        <f t="shared" si="168"/>
        <v>0</v>
      </c>
      <c r="CG445" s="10">
        <f t="shared" si="146"/>
        <v>0</v>
      </c>
      <c r="CH445" s="10">
        <f t="shared" si="147"/>
        <v>0</v>
      </c>
      <c r="CI445" s="9">
        <f t="shared" si="153"/>
        <v>1</v>
      </c>
      <c r="CJ445" s="10">
        <f t="shared" si="148"/>
        <v>1</v>
      </c>
      <c r="CK445" s="10" t="b">
        <f t="shared" si="154"/>
        <v>0</v>
      </c>
      <c r="CL445" s="10" t="b">
        <f t="shared" si="155"/>
        <v>0</v>
      </c>
      <c r="CM445" s="10" t="b">
        <f t="shared" si="156"/>
        <v>0</v>
      </c>
      <c r="CN445" s="9">
        <f t="shared" si="157"/>
        <v>1</v>
      </c>
      <c r="CO445" s="10">
        <f t="shared" si="169"/>
        <v>0</v>
      </c>
      <c r="CP445" s="10" t="b">
        <f t="shared" si="158"/>
        <v>0</v>
      </c>
      <c r="CQ445" s="10" t="b">
        <f t="shared" si="159"/>
        <v>0</v>
      </c>
      <c r="CR445" s="10" cm="1">
        <f t="array" ref="CR445">_xlfn.IFS(AND($CI445=0, CK445=FALSE), NA(), AND($CI445=1, CK445=FALSE), 0, CK445=TRUE, 1)</f>
        <v>0</v>
      </c>
      <c r="CS445" s="10" cm="1">
        <f t="array" ref="CS445">_xlfn.IFS(AND($CI445=0, CL445=FALSE), NA(), AND($CI445=1, CL445=FALSE), 0, CL445=TRUE, 1)</f>
        <v>0</v>
      </c>
      <c r="CT445" s="10" cm="1">
        <f t="array" ref="CT445">_xlfn.IFS(AND($CI445=0, CM445=FALSE), NA(), AND($CI445=1, CM445=FALSE), 0, CM445=TRUE, 1)</f>
        <v>0</v>
      </c>
      <c r="CU445" s="10" cm="1">
        <f t="array" ref="CU445">_xlfn.IFS(AND($CN445=0, CP445=FALSE), NA(), AND($CN445=1, CP445=FALSE), 0, CP445=TRUE, 1)</f>
        <v>0</v>
      </c>
      <c r="CV445" s="10" cm="1">
        <f t="array" ref="CV445">_xlfn.IFS(AND($CN445=0, CQ445=FALSE), NA(), AND($CN445=1, CQ445=FALSE), 0, CQ445=TRUE, 1)</f>
        <v>0</v>
      </c>
    </row>
    <row r="446" spans="1:100" ht="15.75" x14ac:dyDescent="0.25">
      <c r="A446" s="8">
        <v>445</v>
      </c>
      <c r="B446" s="9">
        <v>204</v>
      </c>
      <c r="C446" s="10" t="s">
        <v>18</v>
      </c>
      <c r="D446" s="11" t="s">
        <v>43</v>
      </c>
      <c r="E446" s="12">
        <v>22589</v>
      </c>
      <c r="F446" s="13">
        <v>2</v>
      </c>
      <c r="G446" s="9">
        <v>54.997947692871094</v>
      </c>
      <c r="H446" s="12">
        <v>42677</v>
      </c>
      <c r="I446" s="9">
        <v>1</v>
      </c>
      <c r="J446" s="12">
        <v>42677</v>
      </c>
      <c r="K446" s="9">
        <v>1</v>
      </c>
      <c r="L446" s="9">
        <v>1</v>
      </c>
      <c r="M446" s="10" t="s">
        <v>401</v>
      </c>
      <c r="N446" s="9">
        <v>3</v>
      </c>
      <c r="O446" s="10" t="s">
        <v>430</v>
      </c>
      <c r="P446" s="9">
        <v>2</v>
      </c>
      <c r="Q446" s="10" t="s">
        <v>420</v>
      </c>
      <c r="R446" s="12">
        <v>42677</v>
      </c>
      <c r="S446" s="10" t="s">
        <v>146</v>
      </c>
      <c r="T446" s="9"/>
      <c r="U446" s="10" t="s">
        <v>401</v>
      </c>
      <c r="V446" s="10" t="s">
        <v>401</v>
      </c>
      <c r="W446" s="9"/>
      <c r="X446" s="9"/>
      <c r="Y446" s="9">
        <v>2</v>
      </c>
      <c r="Z446" s="14">
        <v>2</v>
      </c>
      <c r="AA446" s="17">
        <v>10</v>
      </c>
      <c r="AB446" s="18">
        <v>10.3</v>
      </c>
      <c r="AC446" s="18">
        <v>16</v>
      </c>
      <c r="AD446" s="9">
        <v>2</v>
      </c>
      <c r="AE446" s="9">
        <v>2</v>
      </c>
      <c r="AF446" s="9">
        <v>1</v>
      </c>
      <c r="AG446" s="9">
        <v>0</v>
      </c>
      <c r="AH446" s="9">
        <v>1</v>
      </c>
      <c r="AI446" s="9">
        <v>1</v>
      </c>
      <c r="AJ446" s="12">
        <v>43734</v>
      </c>
      <c r="AK446" s="9">
        <v>2</v>
      </c>
      <c r="AL446" s="12">
        <v>43790</v>
      </c>
      <c r="AM446" s="9">
        <v>3</v>
      </c>
      <c r="AN446" s="12">
        <v>43817</v>
      </c>
      <c r="AO446" s="12">
        <v>43896</v>
      </c>
      <c r="AP446" s="12">
        <v>43896</v>
      </c>
      <c r="AQ446" s="9">
        <v>1</v>
      </c>
      <c r="AR446" s="9">
        <f t="shared" si="149"/>
        <v>1</v>
      </c>
      <c r="AS446" s="9">
        <v>1</v>
      </c>
      <c r="AT446" s="9">
        <v>2</v>
      </c>
      <c r="AU446" s="9">
        <v>2</v>
      </c>
      <c r="AV446" s="9">
        <f t="shared" si="150"/>
        <v>1</v>
      </c>
      <c r="AW446" s="12">
        <v>43990</v>
      </c>
      <c r="AX446" s="9">
        <v>7610</v>
      </c>
      <c r="AY446" s="9">
        <v>5070</v>
      </c>
      <c r="AZ446" s="9">
        <v>1880</v>
      </c>
      <c r="BA446" s="9">
        <v>5070</v>
      </c>
      <c r="BB446" s="9">
        <v>1880.000244140625</v>
      </c>
      <c r="BC446" s="9">
        <v>247000</v>
      </c>
      <c r="BD446" s="9">
        <v>590</v>
      </c>
      <c r="BE446" s="9">
        <v>20</v>
      </c>
      <c r="BF446" s="9"/>
      <c r="BG446" s="9">
        <v>8680</v>
      </c>
      <c r="BH446" s="9">
        <v>6970</v>
      </c>
      <c r="BI446" s="9">
        <v>1020</v>
      </c>
      <c r="BJ446" s="9">
        <v>356000</v>
      </c>
      <c r="BK446" s="9">
        <v>630</v>
      </c>
      <c r="BL446" s="9">
        <v>10</v>
      </c>
      <c r="BM446" s="9">
        <v>170</v>
      </c>
      <c r="BN446" s="9">
        <v>11710</v>
      </c>
      <c r="BO446" s="9">
        <v>10330</v>
      </c>
      <c r="BP446" s="9">
        <v>730</v>
      </c>
      <c r="BQ446" s="9">
        <v>340</v>
      </c>
      <c r="BR446" s="9">
        <v>600</v>
      </c>
      <c r="BS446" s="9">
        <v>10</v>
      </c>
      <c r="BT446" s="9">
        <v>210</v>
      </c>
      <c r="BU446" s="9"/>
      <c r="BV446" s="9"/>
      <c r="BW446" s="9"/>
      <c r="BX446" s="9"/>
      <c r="BY446" s="9"/>
      <c r="BZ446" s="10" t="s">
        <v>401</v>
      </c>
      <c r="CA446" s="9"/>
      <c r="CB446" s="9"/>
      <c r="CC446" s="10">
        <f t="shared" si="151"/>
        <v>2.6968081604253031</v>
      </c>
      <c r="CD446" s="10">
        <f t="shared" si="152"/>
        <v>131.38296166174555</v>
      </c>
      <c r="CE446" s="10">
        <f t="shared" si="170"/>
        <v>666111.61562504992</v>
      </c>
      <c r="CF446" s="10">
        <f t="shared" si="168"/>
        <v>1</v>
      </c>
      <c r="CG446" s="10">
        <f t="shared" si="146"/>
        <v>0</v>
      </c>
      <c r="CH446" s="10">
        <f t="shared" si="147"/>
        <v>2</v>
      </c>
      <c r="CI446" s="9">
        <f t="shared" si="153"/>
        <v>1</v>
      </c>
      <c r="CJ446" s="10">
        <f t="shared" si="148"/>
        <v>9</v>
      </c>
      <c r="CK446" s="10" t="b">
        <f t="shared" si="154"/>
        <v>1</v>
      </c>
      <c r="CL446" s="10" t="b">
        <f t="shared" si="155"/>
        <v>0</v>
      </c>
      <c r="CM446" s="10" t="b">
        <f t="shared" si="156"/>
        <v>0</v>
      </c>
      <c r="CN446" s="9">
        <f t="shared" si="157"/>
        <v>1</v>
      </c>
      <c r="CO446" s="10">
        <f t="shared" si="169"/>
        <v>6</v>
      </c>
      <c r="CP446" s="10" t="b">
        <f t="shared" si="158"/>
        <v>1</v>
      </c>
      <c r="CQ446" s="10" t="b">
        <f t="shared" si="159"/>
        <v>0</v>
      </c>
      <c r="CR446" s="10" cm="1">
        <f t="array" ref="CR446">_xlfn.IFS(AND($CI446=0, CK446=FALSE), NA(), AND($CI446=1, CK446=FALSE), 0, CK446=TRUE, 1)</f>
        <v>1</v>
      </c>
      <c r="CS446" s="10" cm="1">
        <f t="array" ref="CS446">_xlfn.IFS(AND($CI446=0, CL446=FALSE), NA(), AND($CI446=1, CL446=FALSE), 0, CL446=TRUE, 1)</f>
        <v>0</v>
      </c>
      <c r="CT446" s="10" cm="1">
        <f t="array" ref="CT446">_xlfn.IFS(AND($CI446=0, CM446=FALSE), NA(), AND($CI446=1, CM446=FALSE), 0, CM446=TRUE, 1)</f>
        <v>0</v>
      </c>
      <c r="CU446" s="10" cm="1">
        <f t="array" ref="CU446">_xlfn.IFS(AND($CN446=0, CP446=FALSE), NA(), AND($CN446=1, CP446=FALSE), 0, CP446=TRUE, 1)</f>
        <v>1</v>
      </c>
      <c r="CV446" s="10" cm="1">
        <f t="array" ref="CV446">_xlfn.IFS(AND($CN446=0, CQ446=FALSE), NA(), AND($CN446=1, CQ446=FALSE), 0, CQ446=TRUE, 1)</f>
        <v>0</v>
      </c>
    </row>
    <row r="447" spans="1:100" ht="15.75" x14ac:dyDescent="0.25">
      <c r="A447" s="8">
        <v>446</v>
      </c>
      <c r="B447" s="9">
        <v>238</v>
      </c>
      <c r="C447" s="10" t="s">
        <v>20</v>
      </c>
      <c r="D447" s="11" t="s">
        <v>230</v>
      </c>
      <c r="E447" s="12">
        <v>22091</v>
      </c>
      <c r="F447" s="13">
        <v>1</v>
      </c>
      <c r="G447" s="9">
        <v>56.372348785400391</v>
      </c>
      <c r="H447" s="12">
        <v>42681</v>
      </c>
      <c r="I447" s="9">
        <v>1</v>
      </c>
      <c r="J447" s="12">
        <v>42681</v>
      </c>
      <c r="K447" s="9">
        <v>1</v>
      </c>
      <c r="L447" s="9">
        <v>1</v>
      </c>
      <c r="M447" s="10" t="s">
        <v>401</v>
      </c>
      <c r="N447" s="9">
        <v>2</v>
      </c>
      <c r="O447" s="10" t="s">
        <v>409</v>
      </c>
      <c r="P447" s="9">
        <v>2</v>
      </c>
      <c r="Q447" s="10" t="s">
        <v>409</v>
      </c>
      <c r="R447" s="12">
        <v>42671</v>
      </c>
      <c r="S447" s="10" t="s">
        <v>146</v>
      </c>
      <c r="T447" s="9"/>
      <c r="U447" s="10" t="s">
        <v>401</v>
      </c>
      <c r="V447" s="10" t="s">
        <v>401</v>
      </c>
      <c r="W447" s="9"/>
      <c r="X447" s="9"/>
      <c r="Y447" s="9">
        <v>2</v>
      </c>
      <c r="Z447" s="14">
        <v>2</v>
      </c>
      <c r="AB447" s="9"/>
      <c r="AC447" s="9"/>
      <c r="AD447" s="9">
        <v>2</v>
      </c>
      <c r="AE447" s="9">
        <v>2</v>
      </c>
      <c r="AF447" s="9">
        <v>1</v>
      </c>
      <c r="AG447" s="9">
        <v>0</v>
      </c>
      <c r="AH447" s="9">
        <v>0</v>
      </c>
      <c r="AI447" s="9">
        <v>0</v>
      </c>
      <c r="AJ447" s="12">
        <v>43021</v>
      </c>
      <c r="AK447" s="9">
        <v>2</v>
      </c>
      <c r="AL447" s="12">
        <v>43145</v>
      </c>
      <c r="AM447" s="9">
        <v>2</v>
      </c>
      <c r="AN447" s="12">
        <v>43119</v>
      </c>
      <c r="AO447" s="12">
        <v>43145</v>
      </c>
      <c r="AP447" s="12">
        <v>43145</v>
      </c>
      <c r="AQ447" s="9">
        <v>1</v>
      </c>
      <c r="AR447" s="9">
        <f t="shared" si="149"/>
        <v>1</v>
      </c>
      <c r="AS447" s="9">
        <v>1</v>
      </c>
      <c r="AT447" s="9">
        <v>2</v>
      </c>
      <c r="AU447" s="9">
        <v>1</v>
      </c>
      <c r="AV447" s="9">
        <f t="shared" si="150"/>
        <v>0</v>
      </c>
      <c r="AW447" s="12">
        <v>44958</v>
      </c>
      <c r="AX447" s="9">
        <v>4600</v>
      </c>
      <c r="AY447" s="9">
        <v>2070</v>
      </c>
      <c r="AZ447" s="9"/>
      <c r="BA447" s="9">
        <v>2070</v>
      </c>
      <c r="BB447" s="9">
        <v>1577.3448486328125</v>
      </c>
      <c r="BC447" s="9">
        <v>277000</v>
      </c>
      <c r="BD447" s="9"/>
      <c r="BE447" s="9"/>
      <c r="BF447" s="9"/>
      <c r="BG447" s="9">
        <v>5090</v>
      </c>
      <c r="BH447" s="9">
        <v>3155</v>
      </c>
      <c r="BI447" s="9"/>
      <c r="BJ447" s="9">
        <v>276000</v>
      </c>
      <c r="BK447" s="9"/>
      <c r="BL447" s="9"/>
      <c r="BM447" s="9"/>
      <c r="BN447" s="9">
        <v>4080</v>
      </c>
      <c r="BO447" s="9">
        <v>2448</v>
      </c>
      <c r="BP447" s="9"/>
      <c r="BQ447" s="9">
        <v>25000</v>
      </c>
      <c r="BR447" s="9"/>
      <c r="BS447" s="9"/>
      <c r="BT447" s="9"/>
      <c r="BU447" s="9"/>
      <c r="BV447" s="9"/>
      <c r="BW447" s="9"/>
      <c r="BX447" s="9"/>
      <c r="BY447" s="9"/>
      <c r="BZ447" s="10" t="s">
        <v>401</v>
      </c>
      <c r="CA447" s="9"/>
      <c r="CB447" s="9"/>
      <c r="CC447" s="10">
        <f t="shared" si="151"/>
        <v>1.312331923988723</v>
      </c>
      <c r="CD447" s="10">
        <f t="shared" si="152"/>
        <v>175.61156664003687</v>
      </c>
      <c r="CE447" s="10">
        <f t="shared" si="170"/>
        <v>363515.94294487627</v>
      </c>
      <c r="CF447" s="10">
        <f t="shared" si="168"/>
        <v>1</v>
      </c>
      <c r="CG447" s="10">
        <f t="shared" si="146"/>
        <v>1</v>
      </c>
      <c r="CH447" s="10">
        <f t="shared" si="147"/>
        <v>4</v>
      </c>
      <c r="CI447" s="9">
        <f t="shared" si="153"/>
        <v>0</v>
      </c>
      <c r="CJ447" s="10">
        <f t="shared" si="148"/>
        <v>64</v>
      </c>
      <c r="CK447" s="10" t="b">
        <f t="shared" si="154"/>
        <v>1</v>
      </c>
      <c r="CL447" s="10" t="b">
        <f t="shared" si="155"/>
        <v>1</v>
      </c>
      <c r="CM447" s="10" t="b">
        <f t="shared" si="156"/>
        <v>1</v>
      </c>
      <c r="CN447" s="9">
        <f t="shared" si="157"/>
        <v>1</v>
      </c>
      <c r="CO447" s="10">
        <f t="shared" si="169"/>
        <v>4</v>
      </c>
      <c r="CP447" s="10" t="b">
        <f t="shared" si="158"/>
        <v>1</v>
      </c>
      <c r="CQ447" s="10" t="b">
        <f t="shared" si="159"/>
        <v>0</v>
      </c>
      <c r="CR447" s="10" cm="1">
        <f t="array" ref="CR447">_xlfn.IFS(AND($CI447=0, CK447=FALSE), NA(), AND($CI447=1, CK447=FALSE), 0, CK447=TRUE, 1)</f>
        <v>1</v>
      </c>
      <c r="CS447" s="10" cm="1">
        <f t="array" ref="CS447">_xlfn.IFS(AND($CI447=0, CL447=FALSE), NA(), AND($CI447=1, CL447=FALSE), 0, CL447=TRUE, 1)</f>
        <v>1</v>
      </c>
      <c r="CT447" s="10" cm="1">
        <f t="array" ref="CT447">_xlfn.IFS(AND($CI447=0, CM447=FALSE), NA(), AND($CI447=1, CM447=FALSE), 0, CM447=TRUE, 1)</f>
        <v>1</v>
      </c>
      <c r="CU447" s="10" cm="1">
        <f t="array" ref="CU447">_xlfn.IFS(AND($CN447=0, CP447=FALSE), NA(), AND($CN447=1, CP447=FALSE), 0, CP447=TRUE, 1)</f>
        <v>1</v>
      </c>
      <c r="CV447" s="10" cm="1">
        <f t="array" ref="CV447">_xlfn.IFS(AND($CN447=0, CQ447=FALSE), NA(), AND($CN447=1, CQ447=FALSE), 0, CQ447=TRUE, 1)</f>
        <v>0</v>
      </c>
    </row>
    <row r="448" spans="1:100" ht="15.75" x14ac:dyDescent="0.25">
      <c r="A448" s="8">
        <v>447</v>
      </c>
      <c r="B448" s="9">
        <v>366</v>
      </c>
      <c r="C448" s="10" t="s">
        <v>28</v>
      </c>
      <c r="D448" s="11" t="s">
        <v>196</v>
      </c>
      <c r="E448" s="12">
        <v>17302</v>
      </c>
      <c r="F448" s="13">
        <v>1</v>
      </c>
      <c r="G448" s="9">
        <v>69.489387512207031</v>
      </c>
      <c r="H448" s="12">
        <v>42683</v>
      </c>
      <c r="I448" s="9">
        <v>1</v>
      </c>
      <c r="J448" s="12">
        <v>42811</v>
      </c>
      <c r="K448" s="9">
        <v>1</v>
      </c>
      <c r="L448" s="9">
        <v>1</v>
      </c>
      <c r="M448" s="10" t="s">
        <v>401</v>
      </c>
      <c r="N448" s="9">
        <v>2</v>
      </c>
      <c r="O448" s="10" t="s">
        <v>145</v>
      </c>
      <c r="P448" s="9">
        <v>2</v>
      </c>
      <c r="Q448" s="10" t="s">
        <v>411</v>
      </c>
      <c r="R448" s="12">
        <v>42683</v>
      </c>
      <c r="S448" s="10" t="s">
        <v>145</v>
      </c>
      <c r="T448" s="9"/>
      <c r="U448" s="10" t="s">
        <v>401</v>
      </c>
      <c r="V448" s="10" t="s">
        <v>401</v>
      </c>
      <c r="W448" s="9"/>
      <c r="X448" s="9"/>
      <c r="Y448" s="9">
        <v>2</v>
      </c>
      <c r="Z448" s="14">
        <v>1</v>
      </c>
      <c r="AA448" s="21">
        <v>11.2</v>
      </c>
      <c r="AB448" s="22">
        <v>108</v>
      </c>
      <c r="AC448" s="22">
        <v>14</v>
      </c>
      <c r="AD448" s="9">
        <v>2</v>
      </c>
      <c r="AE448" s="9">
        <v>2</v>
      </c>
      <c r="AF448" s="9">
        <v>1</v>
      </c>
      <c r="AG448" s="9">
        <v>0</v>
      </c>
      <c r="AH448" s="9">
        <v>1</v>
      </c>
      <c r="AI448" s="9">
        <v>1</v>
      </c>
      <c r="AJ448" s="12">
        <v>43105</v>
      </c>
      <c r="AK448" s="9">
        <v>2</v>
      </c>
      <c r="AL448" s="12">
        <v>43161</v>
      </c>
      <c r="AM448" s="9">
        <v>4</v>
      </c>
      <c r="AN448" s="12">
        <v>43207</v>
      </c>
      <c r="AO448" s="12">
        <v>43203</v>
      </c>
      <c r="AP448" s="12">
        <v>43203</v>
      </c>
      <c r="AQ448" s="9">
        <v>1</v>
      </c>
      <c r="AR448" s="9">
        <f t="shared" si="149"/>
        <v>1</v>
      </c>
      <c r="AS448" s="9">
        <v>1</v>
      </c>
      <c r="AT448" s="9">
        <v>2</v>
      </c>
      <c r="AU448" s="9">
        <v>1</v>
      </c>
      <c r="AV448" s="9">
        <f t="shared" si="150"/>
        <v>0</v>
      </c>
      <c r="AW448" s="12">
        <v>44938</v>
      </c>
      <c r="AX448" s="9">
        <v>5160</v>
      </c>
      <c r="AY448" s="9">
        <v>2520</v>
      </c>
      <c r="AZ448" s="9">
        <v>1730</v>
      </c>
      <c r="BA448" s="9">
        <v>2520</v>
      </c>
      <c r="BB448" s="9">
        <v>1730.000244140625</v>
      </c>
      <c r="BC448" s="9">
        <v>217000</v>
      </c>
      <c r="BD448" s="9">
        <v>400</v>
      </c>
      <c r="BE448" s="9">
        <v>190</v>
      </c>
      <c r="BF448" s="9">
        <v>429</v>
      </c>
      <c r="BG448" s="9">
        <v>5130</v>
      </c>
      <c r="BH448" s="9">
        <v>2360</v>
      </c>
      <c r="BI448" s="9">
        <v>1740</v>
      </c>
      <c r="BJ448" s="9">
        <v>226000</v>
      </c>
      <c r="BK448" s="9">
        <v>580</v>
      </c>
      <c r="BL448" s="9">
        <v>130</v>
      </c>
      <c r="BM448" s="9">
        <v>502</v>
      </c>
      <c r="BN448" s="9">
        <v>7910</v>
      </c>
      <c r="BO448" s="9">
        <v>4670</v>
      </c>
      <c r="BP448" s="9">
        <v>2080</v>
      </c>
      <c r="BQ448" s="9">
        <v>218000</v>
      </c>
      <c r="BR448" s="9">
        <v>630</v>
      </c>
      <c r="BS448" s="9">
        <v>190</v>
      </c>
      <c r="BT448" s="9">
        <v>455</v>
      </c>
      <c r="BU448" s="9">
        <v>6980</v>
      </c>
      <c r="BV448" s="9">
        <v>3970</v>
      </c>
      <c r="BW448" s="9">
        <v>2050</v>
      </c>
      <c r="BX448" s="9">
        <v>326000</v>
      </c>
      <c r="BY448" s="9">
        <v>780</v>
      </c>
      <c r="BZ448" s="10" t="s">
        <v>540</v>
      </c>
      <c r="CA448" s="9">
        <v>150</v>
      </c>
      <c r="CB448" s="9">
        <v>394</v>
      </c>
      <c r="CC448" s="10">
        <f t="shared" si="151"/>
        <v>1.4566471932793317</v>
      </c>
      <c r="CD448" s="10">
        <f t="shared" si="152"/>
        <v>125.43350831016467</v>
      </c>
      <c r="CE448" s="10">
        <f t="shared" si="170"/>
        <v>316092.44094161497</v>
      </c>
      <c r="CF448" s="10">
        <f t="shared" si="168"/>
        <v>0</v>
      </c>
      <c r="CG448" s="10">
        <f t="shared" si="146"/>
        <v>0</v>
      </c>
      <c r="CH448" s="10">
        <f t="shared" si="147"/>
        <v>2</v>
      </c>
      <c r="CI448" s="9">
        <f t="shared" si="153"/>
        <v>0</v>
      </c>
      <c r="CJ448" s="10">
        <f t="shared" si="148"/>
        <v>60</v>
      </c>
      <c r="CK448" s="10" t="b">
        <f t="shared" si="154"/>
        <v>1</v>
      </c>
      <c r="CL448" s="10" t="b">
        <f t="shared" si="155"/>
        <v>1</v>
      </c>
      <c r="CM448" s="10" t="b">
        <f t="shared" si="156"/>
        <v>1</v>
      </c>
      <c r="CN448" s="9">
        <f t="shared" si="157"/>
        <v>1</v>
      </c>
      <c r="CO448" s="10">
        <f t="shared" si="169"/>
        <v>3</v>
      </c>
      <c r="CP448" s="10" t="b">
        <f t="shared" si="158"/>
        <v>1</v>
      </c>
      <c r="CQ448" s="10" t="b">
        <f t="shared" si="159"/>
        <v>0</v>
      </c>
      <c r="CR448" s="10" cm="1">
        <f t="array" ref="CR448">_xlfn.IFS(AND($CI448=0, CK448=FALSE), NA(), AND($CI448=1, CK448=FALSE), 0, CK448=TRUE, 1)</f>
        <v>1</v>
      </c>
      <c r="CS448" s="10" cm="1">
        <f t="array" ref="CS448">_xlfn.IFS(AND($CI448=0, CL448=FALSE), NA(), AND($CI448=1, CL448=FALSE), 0, CL448=TRUE, 1)</f>
        <v>1</v>
      </c>
      <c r="CT448" s="10" cm="1">
        <f t="array" ref="CT448">_xlfn.IFS(AND($CI448=0, CM448=FALSE), NA(), AND($CI448=1, CM448=FALSE), 0, CM448=TRUE, 1)</f>
        <v>1</v>
      </c>
      <c r="CU448" s="10" cm="1">
        <f t="array" ref="CU448">_xlfn.IFS(AND($CN448=0, CP448=FALSE), NA(), AND($CN448=1, CP448=FALSE), 0, CP448=TRUE, 1)</f>
        <v>1</v>
      </c>
      <c r="CV448" s="10" cm="1">
        <f t="array" ref="CV448">_xlfn.IFS(AND($CN448=0, CQ448=FALSE), NA(), AND($CN448=1, CQ448=FALSE), 0, CQ448=TRUE, 1)</f>
        <v>0</v>
      </c>
    </row>
    <row r="449" spans="1:100" ht="15.75" x14ac:dyDescent="0.25">
      <c r="A449" s="8">
        <v>448</v>
      </c>
      <c r="B449" s="9">
        <v>538</v>
      </c>
      <c r="C449" s="10" t="s">
        <v>34</v>
      </c>
      <c r="D449" s="11" t="s">
        <v>198</v>
      </c>
      <c r="E449" s="12">
        <v>17791</v>
      </c>
      <c r="F449" s="13">
        <v>1</v>
      </c>
      <c r="G449" s="9">
        <v>68.188911437988281</v>
      </c>
      <c r="H449" s="12">
        <v>42697</v>
      </c>
      <c r="I449" s="9">
        <v>0</v>
      </c>
      <c r="J449" s="12"/>
      <c r="K449" s="9">
        <v>1</v>
      </c>
      <c r="L449" s="9">
        <v>1</v>
      </c>
      <c r="M449" s="10" t="s">
        <v>401</v>
      </c>
      <c r="N449" s="9">
        <v>3</v>
      </c>
      <c r="O449" s="10" t="s">
        <v>419</v>
      </c>
      <c r="P449" s="9">
        <v>3</v>
      </c>
      <c r="Q449" s="10" t="s">
        <v>419</v>
      </c>
      <c r="R449" s="12">
        <v>42697</v>
      </c>
      <c r="S449" s="10" t="s">
        <v>146</v>
      </c>
      <c r="T449" s="9"/>
      <c r="U449" s="10" t="s">
        <v>401</v>
      </c>
      <c r="V449" s="10" t="s">
        <v>401</v>
      </c>
      <c r="W449" s="9"/>
      <c r="X449" s="9"/>
      <c r="Y449" s="9">
        <v>2</v>
      </c>
      <c r="Z449" s="14">
        <v>2</v>
      </c>
      <c r="AA449" s="17">
        <v>12.3</v>
      </c>
      <c r="AB449" s="18">
        <v>101</v>
      </c>
      <c r="AC449" s="18">
        <v>15</v>
      </c>
      <c r="AD449" s="9">
        <v>3</v>
      </c>
      <c r="AE449" s="9">
        <v>3</v>
      </c>
      <c r="AF449" s="9">
        <v>2</v>
      </c>
      <c r="AG449" s="9">
        <v>0</v>
      </c>
      <c r="AH449" s="9">
        <v>1</v>
      </c>
      <c r="AI449" s="9">
        <v>1</v>
      </c>
      <c r="AJ449" s="12">
        <v>43081</v>
      </c>
      <c r="AK449" s="9">
        <v>2</v>
      </c>
      <c r="AL449" s="12">
        <v>43172</v>
      </c>
      <c r="AM449" s="9">
        <v>4</v>
      </c>
      <c r="AN449" s="12">
        <v>43175</v>
      </c>
      <c r="AO449" s="12">
        <v>43175</v>
      </c>
      <c r="AP449" s="12">
        <v>43175</v>
      </c>
      <c r="AQ449" s="9">
        <v>1</v>
      </c>
      <c r="AR449" s="9">
        <f t="shared" si="149"/>
        <v>1</v>
      </c>
      <c r="AS449" s="9">
        <v>1</v>
      </c>
      <c r="AT449" s="9">
        <v>2</v>
      </c>
      <c r="AU449" s="9">
        <v>2</v>
      </c>
      <c r="AV449" s="9">
        <f t="shared" si="150"/>
        <v>1</v>
      </c>
      <c r="AW449" s="12">
        <v>43303</v>
      </c>
      <c r="AX449" s="9">
        <v>4590</v>
      </c>
      <c r="AY449" s="9">
        <v>4060</v>
      </c>
      <c r="AZ449" s="9">
        <v>500</v>
      </c>
      <c r="BA449" s="9">
        <v>4060</v>
      </c>
      <c r="BB449" s="9">
        <v>500.00006103515625</v>
      </c>
      <c r="BC449" s="9">
        <v>281000</v>
      </c>
      <c r="BD449" s="9"/>
      <c r="BE449" s="9"/>
      <c r="BF449" s="9">
        <v>169</v>
      </c>
      <c r="BG449" s="9">
        <v>5960</v>
      </c>
      <c r="BH449" s="9">
        <v>3840</v>
      </c>
      <c r="BI449" s="9">
        <v>2000</v>
      </c>
      <c r="BJ449" s="9">
        <v>279000</v>
      </c>
      <c r="BK449" s="9"/>
      <c r="BL449" s="9"/>
      <c r="BM449" s="9">
        <v>159</v>
      </c>
      <c r="BN449" s="9">
        <v>5360</v>
      </c>
      <c r="BO449" s="9">
        <v>3990</v>
      </c>
      <c r="BP449" s="9">
        <v>1700</v>
      </c>
      <c r="BQ449" s="9">
        <v>249000</v>
      </c>
      <c r="BR449" s="9"/>
      <c r="BS449" s="9"/>
      <c r="BT449" s="9">
        <v>176</v>
      </c>
      <c r="BU449" s="9">
        <v>6310</v>
      </c>
      <c r="BV449" s="9">
        <v>4520</v>
      </c>
      <c r="BW449" s="9">
        <v>1600</v>
      </c>
      <c r="BX449" s="9">
        <v>203000</v>
      </c>
      <c r="BY449" s="9"/>
      <c r="BZ449" s="10" t="s">
        <v>401</v>
      </c>
      <c r="CA449" s="9"/>
      <c r="CB449" s="9">
        <v>145</v>
      </c>
      <c r="CC449" s="10">
        <f t="shared" si="151"/>
        <v>8.1199990087891827</v>
      </c>
      <c r="CD449" s="10">
        <f t="shared" si="152"/>
        <v>561.9999313964928</v>
      </c>
      <c r="CE449" s="10">
        <f t="shared" si="170"/>
        <v>2281719.7214697604</v>
      </c>
      <c r="CF449" s="10">
        <f t="shared" si="168"/>
        <v>0</v>
      </c>
      <c r="CG449" s="10">
        <f t="shared" si="146"/>
        <v>0</v>
      </c>
      <c r="CH449" s="10">
        <f t="shared" si="147"/>
        <v>3</v>
      </c>
      <c r="CI449" s="9">
        <f t="shared" si="153"/>
        <v>1</v>
      </c>
      <c r="CJ449" s="10">
        <f t="shared" si="148"/>
        <v>7</v>
      </c>
      <c r="CK449" s="10" t="b">
        <f t="shared" si="154"/>
        <v>1</v>
      </c>
      <c r="CL449" s="10" t="b">
        <f t="shared" si="155"/>
        <v>0</v>
      </c>
      <c r="CM449" s="10" t="b">
        <f t="shared" si="156"/>
        <v>0</v>
      </c>
      <c r="CN449" s="9">
        <f t="shared" si="157"/>
        <v>1</v>
      </c>
      <c r="CO449" s="10">
        <f t="shared" si="169"/>
        <v>3</v>
      </c>
      <c r="CP449" s="10" t="b">
        <f t="shared" si="158"/>
        <v>1</v>
      </c>
      <c r="CQ449" s="10" t="b">
        <f t="shared" si="159"/>
        <v>0</v>
      </c>
      <c r="CR449" s="10" cm="1">
        <f t="array" ref="CR449">_xlfn.IFS(AND($CI449=0, CK449=FALSE), NA(), AND($CI449=1, CK449=FALSE), 0, CK449=TRUE, 1)</f>
        <v>1</v>
      </c>
      <c r="CS449" s="10" cm="1">
        <f t="array" ref="CS449">_xlfn.IFS(AND($CI449=0, CL449=FALSE), NA(), AND($CI449=1, CL449=FALSE), 0, CL449=TRUE, 1)</f>
        <v>0</v>
      </c>
      <c r="CT449" s="10" cm="1">
        <f t="array" ref="CT449">_xlfn.IFS(AND($CI449=0, CM449=FALSE), NA(), AND($CI449=1, CM449=FALSE), 0, CM449=TRUE, 1)</f>
        <v>0</v>
      </c>
      <c r="CU449" s="10" cm="1">
        <f t="array" ref="CU449">_xlfn.IFS(AND($CN449=0, CP449=FALSE), NA(), AND($CN449=1, CP449=FALSE), 0, CP449=TRUE, 1)</f>
        <v>1</v>
      </c>
      <c r="CV449" s="10" cm="1">
        <f t="array" ref="CV449">_xlfn.IFS(AND($CN449=0, CQ449=FALSE), NA(), AND($CN449=1, CQ449=FALSE), 0, CQ449=TRUE, 1)</f>
        <v>0</v>
      </c>
    </row>
    <row r="450" spans="1:100" x14ac:dyDescent="0.25">
      <c r="A450" s="8">
        <v>449</v>
      </c>
      <c r="B450" s="9">
        <v>92</v>
      </c>
      <c r="C450" s="10" t="s">
        <v>10</v>
      </c>
      <c r="D450" s="11" t="s">
        <v>120</v>
      </c>
      <c r="E450" s="12">
        <v>28798</v>
      </c>
      <c r="F450" s="13">
        <v>1</v>
      </c>
      <c r="G450" s="9">
        <v>38.053386688232422</v>
      </c>
      <c r="H450" s="12">
        <v>42697</v>
      </c>
      <c r="I450" s="9">
        <v>1</v>
      </c>
      <c r="J450" s="12">
        <v>42697</v>
      </c>
      <c r="K450" s="9">
        <v>0</v>
      </c>
      <c r="L450" s="9">
        <v>1</v>
      </c>
      <c r="M450" s="10" t="s">
        <v>401</v>
      </c>
      <c r="N450" s="9">
        <v>3</v>
      </c>
      <c r="O450" s="10" t="s">
        <v>417</v>
      </c>
      <c r="P450" s="9">
        <v>2</v>
      </c>
      <c r="Q450" s="10" t="s">
        <v>418</v>
      </c>
      <c r="R450" s="12">
        <v>42872</v>
      </c>
      <c r="S450" s="10" t="s">
        <v>145</v>
      </c>
      <c r="T450" s="9"/>
      <c r="U450" s="10" t="s">
        <v>401</v>
      </c>
      <c r="V450" s="10" t="s">
        <v>401</v>
      </c>
      <c r="W450" s="9"/>
      <c r="X450" s="9"/>
      <c r="Y450" s="9">
        <v>2</v>
      </c>
      <c r="Z450" s="19">
        <v>1</v>
      </c>
      <c r="AB450" s="9"/>
      <c r="AC450" s="9"/>
      <c r="AD450" s="9">
        <v>2</v>
      </c>
      <c r="AE450" s="9">
        <v>2</v>
      </c>
      <c r="AF450" s="9">
        <v>1</v>
      </c>
      <c r="AG450" s="9">
        <v>0</v>
      </c>
      <c r="AH450" s="9">
        <v>1</v>
      </c>
      <c r="AI450" s="9">
        <v>0</v>
      </c>
      <c r="AJ450" s="12">
        <v>43129</v>
      </c>
      <c r="AK450" s="9">
        <v>2</v>
      </c>
      <c r="AL450" s="12">
        <v>43228</v>
      </c>
      <c r="AM450" s="9">
        <v>4</v>
      </c>
      <c r="AN450" s="12">
        <v>43217</v>
      </c>
      <c r="AO450" s="12">
        <v>43217</v>
      </c>
      <c r="AP450" s="12">
        <v>43217</v>
      </c>
      <c r="AQ450" s="9">
        <v>1</v>
      </c>
      <c r="AR450" s="9">
        <f t="shared" si="149"/>
        <v>1</v>
      </c>
      <c r="AS450" s="9">
        <v>1</v>
      </c>
      <c r="AT450" s="9">
        <v>2</v>
      </c>
      <c r="AU450" s="9">
        <v>2</v>
      </c>
      <c r="AV450" s="9">
        <f t="shared" si="150"/>
        <v>1</v>
      </c>
      <c r="AW450" s="12">
        <v>43781</v>
      </c>
      <c r="AX450" s="9">
        <v>3200</v>
      </c>
      <c r="AY450" s="9">
        <v>1460</v>
      </c>
      <c r="AZ450" s="9">
        <v>1300</v>
      </c>
      <c r="BA450" s="9">
        <v>1460</v>
      </c>
      <c r="BB450" s="9">
        <v>1300.000244140625</v>
      </c>
      <c r="BC450" s="9">
        <v>138000</v>
      </c>
      <c r="BD450" s="9">
        <v>300</v>
      </c>
      <c r="BE450" s="9">
        <v>130</v>
      </c>
      <c r="BF450" s="9">
        <v>206</v>
      </c>
      <c r="BG450" s="9">
        <v>5000</v>
      </c>
      <c r="BH450" s="9">
        <v>2530</v>
      </c>
      <c r="BI450" s="9">
        <v>1700</v>
      </c>
      <c r="BJ450" s="9">
        <v>147000</v>
      </c>
      <c r="BK450" s="9">
        <v>570</v>
      </c>
      <c r="BL450" s="9">
        <v>150</v>
      </c>
      <c r="BM450" s="9"/>
      <c r="BN450" s="9">
        <v>6200</v>
      </c>
      <c r="BO450" s="9">
        <v>3960</v>
      </c>
      <c r="BP450" s="9">
        <v>1620</v>
      </c>
      <c r="BQ450" s="9">
        <v>155000</v>
      </c>
      <c r="BR450" s="9">
        <v>440</v>
      </c>
      <c r="BS450" s="9">
        <v>150</v>
      </c>
      <c r="BT450" s="9"/>
      <c r="BU450" s="9">
        <v>8300</v>
      </c>
      <c r="BV450" s="9">
        <v>5340</v>
      </c>
      <c r="BW450" s="9">
        <v>1810</v>
      </c>
      <c r="BX450" s="9">
        <v>173000</v>
      </c>
      <c r="BY450" s="9">
        <v>880</v>
      </c>
      <c r="BZ450" s="10" t="s">
        <v>534</v>
      </c>
      <c r="CA450" s="9">
        <v>220</v>
      </c>
      <c r="CB450" s="9"/>
      <c r="CC450" s="10">
        <f t="shared" si="151"/>
        <v>1.1230767121625767</v>
      </c>
      <c r="CD450" s="10">
        <f t="shared" si="152"/>
        <v>106.15382621810656</v>
      </c>
      <c r="CE450" s="10">
        <f t="shared" si="170"/>
        <v>154984.58627843557</v>
      </c>
      <c r="CF450" s="10">
        <f t="shared" si="168"/>
        <v>0</v>
      </c>
      <c r="CG450" s="10">
        <f t="shared" ref="CG450:CG513" si="171">IF(OR(AM450=4,AM450=3), 0,1)</f>
        <v>0</v>
      </c>
      <c r="CH450" s="10">
        <f t="shared" ref="CH450:CH513" si="172">(YEAR(AL450)-YEAR(AJ450))*12+MONTH(AL450)-MONTH(AJ450)</f>
        <v>4</v>
      </c>
      <c r="CI450" s="9">
        <f t="shared" si="153"/>
        <v>1</v>
      </c>
      <c r="CJ450" s="10">
        <f t="shared" ref="CJ450:CJ513" si="173">(YEAR(AW450)-YEAR(AJ450))*12+MONTH(AW450)-MONTH(AJ450)</f>
        <v>22</v>
      </c>
      <c r="CK450" s="10" t="b">
        <f t="shared" si="154"/>
        <v>1</v>
      </c>
      <c r="CL450" s="10" t="b">
        <f t="shared" si="155"/>
        <v>1</v>
      </c>
      <c r="CM450" s="10" t="b">
        <f t="shared" si="156"/>
        <v>0</v>
      </c>
      <c r="CN450" s="9">
        <f t="shared" si="157"/>
        <v>1</v>
      </c>
      <c r="CO450" s="10">
        <f t="shared" si="169"/>
        <v>3</v>
      </c>
      <c r="CP450" s="10" t="b">
        <f t="shared" si="158"/>
        <v>1</v>
      </c>
      <c r="CQ450" s="10" t="b">
        <f t="shared" si="159"/>
        <v>0</v>
      </c>
      <c r="CR450" s="10" cm="1">
        <f t="array" ref="CR450">_xlfn.IFS(AND($CI450=0, CK450=FALSE), NA(), AND($CI450=1, CK450=FALSE), 0, CK450=TRUE, 1)</f>
        <v>1</v>
      </c>
      <c r="CS450" s="10" cm="1">
        <f t="array" ref="CS450">_xlfn.IFS(AND($CI450=0, CL450=FALSE), NA(), AND($CI450=1, CL450=FALSE), 0, CL450=TRUE, 1)</f>
        <v>1</v>
      </c>
      <c r="CT450" s="10" cm="1">
        <f t="array" ref="CT450">_xlfn.IFS(AND($CI450=0, CM450=FALSE), NA(), AND($CI450=1, CM450=FALSE), 0, CM450=TRUE, 1)</f>
        <v>0</v>
      </c>
      <c r="CU450" s="10" cm="1">
        <f t="array" ref="CU450">_xlfn.IFS(AND($CN450=0, CP450=FALSE), NA(), AND($CN450=1, CP450=FALSE), 0, CP450=TRUE, 1)</f>
        <v>1</v>
      </c>
      <c r="CV450" s="10" cm="1">
        <f t="array" ref="CV450">_xlfn.IFS(AND($CN450=0, CQ450=FALSE), NA(), AND($CN450=1, CQ450=FALSE), 0, CQ450=TRUE, 1)</f>
        <v>0</v>
      </c>
    </row>
    <row r="451" spans="1:100" x14ac:dyDescent="0.25">
      <c r="A451" s="8">
        <v>450</v>
      </c>
      <c r="B451" s="9">
        <v>86</v>
      </c>
      <c r="C451" s="10" t="s">
        <v>10</v>
      </c>
      <c r="D451" s="11" t="s">
        <v>114</v>
      </c>
      <c r="E451" s="12">
        <v>14978</v>
      </c>
      <c r="F451" s="13">
        <v>2</v>
      </c>
      <c r="G451" s="9">
        <v>75.893226623535156</v>
      </c>
      <c r="H451" s="12">
        <v>42698</v>
      </c>
      <c r="I451" s="9">
        <v>1</v>
      </c>
      <c r="J451" s="12">
        <v>42746</v>
      </c>
      <c r="K451" s="9">
        <v>0</v>
      </c>
      <c r="L451" s="9">
        <v>1</v>
      </c>
      <c r="M451" s="10" t="s">
        <v>401</v>
      </c>
      <c r="N451" s="9">
        <v>2</v>
      </c>
      <c r="O451" s="10" t="s">
        <v>145</v>
      </c>
      <c r="P451" s="9">
        <v>2</v>
      </c>
      <c r="Q451" s="10" t="s">
        <v>145</v>
      </c>
      <c r="R451" s="12">
        <v>42790</v>
      </c>
      <c r="S451" s="10" t="s">
        <v>145</v>
      </c>
      <c r="T451" s="9"/>
      <c r="U451" s="10" t="s">
        <v>401</v>
      </c>
      <c r="V451" s="10" t="s">
        <v>401</v>
      </c>
      <c r="W451" s="9"/>
      <c r="X451" s="9"/>
      <c r="Y451" s="9">
        <v>2</v>
      </c>
      <c r="Z451" s="19">
        <v>1</v>
      </c>
      <c r="AB451" s="9"/>
      <c r="AC451" s="9"/>
      <c r="AD451" s="9">
        <v>2</v>
      </c>
      <c r="AE451" s="9">
        <v>2</v>
      </c>
      <c r="AF451" s="9">
        <v>1</v>
      </c>
      <c r="AG451" s="9">
        <v>0</v>
      </c>
      <c r="AH451" s="9">
        <v>1</v>
      </c>
      <c r="AI451" s="9">
        <v>0</v>
      </c>
      <c r="AJ451" s="12">
        <v>42891</v>
      </c>
      <c r="AK451" s="9">
        <v>2</v>
      </c>
      <c r="AL451" s="12">
        <v>43168</v>
      </c>
      <c r="AM451" s="9">
        <v>3</v>
      </c>
      <c r="AN451" s="12">
        <v>43080</v>
      </c>
      <c r="AO451" s="12">
        <v>43180</v>
      </c>
      <c r="AP451" s="12">
        <v>43180</v>
      </c>
      <c r="AQ451" s="9">
        <v>1</v>
      </c>
      <c r="AR451" s="9">
        <f t="shared" ref="AR451:AR514" si="174">IF(AQ451=1,1,0)</f>
        <v>1</v>
      </c>
      <c r="AS451" s="9">
        <v>1</v>
      </c>
      <c r="AT451" s="9">
        <v>2</v>
      </c>
      <c r="AU451" s="9">
        <v>2</v>
      </c>
      <c r="AV451" s="9">
        <f t="shared" ref="AV451:AV514" si="175">IF(AU451=2,1,0)</f>
        <v>1</v>
      </c>
      <c r="AW451" s="12">
        <v>43609</v>
      </c>
      <c r="AX451" s="9"/>
      <c r="AY451" s="9">
        <v>2800</v>
      </c>
      <c r="AZ451" s="9">
        <v>1480</v>
      </c>
      <c r="BA451" s="9">
        <v>2800</v>
      </c>
      <c r="BB451" s="9">
        <v>1480.000244140625</v>
      </c>
      <c r="BC451" s="9">
        <v>180000</v>
      </c>
      <c r="BD451" s="9">
        <v>370</v>
      </c>
      <c r="BE451" s="9">
        <v>240</v>
      </c>
      <c r="BF451" s="9">
        <v>190</v>
      </c>
      <c r="BG451" s="9"/>
      <c r="BH451" s="9">
        <v>2900</v>
      </c>
      <c r="BI451" s="9">
        <v>1600</v>
      </c>
      <c r="BJ451" s="9">
        <v>230000</v>
      </c>
      <c r="BK451" s="9">
        <v>370</v>
      </c>
      <c r="BL451" s="9">
        <v>230</v>
      </c>
      <c r="BM451" s="9">
        <v>200</v>
      </c>
      <c r="BN451" s="9"/>
      <c r="BO451" s="9">
        <v>2800</v>
      </c>
      <c r="BP451" s="9">
        <v>3100</v>
      </c>
      <c r="BQ451" s="9">
        <v>260000</v>
      </c>
      <c r="BR451" s="9">
        <v>380</v>
      </c>
      <c r="BS451" s="9">
        <v>220</v>
      </c>
      <c r="BT451" s="9">
        <v>220</v>
      </c>
      <c r="BU451" s="9"/>
      <c r="BV451" s="9">
        <v>2900</v>
      </c>
      <c r="BW451" s="9">
        <v>2900</v>
      </c>
      <c r="BX451" s="9">
        <v>290000</v>
      </c>
      <c r="BY451" s="9">
        <v>290</v>
      </c>
      <c r="BZ451" s="10" t="s">
        <v>550</v>
      </c>
      <c r="CA451" s="9">
        <v>240</v>
      </c>
      <c r="CB451" s="9">
        <v>190</v>
      </c>
      <c r="CC451" s="10">
        <f t="shared" ref="CC451:CC514" si="176">BA451/BB451</f>
        <v>1.8918915798056806</v>
      </c>
      <c r="CD451" s="10">
        <f t="shared" ref="CD451:CD514" si="177">BC451/BB451</f>
        <v>121.6216015589366</v>
      </c>
      <c r="CE451" s="10">
        <f t="shared" si="170"/>
        <v>340540.48436502251</v>
      </c>
      <c r="CF451" s="10">
        <f t="shared" si="168"/>
        <v>1</v>
      </c>
      <c r="CG451" s="10">
        <f t="shared" si="171"/>
        <v>0</v>
      </c>
      <c r="CH451" s="10">
        <f t="shared" si="172"/>
        <v>9</v>
      </c>
      <c r="CI451" s="9">
        <f t="shared" ref="CI451:CI514" si="178">AV451</f>
        <v>1</v>
      </c>
      <c r="CJ451" s="10">
        <f t="shared" si="173"/>
        <v>23</v>
      </c>
      <c r="CK451" s="10" t="b">
        <f t="shared" ref="CK451:CK514" si="179">IF(CJ451&gt;=6, TRUE, FALSE)</f>
        <v>1</v>
      </c>
      <c r="CL451" s="10" t="b">
        <f t="shared" ref="CL451:CL514" si="180">IF(CJ451&gt;=18, TRUE, FALSE)</f>
        <v>1</v>
      </c>
      <c r="CM451" s="10" t="b">
        <f t="shared" ref="CM451:CM514" si="181">IF(CJ451&gt;=24, TRUE, FALSE)</f>
        <v>0</v>
      </c>
      <c r="CN451" s="9">
        <f t="shared" ref="CN451:CN514" si="182">AR451</f>
        <v>1</v>
      </c>
      <c r="CO451" s="10">
        <f t="shared" si="169"/>
        <v>9</v>
      </c>
      <c r="CP451" s="10" t="b">
        <f t="shared" ref="CP451:CP514" si="183">IF(CO451&gt;=3, TRUE, FALSE)</f>
        <v>1</v>
      </c>
      <c r="CQ451" s="10" t="b">
        <f t="shared" ref="CQ451:CQ514" si="184">IF(CO451&gt;=9, TRUE, FALSE)</f>
        <v>1</v>
      </c>
      <c r="CR451" s="10" cm="1">
        <f t="array" ref="CR451">_xlfn.IFS(AND($CI451=0, CK451=FALSE), NA(), AND($CI451=1, CK451=FALSE), 0, CK451=TRUE, 1)</f>
        <v>1</v>
      </c>
      <c r="CS451" s="10" cm="1">
        <f t="array" ref="CS451">_xlfn.IFS(AND($CI451=0, CL451=FALSE), NA(), AND($CI451=1, CL451=FALSE), 0, CL451=TRUE, 1)</f>
        <v>1</v>
      </c>
      <c r="CT451" s="10" cm="1">
        <f t="array" ref="CT451">_xlfn.IFS(AND($CI451=0, CM451=FALSE), NA(), AND($CI451=1, CM451=FALSE), 0, CM451=TRUE, 1)</f>
        <v>0</v>
      </c>
      <c r="CU451" s="10" cm="1">
        <f t="array" ref="CU451">_xlfn.IFS(AND($CN451=0, CP451=FALSE), NA(), AND($CN451=1, CP451=FALSE), 0, CP451=TRUE, 1)</f>
        <v>1</v>
      </c>
      <c r="CV451" s="10" cm="1">
        <f t="array" ref="CV451">_xlfn.IFS(AND($CN451=0, CQ451=FALSE), NA(), AND($CN451=1, CQ451=FALSE), 0, CQ451=TRUE, 1)</f>
        <v>1</v>
      </c>
    </row>
    <row r="452" spans="1:100" ht="15.75" x14ac:dyDescent="0.25">
      <c r="A452" s="8">
        <v>451</v>
      </c>
      <c r="B452" s="9">
        <v>56</v>
      </c>
      <c r="C452" s="10" t="s">
        <v>7</v>
      </c>
      <c r="D452" s="11" t="s">
        <v>88</v>
      </c>
      <c r="E452" s="12">
        <v>17354</v>
      </c>
      <c r="F452" s="13">
        <v>2</v>
      </c>
      <c r="G452" s="9">
        <v>69.388092041015625</v>
      </c>
      <c r="H452" s="12">
        <v>42698</v>
      </c>
      <c r="I452" s="9">
        <v>1</v>
      </c>
      <c r="J452" s="12">
        <v>42725</v>
      </c>
      <c r="K452" s="9">
        <v>1</v>
      </c>
      <c r="L452" s="9">
        <v>1</v>
      </c>
      <c r="M452" s="10" t="s">
        <v>401</v>
      </c>
      <c r="N452" s="9">
        <v>2</v>
      </c>
      <c r="O452" s="10" t="s">
        <v>414</v>
      </c>
      <c r="P452" s="9">
        <v>2</v>
      </c>
      <c r="Q452" s="10" t="s">
        <v>414</v>
      </c>
      <c r="R452" s="12">
        <v>42699</v>
      </c>
      <c r="S452" s="10" t="s">
        <v>145</v>
      </c>
      <c r="T452" s="9"/>
      <c r="U452" s="10" t="s">
        <v>401</v>
      </c>
      <c r="V452" s="10" t="s">
        <v>401</v>
      </c>
      <c r="W452" s="9"/>
      <c r="X452" s="9"/>
      <c r="Y452" s="9">
        <v>2</v>
      </c>
      <c r="Z452" s="14">
        <v>1</v>
      </c>
      <c r="AA452" s="21">
        <v>11.2</v>
      </c>
      <c r="AB452" s="22">
        <v>105</v>
      </c>
      <c r="AC452" s="22">
        <v>14.4</v>
      </c>
      <c r="AD452" s="9">
        <v>2</v>
      </c>
      <c r="AE452" s="9">
        <v>2</v>
      </c>
      <c r="AF452" s="9">
        <v>1</v>
      </c>
      <c r="AG452" s="9">
        <v>1</v>
      </c>
      <c r="AH452" s="9">
        <v>1</v>
      </c>
      <c r="AI452" s="9">
        <v>0</v>
      </c>
      <c r="AJ452" s="12">
        <v>43055</v>
      </c>
      <c r="AK452" s="9">
        <v>2</v>
      </c>
      <c r="AL452" s="12">
        <v>43474</v>
      </c>
      <c r="AM452" s="9">
        <v>2</v>
      </c>
      <c r="AN452" s="12">
        <v>43159</v>
      </c>
      <c r="AO452" s="12">
        <v>43490</v>
      </c>
      <c r="AP452" s="12">
        <v>43490</v>
      </c>
      <c r="AQ452" s="9">
        <v>1</v>
      </c>
      <c r="AR452" s="9">
        <f t="shared" si="174"/>
        <v>1</v>
      </c>
      <c r="AS452" s="9">
        <v>1</v>
      </c>
      <c r="AT452" s="9">
        <v>2</v>
      </c>
      <c r="AU452" s="9">
        <v>2</v>
      </c>
      <c r="AV452" s="9">
        <f t="shared" si="175"/>
        <v>1</v>
      </c>
      <c r="AW452" s="12">
        <v>43716</v>
      </c>
      <c r="AX452" s="9">
        <v>3850</v>
      </c>
      <c r="AY452" s="9">
        <v>2230</v>
      </c>
      <c r="AZ452" s="9">
        <v>1260</v>
      </c>
      <c r="BA452" s="9">
        <v>2230</v>
      </c>
      <c r="BB452" s="9">
        <v>1259.9998779296875</v>
      </c>
      <c r="BC452" s="9">
        <v>245000</v>
      </c>
      <c r="BD452" s="9">
        <v>280</v>
      </c>
      <c r="BE452" s="9">
        <v>60</v>
      </c>
      <c r="BF452" s="9">
        <v>198</v>
      </c>
      <c r="BG452" s="9">
        <v>6670</v>
      </c>
      <c r="BH452" s="9">
        <v>4380</v>
      </c>
      <c r="BI452" s="9">
        <v>1740</v>
      </c>
      <c r="BJ452" s="9">
        <v>240000</v>
      </c>
      <c r="BK452" s="9">
        <v>450</v>
      </c>
      <c r="BL452" s="9">
        <v>80</v>
      </c>
      <c r="BM452" s="9">
        <v>223</v>
      </c>
      <c r="BN452" s="9">
        <v>6320</v>
      </c>
      <c r="BO452" s="9">
        <v>3590</v>
      </c>
      <c r="BP452" s="9">
        <v>2270</v>
      </c>
      <c r="BQ452" s="9">
        <v>290000</v>
      </c>
      <c r="BR452" s="9">
        <v>360</v>
      </c>
      <c r="BS452" s="9">
        <v>70</v>
      </c>
      <c r="BT452" s="9">
        <v>204</v>
      </c>
      <c r="BU452" s="9">
        <v>4680</v>
      </c>
      <c r="BV452" s="9">
        <v>2350</v>
      </c>
      <c r="BW452" s="9">
        <v>1870</v>
      </c>
      <c r="BX452" s="9">
        <v>255000</v>
      </c>
      <c r="BY452" s="9">
        <v>300</v>
      </c>
      <c r="BZ452" s="10" t="s">
        <v>563</v>
      </c>
      <c r="CA452" s="9">
        <v>130</v>
      </c>
      <c r="CB452" s="9">
        <v>177</v>
      </c>
      <c r="CC452" s="10">
        <f t="shared" si="176"/>
        <v>1.7698414413056331</v>
      </c>
      <c r="CD452" s="10">
        <f t="shared" si="177"/>
        <v>194.44446328245746</v>
      </c>
      <c r="CE452" s="10">
        <f t="shared" si="170"/>
        <v>433611.15311988012</v>
      </c>
      <c r="CF452" s="10">
        <f t="shared" si="168"/>
        <v>1</v>
      </c>
      <c r="CG452" s="10">
        <f t="shared" si="171"/>
        <v>1</v>
      </c>
      <c r="CH452" s="10">
        <f t="shared" si="172"/>
        <v>14</v>
      </c>
      <c r="CI452" s="9">
        <f t="shared" si="178"/>
        <v>1</v>
      </c>
      <c r="CJ452" s="10">
        <f t="shared" si="173"/>
        <v>22</v>
      </c>
      <c r="CK452" s="10" t="b">
        <f t="shared" si="179"/>
        <v>1</v>
      </c>
      <c r="CL452" s="10" t="b">
        <f t="shared" si="180"/>
        <v>1</v>
      </c>
      <c r="CM452" s="10" t="b">
        <f t="shared" si="181"/>
        <v>0</v>
      </c>
      <c r="CN452" s="9">
        <f t="shared" si="182"/>
        <v>1</v>
      </c>
      <c r="CO452" s="10">
        <f t="shared" si="169"/>
        <v>14</v>
      </c>
      <c r="CP452" s="10" t="b">
        <f t="shared" si="183"/>
        <v>1</v>
      </c>
      <c r="CQ452" s="10" t="b">
        <f t="shared" si="184"/>
        <v>1</v>
      </c>
      <c r="CR452" s="10" cm="1">
        <f t="array" ref="CR452">_xlfn.IFS(AND($CI452=0, CK452=FALSE), NA(), AND($CI452=1, CK452=FALSE), 0, CK452=TRUE, 1)</f>
        <v>1</v>
      </c>
      <c r="CS452" s="10" cm="1">
        <f t="array" ref="CS452">_xlfn.IFS(AND($CI452=0, CL452=FALSE), NA(), AND($CI452=1, CL452=FALSE), 0, CL452=TRUE, 1)</f>
        <v>1</v>
      </c>
      <c r="CT452" s="10" cm="1">
        <f t="array" ref="CT452">_xlfn.IFS(AND($CI452=0, CM452=FALSE), NA(), AND($CI452=1, CM452=FALSE), 0, CM452=TRUE, 1)</f>
        <v>0</v>
      </c>
      <c r="CU452" s="10" cm="1">
        <f t="array" ref="CU452">_xlfn.IFS(AND($CN452=0, CP452=FALSE), NA(), AND($CN452=1, CP452=FALSE), 0, CP452=TRUE, 1)</f>
        <v>1</v>
      </c>
      <c r="CV452" s="10" cm="1">
        <f t="array" ref="CV452">_xlfn.IFS(AND($CN452=0, CQ452=FALSE), NA(), AND($CN452=1, CQ452=FALSE), 0, CQ452=TRUE, 1)</f>
        <v>1</v>
      </c>
    </row>
    <row r="453" spans="1:100" ht="15.75" x14ac:dyDescent="0.25">
      <c r="A453" s="8">
        <v>452</v>
      </c>
      <c r="B453" s="9">
        <v>321</v>
      </c>
      <c r="C453" s="10" t="s">
        <v>25</v>
      </c>
      <c r="D453" s="11" t="s">
        <v>169</v>
      </c>
      <c r="E453" s="12">
        <v>23247</v>
      </c>
      <c r="F453" s="13">
        <v>2</v>
      </c>
      <c r="G453" s="9">
        <v>53.264888763427734</v>
      </c>
      <c r="H453" s="12">
        <v>42702</v>
      </c>
      <c r="I453" s="9">
        <v>1</v>
      </c>
      <c r="J453" s="12">
        <v>42759</v>
      </c>
      <c r="K453" s="9">
        <v>1</v>
      </c>
      <c r="L453" s="9">
        <v>4</v>
      </c>
      <c r="M453" s="10" t="s">
        <v>401</v>
      </c>
      <c r="N453" s="9">
        <v>2</v>
      </c>
      <c r="O453" s="10" t="s">
        <v>437</v>
      </c>
      <c r="P453" s="9">
        <v>2</v>
      </c>
      <c r="Q453" s="10" t="s">
        <v>145</v>
      </c>
      <c r="R453" s="12">
        <v>42702</v>
      </c>
      <c r="S453" s="10" t="s">
        <v>145</v>
      </c>
      <c r="T453" s="9"/>
      <c r="U453" s="10" t="s">
        <v>401</v>
      </c>
      <c r="V453" s="10" t="s">
        <v>401</v>
      </c>
      <c r="W453" s="9"/>
      <c r="X453" s="9"/>
      <c r="Y453" s="9">
        <v>2</v>
      </c>
      <c r="Z453" s="14">
        <v>1</v>
      </c>
      <c r="AA453" s="15"/>
      <c r="AB453" s="16"/>
      <c r="AC453" s="16"/>
      <c r="AD453" s="9">
        <v>3</v>
      </c>
      <c r="AE453" s="9">
        <v>3</v>
      </c>
      <c r="AF453" s="9">
        <v>1</v>
      </c>
      <c r="AG453" s="9">
        <v>1</v>
      </c>
      <c r="AH453" s="9">
        <v>0</v>
      </c>
      <c r="AI453" s="9">
        <v>1</v>
      </c>
      <c r="AJ453" s="12">
        <v>43039</v>
      </c>
      <c r="AK453" s="9">
        <v>2</v>
      </c>
      <c r="AL453" s="12">
        <v>43277</v>
      </c>
      <c r="AM453" s="9">
        <v>3</v>
      </c>
      <c r="AN453" s="12">
        <v>43102</v>
      </c>
      <c r="AO453" s="12">
        <v>43287</v>
      </c>
      <c r="AP453" s="12">
        <v>43287</v>
      </c>
      <c r="AQ453" s="9">
        <v>1</v>
      </c>
      <c r="AR453" s="9">
        <f t="shared" si="174"/>
        <v>1</v>
      </c>
      <c r="AS453" s="9">
        <v>1</v>
      </c>
      <c r="AT453" s="9">
        <v>2</v>
      </c>
      <c r="AU453" s="9">
        <v>2</v>
      </c>
      <c r="AV453" s="9">
        <f t="shared" si="175"/>
        <v>1</v>
      </c>
      <c r="AW453" s="12">
        <v>43647</v>
      </c>
      <c r="AX453" s="9">
        <v>3610</v>
      </c>
      <c r="AY453" s="9">
        <v>2300</v>
      </c>
      <c r="AZ453" s="9">
        <v>900</v>
      </c>
      <c r="BA453" s="9">
        <v>2300</v>
      </c>
      <c r="BB453" s="9">
        <v>900.0001220703125</v>
      </c>
      <c r="BC453" s="9">
        <v>117000</v>
      </c>
      <c r="BD453" s="9">
        <v>200</v>
      </c>
      <c r="BE453" s="9">
        <v>100</v>
      </c>
      <c r="BF453" s="9">
        <v>220</v>
      </c>
      <c r="BG453" s="9">
        <v>3560</v>
      </c>
      <c r="BH453" s="9">
        <v>2300</v>
      </c>
      <c r="BI453" s="9">
        <v>800</v>
      </c>
      <c r="BJ453" s="9">
        <v>110000</v>
      </c>
      <c r="BK453" s="9">
        <v>200</v>
      </c>
      <c r="BL453" s="9">
        <v>200</v>
      </c>
      <c r="BM453" s="9"/>
      <c r="BN453" s="9">
        <v>3320</v>
      </c>
      <c r="BO453" s="9">
        <v>2000</v>
      </c>
      <c r="BP453" s="9">
        <v>800</v>
      </c>
      <c r="BQ453" s="9">
        <v>87000</v>
      </c>
      <c r="BR453" s="9">
        <v>200</v>
      </c>
      <c r="BS453" s="9">
        <v>200</v>
      </c>
      <c r="BT453" s="9">
        <v>207</v>
      </c>
      <c r="BU453" s="9">
        <v>3420</v>
      </c>
      <c r="BV453" s="9">
        <v>2100</v>
      </c>
      <c r="BW453" s="9">
        <v>800</v>
      </c>
      <c r="BX453" s="9">
        <v>91000</v>
      </c>
      <c r="BY453" s="9">
        <v>300</v>
      </c>
      <c r="BZ453" s="10" t="s">
        <v>524</v>
      </c>
      <c r="CA453" s="9">
        <v>200</v>
      </c>
      <c r="CB453" s="9">
        <v>199</v>
      </c>
      <c r="CC453" s="10">
        <f t="shared" si="176"/>
        <v>2.5555552089361968</v>
      </c>
      <c r="CD453" s="10">
        <f t="shared" si="177"/>
        <v>129.99998236762391</v>
      </c>
      <c r="CE453" s="10">
        <f t="shared" si="170"/>
        <v>298999.95944553503</v>
      </c>
      <c r="CF453" s="10">
        <f t="shared" si="168"/>
        <v>1</v>
      </c>
      <c r="CG453" s="10">
        <f t="shared" si="171"/>
        <v>0</v>
      </c>
      <c r="CH453" s="10">
        <f t="shared" si="172"/>
        <v>8</v>
      </c>
      <c r="CI453" s="9">
        <f t="shared" si="178"/>
        <v>1</v>
      </c>
      <c r="CJ453" s="10">
        <f t="shared" si="173"/>
        <v>21</v>
      </c>
      <c r="CK453" s="10" t="b">
        <f t="shared" si="179"/>
        <v>1</v>
      </c>
      <c r="CL453" s="10" t="b">
        <f t="shared" si="180"/>
        <v>1</v>
      </c>
      <c r="CM453" s="10" t="b">
        <f t="shared" si="181"/>
        <v>0</v>
      </c>
      <c r="CN453" s="9">
        <f t="shared" si="182"/>
        <v>1</v>
      </c>
      <c r="CO453" s="10">
        <f t="shared" si="169"/>
        <v>9</v>
      </c>
      <c r="CP453" s="10" t="b">
        <f t="shared" si="183"/>
        <v>1</v>
      </c>
      <c r="CQ453" s="10" t="b">
        <f t="shared" si="184"/>
        <v>1</v>
      </c>
      <c r="CR453" s="10" cm="1">
        <f t="array" ref="CR453">_xlfn.IFS(AND($CI453=0, CK453=FALSE), NA(), AND($CI453=1, CK453=FALSE), 0, CK453=TRUE, 1)</f>
        <v>1</v>
      </c>
      <c r="CS453" s="10" cm="1">
        <f t="array" ref="CS453">_xlfn.IFS(AND($CI453=0, CL453=FALSE), NA(), AND($CI453=1, CL453=FALSE), 0, CL453=TRUE, 1)</f>
        <v>1</v>
      </c>
      <c r="CT453" s="10" cm="1">
        <f t="array" ref="CT453">_xlfn.IFS(AND($CI453=0, CM453=FALSE), NA(), AND($CI453=1, CM453=FALSE), 0, CM453=TRUE, 1)</f>
        <v>0</v>
      </c>
      <c r="CU453" s="10" cm="1">
        <f t="array" ref="CU453">_xlfn.IFS(AND($CN453=0, CP453=FALSE), NA(), AND($CN453=1, CP453=FALSE), 0, CP453=TRUE, 1)</f>
        <v>1</v>
      </c>
      <c r="CV453" s="10" cm="1">
        <f t="array" ref="CV453">_xlfn.IFS(AND($CN453=0, CQ453=FALSE), NA(), AND($CN453=1, CQ453=FALSE), 0, CQ453=TRUE, 1)</f>
        <v>1</v>
      </c>
    </row>
    <row r="454" spans="1:100" ht="15.75" x14ac:dyDescent="0.25">
      <c r="A454" s="8">
        <v>453</v>
      </c>
      <c r="B454" s="9">
        <v>317</v>
      </c>
      <c r="C454" s="10" t="s">
        <v>24</v>
      </c>
      <c r="D454" s="11" t="s">
        <v>266</v>
      </c>
      <c r="E454" s="12"/>
      <c r="F454" s="13">
        <v>1</v>
      </c>
      <c r="G454" s="9">
        <v>62</v>
      </c>
      <c r="H454" s="12">
        <v>42716</v>
      </c>
      <c r="I454" s="9">
        <v>1</v>
      </c>
      <c r="J454" s="12">
        <v>42716</v>
      </c>
      <c r="K454" s="9">
        <v>1</v>
      </c>
      <c r="L454" s="9">
        <v>1</v>
      </c>
      <c r="M454" s="10" t="s">
        <v>401</v>
      </c>
      <c r="N454" s="9">
        <v>3</v>
      </c>
      <c r="O454" s="10" t="s">
        <v>435</v>
      </c>
      <c r="P454" s="9">
        <v>3</v>
      </c>
      <c r="Q454" s="10" t="s">
        <v>435</v>
      </c>
      <c r="R454" s="12">
        <v>42716</v>
      </c>
      <c r="S454" s="10" t="s">
        <v>145</v>
      </c>
      <c r="T454" s="9"/>
      <c r="U454" s="10" t="s">
        <v>401</v>
      </c>
      <c r="V454" s="10" t="s">
        <v>401</v>
      </c>
      <c r="W454" s="9"/>
      <c r="X454" s="9"/>
      <c r="Y454" s="9">
        <v>2</v>
      </c>
      <c r="Z454" s="14">
        <v>1</v>
      </c>
      <c r="AA454" s="21">
        <v>12.5</v>
      </c>
      <c r="AB454" s="22">
        <v>99</v>
      </c>
      <c r="AC454" s="22">
        <v>16</v>
      </c>
      <c r="AD454" s="9">
        <v>3</v>
      </c>
      <c r="AE454" s="9">
        <v>3</v>
      </c>
      <c r="AF454" s="9">
        <v>2</v>
      </c>
      <c r="AG454" s="9">
        <v>0</v>
      </c>
      <c r="AH454" s="9">
        <v>1</v>
      </c>
      <c r="AI454" s="9">
        <v>0</v>
      </c>
      <c r="AJ454" s="12">
        <v>42961</v>
      </c>
      <c r="AK454" s="9">
        <v>2</v>
      </c>
      <c r="AL454" s="12">
        <v>42976</v>
      </c>
      <c r="AM454" s="9">
        <v>4</v>
      </c>
      <c r="AN454" s="12">
        <v>42990</v>
      </c>
      <c r="AO454" s="12">
        <v>42990</v>
      </c>
      <c r="AP454" s="12">
        <v>42990</v>
      </c>
      <c r="AQ454" s="9">
        <v>1</v>
      </c>
      <c r="AR454" s="9">
        <f t="shared" si="174"/>
        <v>1</v>
      </c>
      <c r="AS454" s="9">
        <v>1</v>
      </c>
      <c r="AT454" s="9">
        <v>2</v>
      </c>
      <c r="AU454" s="9">
        <v>2</v>
      </c>
      <c r="AV454" s="9">
        <f t="shared" si="175"/>
        <v>1</v>
      </c>
      <c r="AW454" s="12">
        <v>43025</v>
      </c>
      <c r="AX454" s="9">
        <v>2500</v>
      </c>
      <c r="AY454" s="9">
        <v>1797</v>
      </c>
      <c r="AZ454" s="9"/>
      <c r="BA454" s="9">
        <v>1797</v>
      </c>
      <c r="BB454" s="9">
        <v>800.2724609375</v>
      </c>
      <c r="BC454" s="9">
        <v>232000</v>
      </c>
      <c r="BD454" s="9"/>
      <c r="BE454" s="9"/>
      <c r="BF454" s="9">
        <v>513</v>
      </c>
      <c r="BG454" s="9">
        <v>2650</v>
      </c>
      <c r="BH454" s="9">
        <v>1764</v>
      </c>
      <c r="BI454" s="9"/>
      <c r="BJ454" s="9">
        <v>263000</v>
      </c>
      <c r="BK454" s="9"/>
      <c r="BL454" s="9"/>
      <c r="BM454" s="9">
        <v>285</v>
      </c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10" t="s">
        <v>401</v>
      </c>
      <c r="CA454" s="9"/>
      <c r="CB454" s="9"/>
      <c r="CC454" s="10">
        <f t="shared" si="176"/>
        <v>2.2454852412325392</v>
      </c>
      <c r="CD454" s="10">
        <f t="shared" si="177"/>
        <v>289.9012665364213</v>
      </c>
      <c r="CE454" s="10">
        <f t="shared" si="170"/>
        <v>520952.5759659491</v>
      </c>
      <c r="CF454" s="10">
        <f t="shared" si="168"/>
        <v>0</v>
      </c>
      <c r="CG454" s="10">
        <f t="shared" si="171"/>
        <v>0</v>
      </c>
      <c r="CH454" s="10">
        <f t="shared" si="172"/>
        <v>0</v>
      </c>
      <c r="CI454" s="9">
        <f t="shared" si="178"/>
        <v>1</v>
      </c>
      <c r="CJ454" s="10">
        <f t="shared" si="173"/>
        <v>2</v>
      </c>
      <c r="CK454" s="10" t="b">
        <f t="shared" si="179"/>
        <v>0</v>
      </c>
      <c r="CL454" s="10" t="b">
        <f t="shared" si="180"/>
        <v>0</v>
      </c>
      <c r="CM454" s="10" t="b">
        <f t="shared" si="181"/>
        <v>0</v>
      </c>
      <c r="CN454" s="9">
        <f t="shared" si="182"/>
        <v>1</v>
      </c>
      <c r="CO454" s="10">
        <f t="shared" si="169"/>
        <v>1</v>
      </c>
      <c r="CP454" s="10" t="b">
        <f t="shared" si="183"/>
        <v>0</v>
      </c>
      <c r="CQ454" s="10" t="b">
        <f t="shared" si="184"/>
        <v>0</v>
      </c>
      <c r="CR454" s="10" cm="1">
        <f t="array" ref="CR454">_xlfn.IFS(AND($CI454=0, CK454=FALSE), NA(), AND($CI454=1, CK454=FALSE), 0, CK454=TRUE, 1)</f>
        <v>0</v>
      </c>
      <c r="CS454" s="10" cm="1">
        <f t="array" ref="CS454">_xlfn.IFS(AND($CI454=0, CL454=FALSE), NA(), AND($CI454=1, CL454=FALSE), 0, CL454=TRUE, 1)</f>
        <v>0</v>
      </c>
      <c r="CT454" s="10" cm="1">
        <f t="array" ref="CT454">_xlfn.IFS(AND($CI454=0, CM454=FALSE), NA(), AND($CI454=1, CM454=FALSE), 0, CM454=TRUE, 1)</f>
        <v>0</v>
      </c>
      <c r="CU454" s="10" cm="1">
        <f t="array" ref="CU454">_xlfn.IFS(AND($CN454=0, CP454=FALSE), NA(), AND($CN454=1, CP454=FALSE), 0, CP454=TRUE, 1)</f>
        <v>0</v>
      </c>
      <c r="CV454" s="10" cm="1">
        <f t="array" ref="CV454">_xlfn.IFS(AND($CN454=0, CQ454=FALSE), NA(), AND($CN454=1, CQ454=FALSE), 0, CQ454=TRUE, 1)</f>
        <v>0</v>
      </c>
    </row>
    <row r="455" spans="1:100" ht="15.75" x14ac:dyDescent="0.25">
      <c r="A455" s="8">
        <v>454</v>
      </c>
      <c r="B455" s="9">
        <v>445</v>
      </c>
      <c r="C455" s="10" t="s">
        <v>30</v>
      </c>
      <c r="D455" s="11" t="s">
        <v>132</v>
      </c>
      <c r="E455" s="12">
        <v>26556</v>
      </c>
      <c r="F455" s="13">
        <v>1</v>
      </c>
      <c r="G455" s="9">
        <v>44.251880645751953</v>
      </c>
      <c r="H455" s="12">
        <v>42719</v>
      </c>
      <c r="I455" s="9">
        <v>1</v>
      </c>
      <c r="J455" s="12">
        <v>42731</v>
      </c>
      <c r="K455" s="9">
        <v>0</v>
      </c>
      <c r="L455" s="9">
        <v>1</v>
      </c>
      <c r="M455" s="10" t="s">
        <v>401</v>
      </c>
      <c r="N455" s="9">
        <v>2</v>
      </c>
      <c r="O455" s="10" t="s">
        <v>145</v>
      </c>
      <c r="P455" s="9">
        <v>2</v>
      </c>
      <c r="Q455" s="10" t="s">
        <v>145</v>
      </c>
      <c r="R455" s="12">
        <v>43054</v>
      </c>
      <c r="S455" s="10" t="s">
        <v>145</v>
      </c>
      <c r="T455" s="9"/>
      <c r="U455" s="10" t="s">
        <v>401</v>
      </c>
      <c r="V455" s="10" t="s">
        <v>401</v>
      </c>
      <c r="W455" s="9"/>
      <c r="X455" s="9"/>
      <c r="Y455" s="9">
        <v>2</v>
      </c>
      <c r="Z455" s="14">
        <v>1</v>
      </c>
      <c r="AA455" s="15">
        <v>11.5</v>
      </c>
      <c r="AB455" s="16">
        <v>88</v>
      </c>
      <c r="AC455" s="16">
        <v>11</v>
      </c>
      <c r="AD455" s="9">
        <v>2</v>
      </c>
      <c r="AE455" s="9">
        <v>2</v>
      </c>
      <c r="AF455" s="9">
        <v>1</v>
      </c>
      <c r="AG455" s="9">
        <v>0</v>
      </c>
      <c r="AH455" s="9">
        <v>1</v>
      </c>
      <c r="AI455" s="9">
        <v>0</v>
      </c>
      <c r="AJ455" s="12">
        <v>43291</v>
      </c>
      <c r="AK455" s="9">
        <v>2</v>
      </c>
      <c r="AL455" s="12">
        <v>43544</v>
      </c>
      <c r="AM455" s="9">
        <v>4</v>
      </c>
      <c r="AN455" s="12">
        <v>43488</v>
      </c>
      <c r="AO455" s="12">
        <v>43633</v>
      </c>
      <c r="AP455" s="12">
        <v>43633</v>
      </c>
      <c r="AQ455" s="9">
        <v>1</v>
      </c>
      <c r="AR455" s="9">
        <f t="shared" si="174"/>
        <v>1</v>
      </c>
      <c r="AS455" s="9">
        <v>1</v>
      </c>
      <c r="AT455" s="9">
        <v>2</v>
      </c>
      <c r="AU455" s="9">
        <v>2</v>
      </c>
      <c r="AV455" s="9">
        <f t="shared" si="175"/>
        <v>1</v>
      </c>
      <c r="AW455" s="12">
        <v>43905</v>
      </c>
      <c r="AX455" s="9">
        <v>5780</v>
      </c>
      <c r="AY455" s="9">
        <v>2700</v>
      </c>
      <c r="AZ455" s="9">
        <v>2160</v>
      </c>
      <c r="BA455" s="9">
        <v>2700</v>
      </c>
      <c r="BB455" s="9">
        <v>2160.000244140625</v>
      </c>
      <c r="BC455" s="9">
        <v>396000</v>
      </c>
      <c r="BD455" s="9">
        <v>500</v>
      </c>
      <c r="BE455" s="9">
        <v>100</v>
      </c>
      <c r="BF455" s="9">
        <v>246</v>
      </c>
      <c r="BG455" s="9">
        <v>6240</v>
      </c>
      <c r="BH455" s="9">
        <v>4430</v>
      </c>
      <c r="BI455" s="9">
        <v>1330</v>
      </c>
      <c r="BJ455" s="9">
        <v>478000</v>
      </c>
      <c r="BK455" s="9">
        <v>490</v>
      </c>
      <c r="BL455" s="9">
        <v>0</v>
      </c>
      <c r="BM455" s="9">
        <v>195</v>
      </c>
      <c r="BN455" s="9">
        <v>5530</v>
      </c>
      <c r="BO455" s="9">
        <v>3650</v>
      </c>
      <c r="BP455" s="9">
        <v>1320</v>
      </c>
      <c r="BQ455" s="9">
        <v>659000</v>
      </c>
      <c r="BR455" s="9">
        <v>560</v>
      </c>
      <c r="BS455" s="9">
        <v>0</v>
      </c>
      <c r="BT455" s="9">
        <v>200</v>
      </c>
      <c r="BU455" s="9">
        <v>6480</v>
      </c>
      <c r="BV455" s="9">
        <v>4700</v>
      </c>
      <c r="BW455" s="9">
        <v>1100</v>
      </c>
      <c r="BX455" s="9">
        <v>684000</v>
      </c>
      <c r="BY455" s="9">
        <v>610</v>
      </c>
      <c r="BZ455" s="10" t="s">
        <v>442</v>
      </c>
      <c r="CA455" s="9">
        <v>0</v>
      </c>
      <c r="CB455" s="9">
        <v>195</v>
      </c>
      <c r="CC455" s="10">
        <f t="shared" si="176"/>
        <v>1.2499998587149321</v>
      </c>
      <c r="CD455" s="10">
        <f t="shared" si="177"/>
        <v>183.33331261152338</v>
      </c>
      <c r="CE455" s="10">
        <f t="shared" si="170"/>
        <v>494999.9440511131</v>
      </c>
      <c r="CF455" s="10">
        <f t="shared" si="168"/>
        <v>0</v>
      </c>
      <c r="CG455" s="10">
        <f t="shared" si="171"/>
        <v>0</v>
      </c>
      <c r="CH455" s="10">
        <f t="shared" si="172"/>
        <v>8</v>
      </c>
      <c r="CI455" s="9">
        <f t="shared" si="178"/>
        <v>1</v>
      </c>
      <c r="CJ455" s="10">
        <f t="shared" si="173"/>
        <v>20</v>
      </c>
      <c r="CK455" s="10" t="b">
        <f t="shared" si="179"/>
        <v>1</v>
      </c>
      <c r="CL455" s="10" t="b">
        <f t="shared" si="180"/>
        <v>1</v>
      </c>
      <c r="CM455" s="10" t="b">
        <f t="shared" si="181"/>
        <v>0</v>
      </c>
      <c r="CN455" s="9">
        <f t="shared" si="182"/>
        <v>1</v>
      </c>
      <c r="CO455" s="10">
        <f t="shared" si="169"/>
        <v>11</v>
      </c>
      <c r="CP455" s="10" t="b">
        <f t="shared" si="183"/>
        <v>1</v>
      </c>
      <c r="CQ455" s="10" t="b">
        <f t="shared" si="184"/>
        <v>1</v>
      </c>
      <c r="CR455" s="10" cm="1">
        <f t="array" ref="CR455">_xlfn.IFS(AND($CI455=0, CK455=FALSE), NA(), AND($CI455=1, CK455=FALSE), 0, CK455=TRUE, 1)</f>
        <v>1</v>
      </c>
      <c r="CS455" s="10" cm="1">
        <f t="array" ref="CS455">_xlfn.IFS(AND($CI455=0, CL455=FALSE), NA(), AND($CI455=1, CL455=FALSE), 0, CL455=TRUE, 1)</f>
        <v>1</v>
      </c>
      <c r="CT455" s="10" cm="1">
        <f t="array" ref="CT455">_xlfn.IFS(AND($CI455=0, CM455=FALSE), NA(), AND($CI455=1, CM455=FALSE), 0, CM455=TRUE, 1)</f>
        <v>0</v>
      </c>
      <c r="CU455" s="10" cm="1">
        <f t="array" ref="CU455">_xlfn.IFS(AND($CN455=0, CP455=FALSE), NA(), AND($CN455=1, CP455=FALSE), 0, CP455=TRUE, 1)</f>
        <v>1</v>
      </c>
      <c r="CV455" s="10" cm="1">
        <f t="array" ref="CV455">_xlfn.IFS(AND($CN455=0, CQ455=FALSE), NA(), AND($CN455=1, CQ455=FALSE), 0, CQ455=TRUE, 1)</f>
        <v>1</v>
      </c>
    </row>
    <row r="456" spans="1:100" ht="15.75" x14ac:dyDescent="0.25">
      <c r="A456" s="8">
        <v>455</v>
      </c>
      <c r="B456" s="9">
        <v>343</v>
      </c>
      <c r="C456" s="10" t="s">
        <v>27</v>
      </c>
      <c r="D456" s="11" t="s">
        <v>38</v>
      </c>
      <c r="E456" s="12">
        <v>14009</v>
      </c>
      <c r="F456" s="13">
        <v>1</v>
      </c>
      <c r="G456" s="9">
        <v>78.64202880859375</v>
      </c>
      <c r="H456" s="12">
        <v>42733</v>
      </c>
      <c r="I456" s="9">
        <v>1</v>
      </c>
      <c r="J456" s="12">
        <v>42725</v>
      </c>
      <c r="K456" s="9">
        <v>0</v>
      </c>
      <c r="L456" s="9">
        <v>4</v>
      </c>
      <c r="M456" s="10" t="s">
        <v>404</v>
      </c>
      <c r="N456" s="9">
        <v>2</v>
      </c>
      <c r="O456" s="10" t="s">
        <v>147</v>
      </c>
      <c r="P456" s="9">
        <v>2</v>
      </c>
      <c r="Q456" s="10" t="s">
        <v>147</v>
      </c>
      <c r="R456" s="12">
        <v>43539</v>
      </c>
      <c r="S456" s="10" t="s">
        <v>146</v>
      </c>
      <c r="T456" s="9"/>
      <c r="U456" s="10" t="s">
        <v>401</v>
      </c>
      <c r="V456" s="10" t="s">
        <v>401</v>
      </c>
      <c r="W456" s="9"/>
      <c r="X456" s="9"/>
      <c r="Y456" s="9">
        <v>2</v>
      </c>
      <c r="Z456" s="14">
        <v>2</v>
      </c>
      <c r="AA456" s="21"/>
      <c r="AB456" s="22"/>
      <c r="AC456" s="22"/>
      <c r="AD456" s="9">
        <v>2</v>
      </c>
      <c r="AE456" s="9">
        <v>2</v>
      </c>
      <c r="AF456" s="9">
        <v>1</v>
      </c>
      <c r="AG456" s="9">
        <v>1</v>
      </c>
      <c r="AH456" s="9">
        <v>1</v>
      </c>
      <c r="AI456" s="9">
        <v>0</v>
      </c>
      <c r="AJ456" s="12">
        <v>43545</v>
      </c>
      <c r="AK456" s="9">
        <v>2</v>
      </c>
      <c r="AL456" s="12">
        <v>43678</v>
      </c>
      <c r="AM456" s="9">
        <v>4</v>
      </c>
      <c r="AN456" s="12">
        <v>43692</v>
      </c>
      <c r="AO456" s="12">
        <v>43692</v>
      </c>
      <c r="AP456" s="12">
        <v>43692</v>
      </c>
      <c r="AQ456" s="9">
        <v>1</v>
      </c>
      <c r="AR456" s="9">
        <f t="shared" si="174"/>
        <v>1</v>
      </c>
      <c r="AS456" s="9">
        <v>1</v>
      </c>
      <c r="AT456" s="9">
        <v>2</v>
      </c>
      <c r="AU456" s="9">
        <v>2</v>
      </c>
      <c r="AV456" s="9">
        <f t="shared" si="175"/>
        <v>1</v>
      </c>
      <c r="AW456" s="12">
        <v>44082</v>
      </c>
      <c r="AX456" s="9">
        <v>8620</v>
      </c>
      <c r="AY456" s="9">
        <v>6900</v>
      </c>
      <c r="AZ456" s="9">
        <v>1200</v>
      </c>
      <c r="BA456" s="9">
        <v>6900</v>
      </c>
      <c r="BB456" s="9">
        <v>1200.0001220703125</v>
      </c>
      <c r="BC456" s="9">
        <v>245000</v>
      </c>
      <c r="BD456" s="9">
        <v>500</v>
      </c>
      <c r="BE456" s="9">
        <v>0</v>
      </c>
      <c r="BF456" s="9">
        <v>195</v>
      </c>
      <c r="BG456" s="9">
        <v>7410</v>
      </c>
      <c r="BH456" s="9">
        <v>6300</v>
      </c>
      <c r="BI456" s="9">
        <v>700</v>
      </c>
      <c r="BJ456" s="9">
        <v>126000</v>
      </c>
      <c r="BK456" s="9">
        <v>300</v>
      </c>
      <c r="BL456" s="9">
        <v>100</v>
      </c>
      <c r="BM456" s="9">
        <v>197</v>
      </c>
      <c r="BN456" s="9">
        <v>8430</v>
      </c>
      <c r="BO456" s="9">
        <v>7000</v>
      </c>
      <c r="BP456" s="9">
        <v>900</v>
      </c>
      <c r="BQ456" s="9">
        <v>160000</v>
      </c>
      <c r="BR456" s="9">
        <v>400</v>
      </c>
      <c r="BS456" s="9">
        <v>100</v>
      </c>
      <c r="BT456" s="9"/>
      <c r="BU456" s="9"/>
      <c r="BV456" s="9"/>
      <c r="BW456" s="9"/>
      <c r="BX456" s="9"/>
      <c r="BY456" s="9"/>
      <c r="BZ456" s="10" t="s">
        <v>401</v>
      </c>
      <c r="CA456" s="9"/>
      <c r="CB456" s="9"/>
      <c r="CC456" s="10">
        <f t="shared" si="176"/>
        <v>5.7499994150798122</v>
      </c>
      <c r="CD456" s="10">
        <f t="shared" si="177"/>
        <v>204.16664589776144</v>
      </c>
      <c r="CE456" s="10">
        <f t="shared" si="170"/>
        <v>1408749.856694554</v>
      </c>
      <c r="CF456" s="10">
        <f t="shared" si="168"/>
        <v>0</v>
      </c>
      <c r="CG456" s="10">
        <f t="shared" si="171"/>
        <v>0</v>
      </c>
      <c r="CH456" s="10">
        <f t="shared" si="172"/>
        <v>5</v>
      </c>
      <c r="CI456" s="9">
        <f t="shared" si="178"/>
        <v>1</v>
      </c>
      <c r="CJ456" s="10">
        <f t="shared" si="173"/>
        <v>18</v>
      </c>
      <c r="CK456" s="10" t="b">
        <f t="shared" si="179"/>
        <v>1</v>
      </c>
      <c r="CL456" s="10" t="b">
        <f t="shared" si="180"/>
        <v>1</v>
      </c>
      <c r="CM456" s="10" t="b">
        <f t="shared" si="181"/>
        <v>0</v>
      </c>
      <c r="CN456" s="9">
        <f t="shared" si="182"/>
        <v>1</v>
      </c>
      <c r="CO456" s="10">
        <f t="shared" si="169"/>
        <v>5</v>
      </c>
      <c r="CP456" s="10" t="b">
        <f t="shared" si="183"/>
        <v>1</v>
      </c>
      <c r="CQ456" s="10" t="b">
        <f t="shared" si="184"/>
        <v>0</v>
      </c>
      <c r="CR456" s="10" cm="1">
        <f t="array" ref="CR456">_xlfn.IFS(AND($CI456=0, CK456=FALSE), NA(), AND($CI456=1, CK456=FALSE), 0, CK456=TRUE, 1)</f>
        <v>1</v>
      </c>
      <c r="CS456" s="10" cm="1">
        <f t="array" ref="CS456">_xlfn.IFS(AND($CI456=0, CL456=FALSE), NA(), AND($CI456=1, CL456=FALSE), 0, CL456=TRUE, 1)</f>
        <v>1</v>
      </c>
      <c r="CT456" s="10" cm="1">
        <f t="array" ref="CT456">_xlfn.IFS(AND($CI456=0, CM456=FALSE), NA(), AND($CI456=1, CM456=FALSE), 0, CM456=TRUE, 1)</f>
        <v>0</v>
      </c>
      <c r="CU456" s="10" cm="1">
        <f t="array" ref="CU456">_xlfn.IFS(AND($CN456=0, CP456=FALSE), NA(), AND($CN456=1, CP456=FALSE), 0, CP456=TRUE, 1)</f>
        <v>1</v>
      </c>
      <c r="CV456" s="10" cm="1">
        <f t="array" ref="CV456">_xlfn.IFS(AND($CN456=0, CQ456=FALSE), NA(), AND($CN456=1, CQ456=FALSE), 0, CQ456=TRUE, 1)</f>
        <v>0</v>
      </c>
    </row>
    <row r="457" spans="1:100" ht="15.75" x14ac:dyDescent="0.25">
      <c r="A457" s="8">
        <v>456</v>
      </c>
      <c r="B457" s="9">
        <v>322</v>
      </c>
      <c r="C457" s="10" t="s">
        <v>25</v>
      </c>
      <c r="D457" s="11" t="s">
        <v>169</v>
      </c>
      <c r="E457" s="12">
        <v>23199</v>
      </c>
      <c r="F457" s="13">
        <v>2</v>
      </c>
      <c r="G457" s="9">
        <v>53.483913421630859</v>
      </c>
      <c r="H457" s="12">
        <v>42734</v>
      </c>
      <c r="I457" s="9">
        <v>1</v>
      </c>
      <c r="J457" s="12">
        <v>42789</v>
      </c>
      <c r="K457" s="9">
        <v>1</v>
      </c>
      <c r="L457" s="9">
        <v>2</v>
      </c>
      <c r="M457" s="10" t="s">
        <v>401</v>
      </c>
      <c r="N457" s="9">
        <v>2</v>
      </c>
      <c r="O457" s="10" t="s">
        <v>422</v>
      </c>
      <c r="P457" s="9">
        <v>2</v>
      </c>
      <c r="Q457" s="10" t="s">
        <v>409</v>
      </c>
      <c r="R457" s="12">
        <v>42734</v>
      </c>
      <c r="S457" s="10" t="s">
        <v>146</v>
      </c>
      <c r="T457" s="9"/>
      <c r="U457" s="10" t="s">
        <v>401</v>
      </c>
      <c r="V457" s="10" t="s">
        <v>401</v>
      </c>
      <c r="W457" s="9"/>
      <c r="X457" s="9"/>
      <c r="Y457" s="9">
        <v>2</v>
      </c>
      <c r="Z457" s="14">
        <v>2</v>
      </c>
      <c r="AA457" s="17"/>
      <c r="AB457" s="18"/>
      <c r="AC457" s="18"/>
      <c r="AD457" s="9">
        <v>2</v>
      </c>
      <c r="AE457" s="9">
        <v>2</v>
      </c>
      <c r="AF457" s="9">
        <v>1</v>
      </c>
      <c r="AG457" s="9">
        <v>1</v>
      </c>
      <c r="AH457" s="9">
        <v>1</v>
      </c>
      <c r="AI457" s="9">
        <v>0</v>
      </c>
      <c r="AJ457" s="12">
        <v>42942</v>
      </c>
      <c r="AK457" s="9">
        <v>2</v>
      </c>
      <c r="AL457" s="12">
        <v>43194</v>
      </c>
      <c r="AM457" s="9">
        <v>1</v>
      </c>
      <c r="AN457" s="12">
        <v>43235</v>
      </c>
      <c r="AO457" s="12">
        <v>43355</v>
      </c>
      <c r="AP457" s="12">
        <v>43355</v>
      </c>
      <c r="AQ457" s="9">
        <v>1</v>
      </c>
      <c r="AR457" s="9">
        <f t="shared" si="174"/>
        <v>1</v>
      </c>
      <c r="AS457" s="9">
        <v>1</v>
      </c>
      <c r="AT457" s="9">
        <v>2</v>
      </c>
      <c r="AU457" s="9">
        <v>2</v>
      </c>
      <c r="AV457" s="9">
        <f t="shared" si="175"/>
        <v>1</v>
      </c>
      <c r="AW457" s="12">
        <v>43459</v>
      </c>
      <c r="AX457" s="9">
        <v>4790</v>
      </c>
      <c r="AY457" s="9">
        <v>3300</v>
      </c>
      <c r="AZ457" s="9">
        <v>1000</v>
      </c>
      <c r="BA457" s="9">
        <v>3300</v>
      </c>
      <c r="BB457" s="9">
        <v>1000.0001220703125</v>
      </c>
      <c r="BC457" s="9">
        <v>272000</v>
      </c>
      <c r="BD457" s="9">
        <v>300</v>
      </c>
      <c r="BE457" s="9">
        <v>100</v>
      </c>
      <c r="BF457" s="9">
        <v>328</v>
      </c>
      <c r="BG457" s="9">
        <v>4670</v>
      </c>
      <c r="BH457" s="9">
        <v>3000</v>
      </c>
      <c r="BI457" s="9">
        <v>1100</v>
      </c>
      <c r="BJ457" s="9">
        <v>338000</v>
      </c>
      <c r="BK457" s="9">
        <v>300</v>
      </c>
      <c r="BL457" s="9">
        <v>100</v>
      </c>
      <c r="BM457" s="9">
        <v>198</v>
      </c>
      <c r="BN457" s="9">
        <v>5030</v>
      </c>
      <c r="BO457" s="9">
        <v>2800</v>
      </c>
      <c r="BP457" s="9">
        <v>1600</v>
      </c>
      <c r="BQ457" s="9">
        <v>245000</v>
      </c>
      <c r="BR457" s="9">
        <v>300</v>
      </c>
      <c r="BS457" s="9">
        <v>200</v>
      </c>
      <c r="BT457" s="9">
        <v>188</v>
      </c>
      <c r="BU457" s="9">
        <v>5640</v>
      </c>
      <c r="BV457" s="9">
        <v>3600</v>
      </c>
      <c r="BW457" s="9">
        <v>1500</v>
      </c>
      <c r="BX457" s="9">
        <v>227000</v>
      </c>
      <c r="BY457" s="9">
        <v>300</v>
      </c>
      <c r="BZ457" s="10" t="s">
        <v>524</v>
      </c>
      <c r="CA457" s="9">
        <v>200</v>
      </c>
      <c r="CB457" s="9">
        <v>168</v>
      </c>
      <c r="CC457" s="10">
        <f t="shared" si="176"/>
        <v>3.2999995971680178</v>
      </c>
      <c r="CD457" s="10">
        <f t="shared" si="177"/>
        <v>271.99996679687905</v>
      </c>
      <c r="CE457" s="10">
        <f t="shared" si="170"/>
        <v>897599.89042970084</v>
      </c>
      <c r="CF457" s="10">
        <f t="shared" si="168"/>
        <v>1</v>
      </c>
      <c r="CG457" s="10">
        <f t="shared" si="171"/>
        <v>1</v>
      </c>
      <c r="CH457" s="10">
        <f t="shared" si="172"/>
        <v>9</v>
      </c>
      <c r="CI457" s="9">
        <f t="shared" si="178"/>
        <v>1</v>
      </c>
      <c r="CJ457" s="10">
        <f t="shared" si="173"/>
        <v>17</v>
      </c>
      <c r="CK457" s="10" t="b">
        <f t="shared" si="179"/>
        <v>1</v>
      </c>
      <c r="CL457" s="10" t="b">
        <f t="shared" si="180"/>
        <v>0</v>
      </c>
      <c r="CM457" s="10" t="b">
        <f t="shared" si="181"/>
        <v>0</v>
      </c>
      <c r="CN457" s="9">
        <f t="shared" si="182"/>
        <v>1</v>
      </c>
      <c r="CO457" s="10">
        <f t="shared" si="169"/>
        <v>14</v>
      </c>
      <c r="CP457" s="10" t="b">
        <f t="shared" si="183"/>
        <v>1</v>
      </c>
      <c r="CQ457" s="10" t="b">
        <f t="shared" si="184"/>
        <v>1</v>
      </c>
      <c r="CR457" s="10" cm="1">
        <f t="array" ref="CR457">_xlfn.IFS(AND($CI457=0, CK457=FALSE), NA(), AND($CI457=1, CK457=FALSE), 0, CK457=TRUE, 1)</f>
        <v>1</v>
      </c>
      <c r="CS457" s="10" cm="1">
        <f t="array" ref="CS457">_xlfn.IFS(AND($CI457=0, CL457=FALSE), NA(), AND($CI457=1, CL457=FALSE), 0, CL457=TRUE, 1)</f>
        <v>0</v>
      </c>
      <c r="CT457" s="10" cm="1">
        <f t="array" ref="CT457">_xlfn.IFS(AND($CI457=0, CM457=FALSE), NA(), AND($CI457=1, CM457=FALSE), 0, CM457=TRUE, 1)</f>
        <v>0</v>
      </c>
      <c r="CU457" s="10" cm="1">
        <f t="array" ref="CU457">_xlfn.IFS(AND($CN457=0, CP457=FALSE), NA(), AND($CN457=1, CP457=FALSE), 0, CP457=TRUE, 1)</f>
        <v>1</v>
      </c>
      <c r="CV457" s="10" cm="1">
        <f t="array" ref="CV457">_xlfn.IFS(AND($CN457=0, CQ457=FALSE), NA(), AND($CN457=1, CQ457=FALSE), 0, CQ457=TRUE, 1)</f>
        <v>1</v>
      </c>
    </row>
    <row r="458" spans="1:100" ht="15.75" x14ac:dyDescent="0.25">
      <c r="A458" s="8">
        <v>457</v>
      </c>
      <c r="B458" s="9">
        <v>502</v>
      </c>
      <c r="C458" s="10" t="s">
        <v>33</v>
      </c>
      <c r="D458" s="11" t="s">
        <v>60</v>
      </c>
      <c r="E458" s="12">
        <v>27663</v>
      </c>
      <c r="F458" s="13">
        <v>1</v>
      </c>
      <c r="G458" s="9">
        <v>41.273101806640625</v>
      </c>
      <c r="H458" s="12">
        <v>42738</v>
      </c>
      <c r="I458" s="9">
        <v>1</v>
      </c>
      <c r="J458" s="12">
        <v>42774</v>
      </c>
      <c r="K458" s="9">
        <v>0</v>
      </c>
      <c r="L458" s="9">
        <v>1</v>
      </c>
      <c r="M458" s="10" t="s">
        <v>401</v>
      </c>
      <c r="N458" s="9">
        <v>2</v>
      </c>
      <c r="O458" s="10" t="s">
        <v>145</v>
      </c>
      <c r="P458" s="9">
        <v>2</v>
      </c>
      <c r="Q458" s="10" t="s">
        <v>145</v>
      </c>
      <c r="R458" s="12">
        <v>42884</v>
      </c>
      <c r="S458" s="10" t="s">
        <v>145</v>
      </c>
      <c r="T458" s="9"/>
      <c r="U458" s="10" t="s">
        <v>401</v>
      </c>
      <c r="V458" s="10" t="s">
        <v>401</v>
      </c>
      <c r="W458" s="9"/>
      <c r="X458" s="9"/>
      <c r="Y458" s="9">
        <v>2</v>
      </c>
      <c r="Z458" s="14">
        <v>1</v>
      </c>
      <c r="AA458" s="15">
        <v>9.9</v>
      </c>
      <c r="AB458" s="16">
        <v>88</v>
      </c>
      <c r="AC458" s="16">
        <v>17</v>
      </c>
      <c r="AD458" s="9">
        <v>2</v>
      </c>
      <c r="AE458" s="9">
        <v>2</v>
      </c>
      <c r="AF458" s="9">
        <v>1</v>
      </c>
      <c r="AG458" s="9">
        <v>1</v>
      </c>
      <c r="AH458" s="9">
        <v>1</v>
      </c>
      <c r="AI458" s="9">
        <v>0</v>
      </c>
      <c r="AJ458" s="12">
        <v>43062</v>
      </c>
      <c r="AK458" s="9">
        <v>2</v>
      </c>
      <c r="AL458" s="12">
        <v>43123</v>
      </c>
      <c r="AM458" s="9">
        <v>4</v>
      </c>
      <c r="AN458" s="12">
        <v>43123</v>
      </c>
      <c r="AO458" s="12">
        <v>43123</v>
      </c>
      <c r="AP458" s="12">
        <v>43123</v>
      </c>
      <c r="AQ458" s="9">
        <v>1</v>
      </c>
      <c r="AR458" s="9">
        <f t="shared" si="174"/>
        <v>1</v>
      </c>
      <c r="AS458" s="9">
        <v>1</v>
      </c>
      <c r="AT458" s="9">
        <v>2</v>
      </c>
      <c r="AU458" s="9">
        <v>2</v>
      </c>
      <c r="AV458" s="9">
        <f t="shared" si="175"/>
        <v>1</v>
      </c>
      <c r="AW458" s="12">
        <v>43181</v>
      </c>
      <c r="AX458" s="9"/>
      <c r="AY458" s="9"/>
      <c r="AZ458" s="9"/>
      <c r="BA458" s="9">
        <v>4772.95849609375</v>
      </c>
      <c r="BB458" s="9">
        <v>1705.113037109375</v>
      </c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>
        <v>5300</v>
      </c>
      <c r="BO458" s="9">
        <v>3900</v>
      </c>
      <c r="BP458" s="9">
        <v>700</v>
      </c>
      <c r="BQ458" s="9">
        <v>411000</v>
      </c>
      <c r="BR458" s="9">
        <v>600</v>
      </c>
      <c r="BS458" s="9">
        <v>100</v>
      </c>
      <c r="BT458" s="9"/>
      <c r="BU458" s="9"/>
      <c r="BV458" s="9"/>
      <c r="BW458" s="9"/>
      <c r="BX458" s="9"/>
      <c r="BY458" s="9"/>
      <c r="BZ458" s="10" t="s">
        <v>401</v>
      </c>
      <c r="CA458" s="9"/>
      <c r="CB458" s="9"/>
      <c r="CC458" s="10">
        <f t="shared" si="176"/>
        <v>2.7992035672809106</v>
      </c>
      <c r="CF458" s="10">
        <f t="shared" si="168"/>
        <v>0</v>
      </c>
      <c r="CG458" s="10">
        <f t="shared" si="171"/>
        <v>0</v>
      </c>
      <c r="CH458" s="10">
        <f t="shared" si="172"/>
        <v>2</v>
      </c>
      <c r="CI458" s="9">
        <f t="shared" si="178"/>
        <v>1</v>
      </c>
      <c r="CJ458" s="10">
        <f t="shared" si="173"/>
        <v>4</v>
      </c>
      <c r="CK458" s="10" t="b">
        <f t="shared" si="179"/>
        <v>0</v>
      </c>
      <c r="CL458" s="10" t="b">
        <f t="shared" si="180"/>
        <v>0</v>
      </c>
      <c r="CM458" s="10" t="b">
        <f t="shared" si="181"/>
        <v>0</v>
      </c>
      <c r="CN458" s="9">
        <f t="shared" si="182"/>
        <v>1</v>
      </c>
      <c r="CO458" s="10">
        <f t="shared" si="169"/>
        <v>2</v>
      </c>
      <c r="CP458" s="10" t="b">
        <f t="shared" si="183"/>
        <v>0</v>
      </c>
      <c r="CQ458" s="10" t="b">
        <f t="shared" si="184"/>
        <v>0</v>
      </c>
      <c r="CR458" s="10" cm="1">
        <f t="array" ref="CR458">_xlfn.IFS(AND($CI458=0, CK458=FALSE), NA(), AND($CI458=1, CK458=FALSE), 0, CK458=TRUE, 1)</f>
        <v>0</v>
      </c>
      <c r="CS458" s="10" cm="1">
        <f t="array" ref="CS458">_xlfn.IFS(AND($CI458=0, CL458=FALSE), NA(), AND($CI458=1, CL458=FALSE), 0, CL458=TRUE, 1)</f>
        <v>0</v>
      </c>
      <c r="CT458" s="10" cm="1">
        <f t="array" ref="CT458">_xlfn.IFS(AND($CI458=0, CM458=FALSE), NA(), AND($CI458=1, CM458=FALSE), 0, CM458=TRUE, 1)</f>
        <v>0</v>
      </c>
      <c r="CU458" s="10" cm="1">
        <f t="array" ref="CU458">_xlfn.IFS(AND($CN458=0, CP458=FALSE), NA(), AND($CN458=1, CP458=FALSE), 0, CP458=TRUE, 1)</f>
        <v>0</v>
      </c>
      <c r="CV458" s="10" cm="1">
        <f t="array" ref="CV458">_xlfn.IFS(AND($CN458=0, CQ458=FALSE), NA(), AND($CN458=1, CQ458=FALSE), 0, CQ458=TRUE, 1)</f>
        <v>0</v>
      </c>
    </row>
    <row r="459" spans="1:100" ht="15.75" x14ac:dyDescent="0.25">
      <c r="A459" s="8">
        <v>458</v>
      </c>
      <c r="B459" s="9">
        <v>132</v>
      </c>
      <c r="C459" s="10" t="s">
        <v>16</v>
      </c>
      <c r="D459" s="11" t="s">
        <v>174</v>
      </c>
      <c r="E459" s="12">
        <v>13526</v>
      </c>
      <c r="F459" s="13">
        <v>1</v>
      </c>
      <c r="G459" s="9">
        <v>79.9808349609375</v>
      </c>
      <c r="H459" s="12">
        <v>42739</v>
      </c>
      <c r="I459" s="9">
        <v>0</v>
      </c>
      <c r="J459" s="12"/>
      <c r="K459" s="9">
        <v>1</v>
      </c>
      <c r="L459" s="9">
        <v>2</v>
      </c>
      <c r="M459" s="10" t="s">
        <v>401</v>
      </c>
      <c r="N459" s="9">
        <v>2</v>
      </c>
      <c r="O459" s="10" t="s">
        <v>409</v>
      </c>
      <c r="P459" s="9">
        <v>2</v>
      </c>
      <c r="Q459" s="10" t="s">
        <v>409</v>
      </c>
      <c r="R459" s="12">
        <v>42739</v>
      </c>
      <c r="S459" s="10" t="s">
        <v>145</v>
      </c>
      <c r="T459" s="9"/>
      <c r="U459" s="10" t="s">
        <v>401</v>
      </c>
      <c r="V459" s="10" t="s">
        <v>401</v>
      </c>
      <c r="W459" s="9"/>
      <c r="X459" s="9"/>
      <c r="Y459" s="9">
        <v>2</v>
      </c>
      <c r="Z459" s="14">
        <v>1</v>
      </c>
      <c r="AA459" s="15">
        <v>10.9</v>
      </c>
      <c r="AB459" s="16">
        <v>92</v>
      </c>
      <c r="AC459" s="16">
        <v>16</v>
      </c>
      <c r="AD459" s="9">
        <v>2</v>
      </c>
      <c r="AE459" s="9">
        <v>3</v>
      </c>
      <c r="AF459" s="9">
        <v>1</v>
      </c>
      <c r="AG459" s="9">
        <v>0</v>
      </c>
      <c r="AH459" s="9">
        <v>1</v>
      </c>
      <c r="AI459" s="9">
        <v>0</v>
      </c>
      <c r="AJ459" s="12">
        <v>43160</v>
      </c>
      <c r="AK459" s="9">
        <v>2</v>
      </c>
      <c r="AL459" s="12">
        <v>43279</v>
      </c>
      <c r="AM459" s="9">
        <v>3</v>
      </c>
      <c r="AN459" s="12">
        <v>43223</v>
      </c>
      <c r="AO459" s="12">
        <v>43299</v>
      </c>
      <c r="AP459" s="12">
        <v>43299</v>
      </c>
      <c r="AQ459" s="9">
        <v>1</v>
      </c>
      <c r="AR459" s="9">
        <f t="shared" si="174"/>
        <v>1</v>
      </c>
      <c r="AS459" s="9">
        <v>1</v>
      </c>
      <c r="AT459" s="9">
        <v>2</v>
      </c>
      <c r="AU459" s="9">
        <v>2</v>
      </c>
      <c r="AV459" s="9">
        <f t="shared" si="175"/>
        <v>1</v>
      </c>
      <c r="AW459" s="12">
        <v>43330</v>
      </c>
      <c r="AX459" s="9">
        <v>4510</v>
      </c>
      <c r="AY459" s="9">
        <v>3500</v>
      </c>
      <c r="AZ459" s="9"/>
      <c r="BA459" s="9">
        <v>3500</v>
      </c>
      <c r="BB459" s="9">
        <v>981.51397705078125</v>
      </c>
      <c r="BC459" s="9">
        <v>183000</v>
      </c>
      <c r="BD459" s="9"/>
      <c r="BE459" s="9"/>
      <c r="BF459" s="9"/>
      <c r="BG459" s="9">
        <v>5050</v>
      </c>
      <c r="BH459" s="9">
        <v>3800</v>
      </c>
      <c r="BI459" s="9"/>
      <c r="BJ459" s="9">
        <v>202000</v>
      </c>
      <c r="BK459" s="9"/>
      <c r="BL459" s="9"/>
      <c r="BM459" s="9"/>
      <c r="BN459" s="9"/>
      <c r="BO459" s="9">
        <v>3800</v>
      </c>
      <c r="BP459" s="9"/>
      <c r="BQ459" s="9">
        <v>198000</v>
      </c>
      <c r="BR459" s="9"/>
      <c r="BS459" s="9"/>
      <c r="BT459" s="9"/>
      <c r="BU459" s="9">
        <v>4980</v>
      </c>
      <c r="BV459" s="9">
        <v>3300</v>
      </c>
      <c r="BW459" s="9"/>
      <c r="BX459" s="9">
        <v>206000</v>
      </c>
      <c r="BY459" s="9"/>
      <c r="BZ459" s="10" t="s">
        <v>401</v>
      </c>
      <c r="CA459" s="9"/>
      <c r="CB459" s="9"/>
      <c r="CC459" s="10">
        <f t="shared" si="176"/>
        <v>3.5659196729084561</v>
      </c>
      <c r="CD459" s="10">
        <f t="shared" si="177"/>
        <v>186.4466571834993</v>
      </c>
      <c r="CE459" s="10">
        <f t="shared" ref="CE459:CE495" si="185">BC459*CC459</f>
        <v>652563.30014224746</v>
      </c>
      <c r="CF459" s="10">
        <f t="shared" si="168"/>
        <v>1</v>
      </c>
      <c r="CG459" s="10">
        <f t="shared" si="171"/>
        <v>0</v>
      </c>
      <c r="CH459" s="10">
        <f t="shared" si="172"/>
        <v>3</v>
      </c>
      <c r="CI459" s="9">
        <f t="shared" si="178"/>
        <v>1</v>
      </c>
      <c r="CJ459" s="10">
        <f t="shared" si="173"/>
        <v>5</v>
      </c>
      <c r="CK459" s="10" t="b">
        <f t="shared" si="179"/>
        <v>0</v>
      </c>
      <c r="CL459" s="10" t="b">
        <f t="shared" si="180"/>
        <v>0</v>
      </c>
      <c r="CM459" s="10" t="b">
        <f t="shared" si="181"/>
        <v>0</v>
      </c>
      <c r="CN459" s="9">
        <f t="shared" si="182"/>
        <v>1</v>
      </c>
      <c r="CO459" s="10">
        <f t="shared" si="169"/>
        <v>4</v>
      </c>
      <c r="CP459" s="10" t="b">
        <f t="shared" si="183"/>
        <v>1</v>
      </c>
      <c r="CQ459" s="10" t="b">
        <f t="shared" si="184"/>
        <v>0</v>
      </c>
      <c r="CR459" s="10" cm="1">
        <f t="array" ref="CR459">_xlfn.IFS(AND($CI459=0, CK459=FALSE), NA(), AND($CI459=1, CK459=FALSE), 0, CK459=TRUE, 1)</f>
        <v>0</v>
      </c>
      <c r="CS459" s="10" cm="1">
        <f t="array" ref="CS459">_xlfn.IFS(AND($CI459=0, CL459=FALSE), NA(), AND($CI459=1, CL459=FALSE), 0, CL459=TRUE, 1)</f>
        <v>0</v>
      </c>
      <c r="CT459" s="10" cm="1">
        <f t="array" ref="CT459">_xlfn.IFS(AND($CI459=0, CM459=FALSE), NA(), AND($CI459=1, CM459=FALSE), 0, CM459=TRUE, 1)</f>
        <v>0</v>
      </c>
      <c r="CU459" s="10" cm="1">
        <f t="array" ref="CU459">_xlfn.IFS(AND($CN459=0, CP459=FALSE), NA(), AND($CN459=1, CP459=FALSE), 0, CP459=TRUE, 1)</f>
        <v>1</v>
      </c>
      <c r="CV459" s="10" cm="1">
        <f t="array" ref="CV459">_xlfn.IFS(AND($CN459=0, CQ459=FALSE), NA(), AND($CN459=1, CQ459=FALSE), 0, CQ459=TRUE, 1)</f>
        <v>0</v>
      </c>
    </row>
    <row r="460" spans="1:100" ht="15.75" x14ac:dyDescent="0.25">
      <c r="A460" s="8">
        <v>459</v>
      </c>
      <c r="B460" s="9">
        <v>219</v>
      </c>
      <c r="C460" s="10" t="s">
        <v>19</v>
      </c>
      <c r="D460" s="11" t="s">
        <v>218</v>
      </c>
      <c r="E460" s="12">
        <v>17285</v>
      </c>
      <c r="F460" s="13">
        <v>2</v>
      </c>
      <c r="G460" s="9">
        <v>69.691993713378906</v>
      </c>
      <c r="H460" s="12">
        <v>42740</v>
      </c>
      <c r="I460" s="9">
        <v>0</v>
      </c>
      <c r="J460" s="12"/>
      <c r="K460" s="9">
        <v>1</v>
      </c>
      <c r="L460" s="9">
        <v>4</v>
      </c>
      <c r="M460" s="10" t="s">
        <v>403</v>
      </c>
      <c r="N460" s="9">
        <v>2</v>
      </c>
      <c r="O460" s="10" t="s">
        <v>145</v>
      </c>
      <c r="P460" s="9">
        <v>2</v>
      </c>
      <c r="Q460" s="10" t="s">
        <v>145</v>
      </c>
      <c r="R460" s="12">
        <v>42740</v>
      </c>
      <c r="S460" s="10" t="s">
        <v>145</v>
      </c>
      <c r="T460" s="9"/>
      <c r="U460" s="10" t="s">
        <v>401</v>
      </c>
      <c r="V460" s="10" t="s">
        <v>401</v>
      </c>
      <c r="W460" s="9"/>
      <c r="X460" s="9"/>
      <c r="Y460" s="9">
        <v>2</v>
      </c>
      <c r="Z460" s="14">
        <v>1</v>
      </c>
      <c r="AA460" s="34">
        <v>12.3</v>
      </c>
      <c r="AB460" s="14">
        <v>105</v>
      </c>
      <c r="AC460" s="14">
        <v>15</v>
      </c>
      <c r="AD460" s="9">
        <v>2</v>
      </c>
      <c r="AE460" s="9">
        <v>2</v>
      </c>
      <c r="AF460" s="9">
        <v>1</v>
      </c>
      <c r="AG460" s="9">
        <v>1</v>
      </c>
      <c r="AH460" s="9">
        <v>0</v>
      </c>
      <c r="AI460" s="9">
        <v>0</v>
      </c>
      <c r="AJ460" s="12">
        <v>43033</v>
      </c>
      <c r="AK460" s="9">
        <v>2</v>
      </c>
      <c r="AL460" s="12">
        <v>43117</v>
      </c>
      <c r="AM460" s="9">
        <v>4</v>
      </c>
      <c r="AN460" s="12">
        <v>43122</v>
      </c>
      <c r="AO460" s="12">
        <v>43122</v>
      </c>
      <c r="AP460" s="12">
        <v>43122</v>
      </c>
      <c r="AQ460" s="9">
        <v>1</v>
      </c>
      <c r="AR460" s="9">
        <f t="shared" si="174"/>
        <v>1</v>
      </c>
      <c r="AS460" s="9">
        <v>1</v>
      </c>
      <c r="AT460" s="9">
        <v>2</v>
      </c>
      <c r="AU460" s="9">
        <v>2</v>
      </c>
      <c r="AV460" s="9">
        <f t="shared" si="175"/>
        <v>1</v>
      </c>
      <c r="AW460" s="12">
        <v>43564</v>
      </c>
      <c r="AX460" s="9">
        <v>5300</v>
      </c>
      <c r="AY460" s="9">
        <v>3600</v>
      </c>
      <c r="AZ460" s="9">
        <v>1300</v>
      </c>
      <c r="BA460" s="9">
        <v>3600</v>
      </c>
      <c r="BB460" s="9">
        <v>1300.000244140625</v>
      </c>
      <c r="BC460" s="9">
        <v>214000</v>
      </c>
      <c r="BD460" s="9">
        <v>1000</v>
      </c>
      <c r="BE460" s="9">
        <v>300</v>
      </c>
      <c r="BF460" s="9">
        <v>518</v>
      </c>
      <c r="BG460" s="9">
        <v>7820</v>
      </c>
      <c r="BH460" s="9">
        <v>5800</v>
      </c>
      <c r="BI460" s="9">
        <v>1100</v>
      </c>
      <c r="BJ460" s="9">
        <v>305000</v>
      </c>
      <c r="BK460" s="9">
        <v>700</v>
      </c>
      <c r="BL460" s="9">
        <v>0</v>
      </c>
      <c r="BM460" s="9">
        <v>543</v>
      </c>
      <c r="BN460" s="9">
        <v>7880</v>
      </c>
      <c r="BO460" s="9">
        <v>540</v>
      </c>
      <c r="BP460" s="9">
        <v>1600</v>
      </c>
      <c r="BQ460" s="9">
        <v>556000</v>
      </c>
      <c r="BR460" s="9">
        <v>500</v>
      </c>
      <c r="BS460" s="9">
        <v>200</v>
      </c>
      <c r="BT460" s="9">
        <v>530</v>
      </c>
      <c r="BU460" s="9">
        <v>6550</v>
      </c>
      <c r="BV460" s="9">
        <v>6900</v>
      </c>
      <c r="BW460" s="9">
        <v>1400</v>
      </c>
      <c r="BX460" s="9">
        <v>433000</v>
      </c>
      <c r="BY460" s="9">
        <v>600</v>
      </c>
      <c r="BZ460" s="10" t="s">
        <v>525</v>
      </c>
      <c r="CA460" s="9">
        <v>100</v>
      </c>
      <c r="CB460" s="9">
        <v>770</v>
      </c>
      <c r="CC460" s="10">
        <f t="shared" si="176"/>
        <v>2.7692302491679972</v>
      </c>
      <c r="CD460" s="10">
        <f t="shared" si="177"/>
        <v>164.61535370054204</v>
      </c>
      <c r="CE460" s="10">
        <f t="shared" si="185"/>
        <v>592615.27332195139</v>
      </c>
      <c r="CF460" s="10">
        <f t="shared" si="168"/>
        <v>0</v>
      </c>
      <c r="CG460" s="10">
        <f t="shared" si="171"/>
        <v>0</v>
      </c>
      <c r="CH460" s="10">
        <f t="shared" si="172"/>
        <v>3</v>
      </c>
      <c r="CI460" s="9">
        <f t="shared" si="178"/>
        <v>1</v>
      </c>
      <c r="CJ460" s="10">
        <f t="shared" si="173"/>
        <v>18</v>
      </c>
      <c r="CK460" s="10" t="b">
        <f t="shared" si="179"/>
        <v>1</v>
      </c>
      <c r="CL460" s="10" t="b">
        <f t="shared" si="180"/>
        <v>1</v>
      </c>
      <c r="CM460" s="10" t="b">
        <f t="shared" si="181"/>
        <v>0</v>
      </c>
      <c r="CN460" s="9">
        <f t="shared" si="182"/>
        <v>1</v>
      </c>
      <c r="CO460" s="10">
        <f t="shared" si="169"/>
        <v>3</v>
      </c>
      <c r="CP460" s="10" t="b">
        <f t="shared" si="183"/>
        <v>1</v>
      </c>
      <c r="CQ460" s="10" t="b">
        <f t="shared" si="184"/>
        <v>0</v>
      </c>
      <c r="CR460" s="10" cm="1">
        <f t="array" ref="CR460">_xlfn.IFS(AND($CI460=0, CK460=FALSE), NA(), AND($CI460=1, CK460=FALSE), 0, CK460=TRUE, 1)</f>
        <v>1</v>
      </c>
      <c r="CS460" s="10" cm="1">
        <f t="array" ref="CS460">_xlfn.IFS(AND($CI460=0, CL460=FALSE), NA(), AND($CI460=1, CL460=FALSE), 0, CL460=TRUE, 1)</f>
        <v>1</v>
      </c>
      <c r="CT460" s="10" cm="1">
        <f t="array" ref="CT460">_xlfn.IFS(AND($CI460=0, CM460=FALSE), NA(), AND($CI460=1, CM460=FALSE), 0, CM460=TRUE, 1)</f>
        <v>0</v>
      </c>
      <c r="CU460" s="10" cm="1">
        <f t="array" ref="CU460">_xlfn.IFS(AND($CN460=0, CP460=FALSE), NA(), AND($CN460=1, CP460=FALSE), 0, CP460=TRUE, 1)</f>
        <v>1</v>
      </c>
      <c r="CV460" s="10" cm="1">
        <f t="array" ref="CV460">_xlfn.IFS(AND($CN460=0, CQ460=FALSE), NA(), AND($CN460=1, CQ460=FALSE), 0, CQ460=TRUE, 1)</f>
        <v>0</v>
      </c>
    </row>
    <row r="461" spans="1:100" x14ac:dyDescent="0.25">
      <c r="A461" s="8">
        <v>460</v>
      </c>
      <c r="B461" s="9">
        <v>103</v>
      </c>
      <c r="C461" s="10" t="s">
        <v>11</v>
      </c>
      <c r="D461" s="11" t="s">
        <v>129</v>
      </c>
      <c r="E461" s="12">
        <v>19589</v>
      </c>
      <c r="F461" s="13">
        <v>1</v>
      </c>
      <c r="G461" s="9">
        <v>63.400409698486328</v>
      </c>
      <c r="H461" s="12">
        <v>42746</v>
      </c>
      <c r="I461" s="9">
        <v>1</v>
      </c>
      <c r="J461" s="12">
        <v>42776</v>
      </c>
      <c r="K461" s="9">
        <v>1</v>
      </c>
      <c r="L461" s="9">
        <v>1</v>
      </c>
      <c r="M461" s="10" t="s">
        <v>401</v>
      </c>
      <c r="N461" s="9">
        <v>2</v>
      </c>
      <c r="O461" s="10" t="s">
        <v>145</v>
      </c>
      <c r="P461" s="9">
        <v>2</v>
      </c>
      <c r="Q461" s="10" t="s">
        <v>145</v>
      </c>
      <c r="R461" s="12">
        <v>42746</v>
      </c>
      <c r="S461" s="10" t="s">
        <v>145</v>
      </c>
      <c r="T461" s="9"/>
      <c r="U461" s="10" t="s">
        <v>401</v>
      </c>
      <c r="V461" s="10" t="s">
        <v>401</v>
      </c>
      <c r="W461" s="9"/>
      <c r="X461" s="9"/>
      <c r="Y461" s="9">
        <v>2</v>
      </c>
      <c r="Z461" s="19">
        <v>1</v>
      </c>
      <c r="AB461" s="9"/>
      <c r="AC461" s="9"/>
      <c r="AD461" s="9">
        <v>2</v>
      </c>
      <c r="AE461" s="9">
        <v>2</v>
      </c>
      <c r="AF461" s="9">
        <v>1</v>
      </c>
      <c r="AG461" s="9">
        <v>1</v>
      </c>
      <c r="AH461" s="9">
        <v>1</v>
      </c>
      <c r="AI461" s="9">
        <v>0</v>
      </c>
      <c r="AJ461" s="12">
        <v>42951</v>
      </c>
      <c r="AK461" s="9">
        <v>2</v>
      </c>
      <c r="AL461" s="12">
        <v>43448</v>
      </c>
      <c r="AM461" s="9">
        <v>2</v>
      </c>
      <c r="AN461" s="12">
        <v>43290</v>
      </c>
      <c r="AO461" s="12">
        <v>43476</v>
      </c>
      <c r="AP461" s="12">
        <v>43476</v>
      </c>
      <c r="AQ461" s="9">
        <v>1</v>
      </c>
      <c r="AR461" s="9">
        <f t="shared" si="174"/>
        <v>1</v>
      </c>
      <c r="AS461" s="9">
        <v>1</v>
      </c>
      <c r="AT461" s="9">
        <v>2</v>
      </c>
      <c r="AU461" s="9">
        <v>2</v>
      </c>
      <c r="AV461" s="9">
        <f t="shared" si="175"/>
        <v>1</v>
      </c>
      <c r="AW461" s="12">
        <v>43733</v>
      </c>
      <c r="AX461" s="9">
        <v>7600</v>
      </c>
      <c r="AY461" s="9">
        <v>4900</v>
      </c>
      <c r="AZ461" s="9">
        <v>1500</v>
      </c>
      <c r="BA461" s="9">
        <v>4900</v>
      </c>
      <c r="BB461" s="9">
        <v>1500.0001220703125</v>
      </c>
      <c r="BC461" s="9">
        <v>436000</v>
      </c>
      <c r="BD461" s="9">
        <v>2000</v>
      </c>
      <c r="BE461" s="9">
        <v>0</v>
      </c>
      <c r="BF461" s="9"/>
      <c r="BG461" s="9">
        <v>8500</v>
      </c>
      <c r="BH461" s="9">
        <v>5200</v>
      </c>
      <c r="BI461" s="9">
        <v>2000</v>
      </c>
      <c r="BJ461" s="9">
        <v>430000</v>
      </c>
      <c r="BK461" s="9">
        <v>900</v>
      </c>
      <c r="BL461" s="9">
        <v>0</v>
      </c>
      <c r="BM461" s="9"/>
      <c r="BN461" s="9"/>
      <c r="BO461" s="9"/>
      <c r="BP461" s="9"/>
      <c r="BQ461" s="9"/>
      <c r="BR461" s="9"/>
      <c r="BS461" s="9"/>
      <c r="BT461" s="9"/>
      <c r="BU461" s="9">
        <v>10900</v>
      </c>
      <c r="BV461" s="9">
        <v>6100</v>
      </c>
      <c r="BW461" s="9">
        <v>2800</v>
      </c>
      <c r="BX461" s="9">
        <v>497000</v>
      </c>
      <c r="BY461" s="9">
        <v>200</v>
      </c>
      <c r="BZ461" s="10" t="s">
        <v>442</v>
      </c>
      <c r="CA461" s="9">
        <v>0</v>
      </c>
      <c r="CB461" s="9"/>
      <c r="CC461" s="10">
        <f t="shared" si="176"/>
        <v>3.2666664008246746</v>
      </c>
      <c r="CD461" s="10">
        <f t="shared" si="177"/>
        <v>290.66664301215468</v>
      </c>
      <c r="CE461" s="10">
        <f t="shared" si="185"/>
        <v>1424266.5507595581</v>
      </c>
      <c r="CF461" s="10">
        <f t="shared" si="168"/>
        <v>1</v>
      </c>
      <c r="CG461" s="10">
        <f t="shared" si="171"/>
        <v>1</v>
      </c>
      <c r="CH461" s="10">
        <f t="shared" si="172"/>
        <v>16</v>
      </c>
      <c r="CI461" s="9">
        <f t="shared" si="178"/>
        <v>1</v>
      </c>
      <c r="CJ461" s="10">
        <f t="shared" si="173"/>
        <v>25</v>
      </c>
      <c r="CK461" s="10" t="b">
        <f t="shared" si="179"/>
        <v>1</v>
      </c>
      <c r="CL461" s="10" t="b">
        <f t="shared" si="180"/>
        <v>1</v>
      </c>
      <c r="CM461" s="10" t="b">
        <f t="shared" si="181"/>
        <v>1</v>
      </c>
      <c r="CN461" s="9">
        <f t="shared" si="182"/>
        <v>1</v>
      </c>
      <c r="CO461" s="10">
        <f t="shared" si="169"/>
        <v>17</v>
      </c>
      <c r="CP461" s="10" t="b">
        <f t="shared" si="183"/>
        <v>1</v>
      </c>
      <c r="CQ461" s="10" t="b">
        <f t="shared" si="184"/>
        <v>1</v>
      </c>
      <c r="CR461" s="10" cm="1">
        <f t="array" ref="CR461">_xlfn.IFS(AND($CI461=0, CK461=FALSE), NA(), AND($CI461=1, CK461=FALSE), 0, CK461=TRUE, 1)</f>
        <v>1</v>
      </c>
      <c r="CS461" s="10" cm="1">
        <f t="array" ref="CS461">_xlfn.IFS(AND($CI461=0, CL461=FALSE), NA(), AND($CI461=1, CL461=FALSE), 0, CL461=TRUE, 1)</f>
        <v>1</v>
      </c>
      <c r="CT461" s="10" cm="1">
        <f t="array" ref="CT461">_xlfn.IFS(AND($CI461=0, CM461=FALSE), NA(), AND($CI461=1, CM461=FALSE), 0, CM461=TRUE, 1)</f>
        <v>1</v>
      </c>
      <c r="CU461" s="10" cm="1">
        <f t="array" ref="CU461">_xlfn.IFS(AND($CN461=0, CP461=FALSE), NA(), AND($CN461=1, CP461=FALSE), 0, CP461=TRUE, 1)</f>
        <v>1</v>
      </c>
      <c r="CV461" s="10" cm="1">
        <f t="array" ref="CV461">_xlfn.IFS(AND($CN461=0, CQ461=FALSE), NA(), AND($CN461=1, CQ461=FALSE), 0, CQ461=TRUE, 1)</f>
        <v>1</v>
      </c>
    </row>
    <row r="462" spans="1:100" ht="15.75" x14ac:dyDescent="0.25">
      <c r="A462" s="8">
        <v>461</v>
      </c>
      <c r="B462" s="9">
        <v>20</v>
      </c>
      <c r="C462" s="10" t="s">
        <v>4</v>
      </c>
      <c r="D462" s="11" t="s">
        <v>56</v>
      </c>
      <c r="E462" s="12">
        <v>21859</v>
      </c>
      <c r="F462" s="13">
        <v>2</v>
      </c>
      <c r="G462" s="9">
        <v>57.190963745117188</v>
      </c>
      <c r="H462" s="12">
        <v>42748</v>
      </c>
      <c r="I462" s="9">
        <v>1</v>
      </c>
      <c r="J462" s="12">
        <v>42711</v>
      </c>
      <c r="K462" s="9">
        <v>0</v>
      </c>
      <c r="L462" s="9">
        <v>4</v>
      </c>
      <c r="M462" s="10" t="s">
        <v>405</v>
      </c>
      <c r="N462" s="9">
        <v>2</v>
      </c>
      <c r="O462" s="10" t="s">
        <v>409</v>
      </c>
      <c r="P462" s="9">
        <v>2</v>
      </c>
      <c r="Q462" s="10" t="s">
        <v>409</v>
      </c>
      <c r="R462" s="12">
        <v>42783</v>
      </c>
      <c r="S462" s="10" t="s">
        <v>145</v>
      </c>
      <c r="T462" s="9"/>
      <c r="U462" s="10" t="s">
        <v>401</v>
      </c>
      <c r="V462" s="10" t="s">
        <v>401</v>
      </c>
      <c r="W462" s="9"/>
      <c r="X462" s="9"/>
      <c r="Y462" s="9">
        <v>2</v>
      </c>
      <c r="Z462" s="14">
        <v>1</v>
      </c>
      <c r="AA462" s="17">
        <v>10.4</v>
      </c>
      <c r="AB462" s="18">
        <v>81</v>
      </c>
      <c r="AC462" s="9"/>
      <c r="AD462" s="9">
        <v>3</v>
      </c>
      <c r="AE462" s="9">
        <v>2</v>
      </c>
      <c r="AF462" s="9">
        <v>1</v>
      </c>
      <c r="AG462" s="9">
        <v>1</v>
      </c>
      <c r="AH462" s="9">
        <v>1</v>
      </c>
      <c r="AI462" s="9">
        <v>0</v>
      </c>
      <c r="AJ462" s="12">
        <v>43056</v>
      </c>
      <c r="AK462" s="9">
        <v>1</v>
      </c>
      <c r="AL462" s="12">
        <v>44973</v>
      </c>
      <c r="AM462" s="9">
        <v>2</v>
      </c>
      <c r="AN462" s="12">
        <v>43210</v>
      </c>
      <c r="AO462" s="12"/>
      <c r="AP462" s="12"/>
      <c r="AQ462" s="9">
        <v>2</v>
      </c>
      <c r="AR462" s="9">
        <f t="shared" si="174"/>
        <v>0</v>
      </c>
      <c r="AS462" s="9">
        <v>2</v>
      </c>
      <c r="AT462" s="9"/>
      <c r="AU462" s="9">
        <v>1</v>
      </c>
      <c r="AV462" s="9">
        <f t="shared" si="175"/>
        <v>0</v>
      </c>
      <c r="AW462" s="12">
        <v>44973</v>
      </c>
      <c r="AX462" s="9">
        <v>10570</v>
      </c>
      <c r="AY462" s="9">
        <v>8300</v>
      </c>
      <c r="AZ462" s="9">
        <v>1400</v>
      </c>
      <c r="BA462" s="9">
        <v>8300</v>
      </c>
      <c r="BB462" s="9">
        <v>1399.9998779296875</v>
      </c>
      <c r="BC462" s="9">
        <v>485000</v>
      </c>
      <c r="BD462" s="9">
        <v>800</v>
      </c>
      <c r="BE462" s="9">
        <v>100</v>
      </c>
      <c r="BF462" s="9">
        <v>182</v>
      </c>
      <c r="BG462" s="9">
        <v>15990</v>
      </c>
      <c r="BH462" s="9">
        <v>13700</v>
      </c>
      <c r="BI462" s="9">
        <v>1300</v>
      </c>
      <c r="BJ462" s="9">
        <v>547000</v>
      </c>
      <c r="BK462" s="9">
        <v>700</v>
      </c>
      <c r="BL462" s="9">
        <v>200</v>
      </c>
      <c r="BM462" s="9">
        <v>178</v>
      </c>
      <c r="BN462" s="9">
        <v>11440</v>
      </c>
      <c r="BO462" s="9">
        <v>9000</v>
      </c>
      <c r="BP462" s="9">
        <v>1700</v>
      </c>
      <c r="BQ462" s="9">
        <v>445000</v>
      </c>
      <c r="BR462" s="9">
        <v>400</v>
      </c>
      <c r="BS462" s="9">
        <v>200</v>
      </c>
      <c r="BT462" s="9">
        <v>147</v>
      </c>
      <c r="BU462" s="9">
        <v>10650</v>
      </c>
      <c r="BV462" s="9">
        <v>8000</v>
      </c>
      <c r="BW462" s="9">
        <v>1700</v>
      </c>
      <c r="BX462" s="9">
        <v>411000</v>
      </c>
      <c r="BY462" s="9">
        <v>600</v>
      </c>
      <c r="BZ462" s="10" t="s">
        <v>524</v>
      </c>
      <c r="CA462" s="9">
        <v>200</v>
      </c>
      <c r="CB462" s="9">
        <v>110</v>
      </c>
      <c r="CC462" s="10">
        <f t="shared" si="176"/>
        <v>5.9285719455018784</v>
      </c>
      <c r="CD462" s="10">
        <f t="shared" si="177"/>
        <v>346.4286016347483</v>
      </c>
      <c r="CE462" s="10">
        <f t="shared" si="185"/>
        <v>2875357.393568411</v>
      </c>
      <c r="CF462" s="10">
        <f t="shared" si="168"/>
        <v>1</v>
      </c>
      <c r="CG462" s="10">
        <f t="shared" si="171"/>
        <v>1</v>
      </c>
      <c r="CH462" s="10">
        <f t="shared" si="172"/>
        <v>63</v>
      </c>
      <c r="CI462" s="9">
        <f t="shared" si="178"/>
        <v>0</v>
      </c>
      <c r="CJ462" s="10">
        <f t="shared" si="173"/>
        <v>63</v>
      </c>
      <c r="CK462" s="10" t="b">
        <f t="shared" si="179"/>
        <v>1</v>
      </c>
      <c r="CL462" s="10" t="b">
        <f t="shared" si="180"/>
        <v>1</v>
      </c>
      <c r="CM462" s="10" t="b">
        <f t="shared" si="181"/>
        <v>1</v>
      </c>
      <c r="CN462" s="9">
        <f t="shared" si="182"/>
        <v>0</v>
      </c>
      <c r="CO462" s="10">
        <f>CJ462</f>
        <v>63</v>
      </c>
      <c r="CP462" s="10" t="b">
        <f t="shared" si="183"/>
        <v>1</v>
      </c>
      <c r="CQ462" s="10" t="b">
        <f t="shared" si="184"/>
        <v>1</v>
      </c>
      <c r="CR462" s="10" cm="1">
        <f t="array" ref="CR462">_xlfn.IFS(AND($CI462=0, CK462=FALSE), NA(), AND($CI462=1, CK462=FALSE), 0, CK462=TRUE, 1)</f>
        <v>1</v>
      </c>
      <c r="CS462" s="10" cm="1">
        <f t="array" ref="CS462">_xlfn.IFS(AND($CI462=0, CL462=FALSE), NA(), AND($CI462=1, CL462=FALSE), 0, CL462=TRUE, 1)</f>
        <v>1</v>
      </c>
      <c r="CT462" s="10" cm="1">
        <f t="array" ref="CT462">_xlfn.IFS(AND($CI462=0, CM462=FALSE), NA(), AND($CI462=1, CM462=FALSE), 0, CM462=TRUE, 1)</f>
        <v>1</v>
      </c>
      <c r="CU462" s="10" cm="1">
        <f t="array" ref="CU462">_xlfn.IFS(AND($CN462=0, CP462=FALSE), NA(), AND($CN462=1, CP462=FALSE), 0, CP462=TRUE, 1)</f>
        <v>1</v>
      </c>
      <c r="CV462" s="10" cm="1">
        <f t="array" ref="CV462">_xlfn.IFS(AND($CN462=0, CQ462=FALSE), NA(), AND($CN462=1, CQ462=FALSE), 0, CQ462=TRUE, 1)</f>
        <v>1</v>
      </c>
    </row>
    <row r="463" spans="1:100" ht="15.75" x14ac:dyDescent="0.25">
      <c r="A463" s="8">
        <v>462</v>
      </c>
      <c r="B463" s="9">
        <v>159</v>
      </c>
      <c r="C463" s="10" t="s">
        <v>15</v>
      </c>
      <c r="D463" s="11" t="s">
        <v>154</v>
      </c>
      <c r="E463" s="12">
        <v>22771</v>
      </c>
      <c r="F463" s="13">
        <v>1</v>
      </c>
      <c r="G463" s="9">
        <v>54.699520111083984</v>
      </c>
      <c r="H463" s="12">
        <v>42750</v>
      </c>
      <c r="I463" s="9">
        <v>1</v>
      </c>
      <c r="J463" s="12">
        <v>42807</v>
      </c>
      <c r="K463" s="9">
        <v>0</v>
      </c>
      <c r="L463" s="9">
        <v>3</v>
      </c>
      <c r="M463" s="10" t="s">
        <v>401</v>
      </c>
      <c r="N463" s="9"/>
      <c r="O463" s="10" t="s">
        <v>401</v>
      </c>
      <c r="P463" s="9"/>
      <c r="Q463" s="10" t="s">
        <v>401</v>
      </c>
      <c r="R463" s="12">
        <v>43059</v>
      </c>
      <c r="S463" s="10" t="s">
        <v>145</v>
      </c>
      <c r="T463" s="9"/>
      <c r="U463" s="10" t="s">
        <v>401</v>
      </c>
      <c r="V463" s="10" t="s">
        <v>401</v>
      </c>
      <c r="W463" s="9"/>
      <c r="X463" s="9"/>
      <c r="Y463" s="9">
        <v>2</v>
      </c>
      <c r="Z463" s="14">
        <v>1</v>
      </c>
      <c r="AA463" s="17">
        <v>13.4</v>
      </c>
      <c r="AB463" s="18">
        <v>96</v>
      </c>
      <c r="AC463" s="18">
        <v>12</v>
      </c>
      <c r="AD463" s="9">
        <v>2</v>
      </c>
      <c r="AE463" s="9">
        <v>2</v>
      </c>
      <c r="AF463" s="9">
        <v>2</v>
      </c>
      <c r="AG463" s="9">
        <v>0</v>
      </c>
      <c r="AH463" s="9">
        <v>1</v>
      </c>
      <c r="AI463" s="9">
        <v>0</v>
      </c>
      <c r="AJ463" s="12">
        <v>43453</v>
      </c>
      <c r="AK463" s="9">
        <v>2</v>
      </c>
      <c r="AL463" s="12">
        <v>43623</v>
      </c>
      <c r="AM463" s="9">
        <v>4</v>
      </c>
      <c r="AN463" s="12">
        <v>43627</v>
      </c>
      <c r="AO463" s="12">
        <v>43531</v>
      </c>
      <c r="AP463" s="12">
        <v>43627</v>
      </c>
      <c r="AQ463" s="9">
        <v>1</v>
      </c>
      <c r="AR463" s="9">
        <f t="shared" si="174"/>
        <v>1</v>
      </c>
      <c r="AS463" s="9">
        <v>1</v>
      </c>
      <c r="AT463" s="9">
        <v>1</v>
      </c>
      <c r="AU463" s="9">
        <v>2</v>
      </c>
      <c r="AV463" s="9">
        <f t="shared" si="175"/>
        <v>1</v>
      </c>
      <c r="AW463" s="12">
        <v>43750</v>
      </c>
      <c r="AX463" s="9">
        <v>3720</v>
      </c>
      <c r="AY463" s="9">
        <v>2340</v>
      </c>
      <c r="AZ463" s="9"/>
      <c r="BA463" s="9">
        <v>2340</v>
      </c>
      <c r="BB463" s="9">
        <v>1146.1619873046875</v>
      </c>
      <c r="BC463" s="9">
        <v>116000</v>
      </c>
      <c r="BD463" s="9"/>
      <c r="BE463" s="9"/>
      <c r="BF463" s="9"/>
      <c r="BG463" s="9">
        <v>3050</v>
      </c>
      <c r="BH463" s="9">
        <v>1770</v>
      </c>
      <c r="BI463" s="9"/>
      <c r="BJ463" s="9">
        <v>115000</v>
      </c>
      <c r="BK463" s="9"/>
      <c r="BL463" s="9"/>
      <c r="BM463" s="9">
        <v>214</v>
      </c>
      <c r="BN463" s="9">
        <v>3090</v>
      </c>
      <c r="BO463" s="9">
        <v>1280</v>
      </c>
      <c r="BP463" s="9">
        <v>1470</v>
      </c>
      <c r="BQ463" s="9">
        <v>115000</v>
      </c>
      <c r="BR463" s="9">
        <v>210</v>
      </c>
      <c r="BS463" s="9">
        <v>60</v>
      </c>
      <c r="BT463" s="9"/>
      <c r="BU463" s="9">
        <v>2520</v>
      </c>
      <c r="BV463" s="9">
        <v>1140</v>
      </c>
      <c r="BW463" s="9">
        <v>960</v>
      </c>
      <c r="BX463" s="9">
        <v>95000</v>
      </c>
      <c r="BY463" s="9">
        <v>230</v>
      </c>
      <c r="BZ463" s="10" t="s">
        <v>527</v>
      </c>
      <c r="CA463" s="9">
        <v>120</v>
      </c>
      <c r="CB463" s="9"/>
      <c r="CC463" s="10">
        <f t="shared" si="176"/>
        <v>2.0415962367612104</v>
      </c>
      <c r="CD463" s="10">
        <f t="shared" si="177"/>
        <v>101.20733481380358</v>
      </c>
      <c r="CE463" s="10">
        <f t="shared" si="185"/>
        <v>236825.16346430039</v>
      </c>
      <c r="CF463" s="10">
        <f t="shared" si="168"/>
        <v>0</v>
      </c>
      <c r="CG463" s="10">
        <f t="shared" si="171"/>
        <v>0</v>
      </c>
      <c r="CH463" s="10">
        <f t="shared" si="172"/>
        <v>6</v>
      </c>
      <c r="CI463" s="9">
        <f t="shared" si="178"/>
        <v>1</v>
      </c>
      <c r="CJ463" s="10">
        <f t="shared" si="173"/>
        <v>10</v>
      </c>
      <c r="CK463" s="10" t="b">
        <f t="shared" si="179"/>
        <v>1</v>
      </c>
      <c r="CL463" s="10" t="b">
        <f t="shared" si="180"/>
        <v>0</v>
      </c>
      <c r="CM463" s="10" t="b">
        <f t="shared" si="181"/>
        <v>0</v>
      </c>
      <c r="CN463" s="9">
        <f t="shared" si="182"/>
        <v>1</v>
      </c>
      <c r="CO463" s="10">
        <f t="shared" ref="CO463:CO489" si="186">(YEAR(AO463)-YEAR(AJ463))*12+MONTH(AO463)-MONTH(AJ463)</f>
        <v>3</v>
      </c>
      <c r="CP463" s="10" t="b">
        <f t="shared" si="183"/>
        <v>1</v>
      </c>
      <c r="CQ463" s="10" t="b">
        <f t="shared" si="184"/>
        <v>0</v>
      </c>
      <c r="CR463" s="10" cm="1">
        <f t="array" ref="CR463">_xlfn.IFS(AND($CI463=0, CK463=FALSE), NA(), AND($CI463=1, CK463=FALSE), 0, CK463=TRUE, 1)</f>
        <v>1</v>
      </c>
      <c r="CS463" s="10" cm="1">
        <f t="array" ref="CS463">_xlfn.IFS(AND($CI463=0, CL463=FALSE), NA(), AND($CI463=1, CL463=FALSE), 0, CL463=TRUE, 1)</f>
        <v>0</v>
      </c>
      <c r="CT463" s="10" cm="1">
        <f t="array" ref="CT463">_xlfn.IFS(AND($CI463=0, CM463=FALSE), NA(), AND($CI463=1, CM463=FALSE), 0, CM463=TRUE, 1)</f>
        <v>0</v>
      </c>
      <c r="CU463" s="10" cm="1">
        <f t="array" ref="CU463">_xlfn.IFS(AND($CN463=0, CP463=FALSE), NA(), AND($CN463=1, CP463=FALSE), 0, CP463=TRUE, 1)</f>
        <v>1</v>
      </c>
      <c r="CV463" s="10" cm="1">
        <f t="array" ref="CV463">_xlfn.IFS(AND($CN463=0, CQ463=FALSE), NA(), AND($CN463=1, CQ463=FALSE), 0, CQ463=TRUE, 1)</f>
        <v>0</v>
      </c>
    </row>
    <row r="464" spans="1:100" ht="15.75" x14ac:dyDescent="0.25">
      <c r="A464" s="8">
        <v>463</v>
      </c>
      <c r="B464" s="9">
        <v>453</v>
      </c>
      <c r="C464" s="10" t="s">
        <v>30</v>
      </c>
      <c r="D464" s="11" t="s">
        <v>135</v>
      </c>
      <c r="E464" s="12">
        <v>14465</v>
      </c>
      <c r="F464" s="13">
        <v>2</v>
      </c>
      <c r="G464" s="9">
        <v>77.451057434082031</v>
      </c>
      <c r="H464" s="12">
        <v>42754</v>
      </c>
      <c r="I464" s="9">
        <v>1</v>
      </c>
      <c r="J464" s="12">
        <v>42754</v>
      </c>
      <c r="K464" s="9">
        <v>1</v>
      </c>
      <c r="L464" s="9">
        <v>1</v>
      </c>
      <c r="M464" s="10" t="s">
        <v>401</v>
      </c>
      <c r="N464" s="9">
        <v>2</v>
      </c>
      <c r="O464" s="10" t="s">
        <v>421</v>
      </c>
      <c r="P464" s="9">
        <v>3</v>
      </c>
      <c r="Q464" s="10" t="s">
        <v>447</v>
      </c>
      <c r="R464" s="12">
        <v>42816</v>
      </c>
      <c r="S464" s="10" t="s">
        <v>146</v>
      </c>
      <c r="T464" s="9"/>
      <c r="U464" s="10" t="s">
        <v>401</v>
      </c>
      <c r="V464" s="10" t="s">
        <v>401</v>
      </c>
      <c r="W464" s="9"/>
      <c r="X464" s="9"/>
      <c r="Y464" s="9">
        <v>2</v>
      </c>
      <c r="Z464" s="14">
        <v>2</v>
      </c>
      <c r="AA464" s="17">
        <v>10.8</v>
      </c>
      <c r="AB464" s="18">
        <v>106</v>
      </c>
      <c r="AC464" s="18">
        <v>11</v>
      </c>
      <c r="AD464" s="9">
        <v>3</v>
      </c>
      <c r="AE464" s="9">
        <v>3</v>
      </c>
      <c r="AF464" s="9">
        <v>2</v>
      </c>
      <c r="AG464" s="9">
        <v>1</v>
      </c>
      <c r="AH464" s="9">
        <v>1</v>
      </c>
      <c r="AI464" s="9">
        <v>0</v>
      </c>
      <c r="AJ464" s="12">
        <v>43186</v>
      </c>
      <c r="AK464" s="9">
        <v>2</v>
      </c>
      <c r="AL464" s="12">
        <v>43200</v>
      </c>
      <c r="AM464" s="9">
        <v>4</v>
      </c>
      <c r="AN464" s="12">
        <v>43200</v>
      </c>
      <c r="AO464" s="12">
        <v>43200</v>
      </c>
      <c r="AP464" s="12">
        <v>43263</v>
      </c>
      <c r="AQ464" s="9">
        <v>1</v>
      </c>
      <c r="AR464" s="9">
        <f t="shared" si="174"/>
        <v>1</v>
      </c>
      <c r="AS464" s="9">
        <v>1</v>
      </c>
      <c r="AT464" s="9">
        <v>1</v>
      </c>
      <c r="AU464" s="9">
        <v>2</v>
      </c>
      <c r="AV464" s="9">
        <f t="shared" si="175"/>
        <v>1</v>
      </c>
      <c r="AW464" s="12">
        <v>43263</v>
      </c>
      <c r="AX464" s="9">
        <v>6610</v>
      </c>
      <c r="AY464" s="9">
        <v>3790</v>
      </c>
      <c r="AZ464" s="9">
        <v>1990</v>
      </c>
      <c r="BA464" s="9">
        <v>3790</v>
      </c>
      <c r="BB464" s="9">
        <v>1990.000244140625</v>
      </c>
      <c r="BC464" s="9">
        <v>415000</v>
      </c>
      <c r="BD464" s="9">
        <v>840</v>
      </c>
      <c r="BE464" s="9">
        <v>130</v>
      </c>
      <c r="BF464" s="9">
        <v>193</v>
      </c>
      <c r="BG464" s="9">
        <v>10470</v>
      </c>
      <c r="BH464" s="9">
        <v>8350</v>
      </c>
      <c r="BI464" s="9">
        <v>1200</v>
      </c>
      <c r="BJ464" s="9">
        <v>313000</v>
      </c>
      <c r="BK464" s="9">
        <v>800</v>
      </c>
      <c r="BL464" s="9">
        <v>120</v>
      </c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10" t="s">
        <v>401</v>
      </c>
      <c r="CA464" s="9"/>
      <c r="CB464" s="9"/>
      <c r="CC464" s="10">
        <f t="shared" si="176"/>
        <v>1.904522379411415</v>
      </c>
      <c r="CD464" s="10">
        <f t="shared" si="177"/>
        <v>208.54268798304412</v>
      </c>
      <c r="CE464" s="10">
        <f t="shared" si="185"/>
        <v>790376.78745573724</v>
      </c>
      <c r="CF464" s="10">
        <f t="shared" si="168"/>
        <v>0</v>
      </c>
      <c r="CG464" s="10">
        <f t="shared" si="171"/>
        <v>0</v>
      </c>
      <c r="CH464" s="10">
        <f t="shared" si="172"/>
        <v>1</v>
      </c>
      <c r="CI464" s="9">
        <f t="shared" si="178"/>
        <v>1</v>
      </c>
      <c r="CJ464" s="10">
        <f t="shared" si="173"/>
        <v>3</v>
      </c>
      <c r="CK464" s="10" t="b">
        <f t="shared" si="179"/>
        <v>0</v>
      </c>
      <c r="CL464" s="10" t="b">
        <f t="shared" si="180"/>
        <v>0</v>
      </c>
      <c r="CM464" s="10" t="b">
        <f t="shared" si="181"/>
        <v>0</v>
      </c>
      <c r="CN464" s="9">
        <f t="shared" si="182"/>
        <v>1</v>
      </c>
      <c r="CO464" s="10">
        <f t="shared" si="186"/>
        <v>1</v>
      </c>
      <c r="CP464" s="10" t="b">
        <f t="shared" si="183"/>
        <v>0</v>
      </c>
      <c r="CQ464" s="10" t="b">
        <f t="shared" si="184"/>
        <v>0</v>
      </c>
      <c r="CR464" s="10" cm="1">
        <f t="array" ref="CR464">_xlfn.IFS(AND($CI464=0, CK464=FALSE), NA(), AND($CI464=1, CK464=FALSE), 0, CK464=TRUE, 1)</f>
        <v>0</v>
      </c>
      <c r="CS464" s="10" cm="1">
        <f t="array" ref="CS464">_xlfn.IFS(AND($CI464=0, CL464=FALSE), NA(), AND($CI464=1, CL464=FALSE), 0, CL464=TRUE, 1)</f>
        <v>0</v>
      </c>
      <c r="CT464" s="10" cm="1">
        <f t="array" ref="CT464">_xlfn.IFS(AND($CI464=0, CM464=FALSE), NA(), AND($CI464=1, CM464=FALSE), 0, CM464=TRUE, 1)</f>
        <v>0</v>
      </c>
      <c r="CU464" s="10" cm="1">
        <f t="array" ref="CU464">_xlfn.IFS(AND($CN464=0, CP464=FALSE), NA(), AND($CN464=1, CP464=FALSE), 0, CP464=TRUE, 1)</f>
        <v>0</v>
      </c>
      <c r="CV464" s="10" cm="1">
        <f t="array" ref="CV464">_xlfn.IFS(AND($CN464=0, CQ464=FALSE), NA(), AND($CN464=1, CQ464=FALSE), 0, CQ464=TRUE, 1)</f>
        <v>0</v>
      </c>
    </row>
    <row r="465" spans="1:100" ht="15.75" x14ac:dyDescent="0.25">
      <c r="A465" s="8">
        <v>464</v>
      </c>
      <c r="B465" s="9">
        <v>206</v>
      </c>
      <c r="C465" s="10" t="s">
        <v>18</v>
      </c>
      <c r="D465" s="11" t="s">
        <v>53</v>
      </c>
      <c r="E465" s="12">
        <v>12229</v>
      </c>
      <c r="F465" s="13">
        <v>1</v>
      </c>
      <c r="G465" s="9">
        <v>83.575630187988281</v>
      </c>
      <c r="H465" s="12">
        <v>42755</v>
      </c>
      <c r="I465" s="9">
        <v>0</v>
      </c>
      <c r="J465" s="12"/>
      <c r="K465" s="9">
        <v>1</v>
      </c>
      <c r="L465" s="9">
        <v>1</v>
      </c>
      <c r="M465" s="10" t="s">
        <v>401</v>
      </c>
      <c r="N465" s="9">
        <v>2</v>
      </c>
      <c r="O465" s="10" t="s">
        <v>422</v>
      </c>
      <c r="P465" s="9">
        <v>2</v>
      </c>
      <c r="Q465" s="10" t="s">
        <v>422</v>
      </c>
      <c r="R465" s="12">
        <v>42736</v>
      </c>
      <c r="S465" s="10" t="s">
        <v>146</v>
      </c>
      <c r="T465" s="9"/>
      <c r="U465" s="10" t="s">
        <v>401</v>
      </c>
      <c r="V465" s="10" t="s">
        <v>401</v>
      </c>
      <c r="W465" s="9"/>
      <c r="X465" s="9"/>
      <c r="Y465" s="9">
        <v>2</v>
      </c>
      <c r="Z465" s="14">
        <v>2</v>
      </c>
      <c r="AA465" s="17">
        <v>13.3</v>
      </c>
      <c r="AB465" s="18">
        <v>12.3</v>
      </c>
      <c r="AC465" s="18">
        <v>13</v>
      </c>
      <c r="AD465" s="9">
        <v>2</v>
      </c>
      <c r="AE465" s="9">
        <v>2</v>
      </c>
      <c r="AF465" s="9">
        <v>2</v>
      </c>
      <c r="AG465" s="9">
        <v>0</v>
      </c>
      <c r="AH465" s="9">
        <v>0</v>
      </c>
      <c r="AI465" s="9">
        <v>1</v>
      </c>
      <c r="AJ465" s="12">
        <v>43217</v>
      </c>
      <c r="AK465" s="9">
        <v>2</v>
      </c>
      <c r="AL465" s="12">
        <v>43248</v>
      </c>
      <c r="AM465" s="9">
        <v>4</v>
      </c>
      <c r="AN465" s="12">
        <v>43255</v>
      </c>
      <c r="AO465" s="12">
        <v>43255</v>
      </c>
      <c r="AP465" s="12">
        <v>43255</v>
      </c>
      <c r="AQ465" s="9">
        <v>1</v>
      </c>
      <c r="AR465" s="9">
        <f t="shared" si="174"/>
        <v>1</v>
      </c>
      <c r="AS465" s="9">
        <v>1</v>
      </c>
      <c r="AT465" s="9">
        <v>2</v>
      </c>
      <c r="AU465" s="9">
        <v>2</v>
      </c>
      <c r="AV465" s="9">
        <f t="shared" si="175"/>
        <v>1</v>
      </c>
      <c r="AW465" s="12">
        <v>43272</v>
      </c>
      <c r="AX465" s="9">
        <v>9680</v>
      </c>
      <c r="AY465" s="9">
        <v>8360</v>
      </c>
      <c r="AZ465" s="9">
        <v>660</v>
      </c>
      <c r="BA465" s="9">
        <v>8360</v>
      </c>
      <c r="BB465" s="9">
        <v>660.00006103515625</v>
      </c>
      <c r="BC465" s="9">
        <v>190000</v>
      </c>
      <c r="BD465" s="9">
        <v>580</v>
      </c>
      <c r="BE465" s="9">
        <v>30</v>
      </c>
      <c r="BF465" s="9">
        <v>148</v>
      </c>
      <c r="BG465" s="9">
        <v>9450</v>
      </c>
      <c r="BH465" s="9">
        <v>8290</v>
      </c>
      <c r="BI465" s="9">
        <v>510</v>
      </c>
      <c r="BJ465" s="9">
        <v>240000</v>
      </c>
      <c r="BK465" s="9">
        <v>560</v>
      </c>
      <c r="BL465" s="9">
        <v>20</v>
      </c>
      <c r="BM465" s="9">
        <v>154</v>
      </c>
      <c r="BN465" s="9">
        <v>9020</v>
      </c>
      <c r="BO465" s="9">
        <v>8070</v>
      </c>
      <c r="BP465" s="9">
        <v>460</v>
      </c>
      <c r="BQ465" s="9">
        <v>240</v>
      </c>
      <c r="BR465" s="9">
        <v>460</v>
      </c>
      <c r="BS465" s="9">
        <v>0</v>
      </c>
      <c r="BT465" s="9">
        <v>196</v>
      </c>
      <c r="BU465" s="9"/>
      <c r="BV465" s="9"/>
      <c r="BW465" s="9"/>
      <c r="BX465" s="9"/>
      <c r="BY465" s="9"/>
      <c r="BZ465" s="10" t="s">
        <v>401</v>
      </c>
      <c r="CA465" s="9"/>
      <c r="CB465" s="9"/>
      <c r="CC465" s="10">
        <f t="shared" si="176"/>
        <v>12.666665495284988</v>
      </c>
      <c r="CD465" s="10">
        <f t="shared" si="177"/>
        <v>287.87876125647699</v>
      </c>
      <c r="CE465" s="10">
        <f t="shared" si="185"/>
        <v>2406666.4441041476</v>
      </c>
      <c r="CF465" s="10">
        <f t="shared" si="168"/>
        <v>0</v>
      </c>
      <c r="CG465" s="10">
        <f t="shared" si="171"/>
        <v>0</v>
      </c>
      <c r="CH465" s="10">
        <f t="shared" si="172"/>
        <v>1</v>
      </c>
      <c r="CI465" s="9">
        <f t="shared" si="178"/>
        <v>1</v>
      </c>
      <c r="CJ465" s="10">
        <f t="shared" si="173"/>
        <v>2</v>
      </c>
      <c r="CK465" s="10" t="b">
        <f t="shared" si="179"/>
        <v>0</v>
      </c>
      <c r="CL465" s="10" t="b">
        <f t="shared" si="180"/>
        <v>0</v>
      </c>
      <c r="CM465" s="10" t="b">
        <f t="shared" si="181"/>
        <v>0</v>
      </c>
      <c r="CN465" s="9">
        <f t="shared" si="182"/>
        <v>1</v>
      </c>
      <c r="CO465" s="10">
        <f t="shared" si="186"/>
        <v>2</v>
      </c>
      <c r="CP465" s="10" t="b">
        <f t="shared" si="183"/>
        <v>0</v>
      </c>
      <c r="CQ465" s="10" t="b">
        <f t="shared" si="184"/>
        <v>0</v>
      </c>
      <c r="CR465" s="10" cm="1">
        <f t="array" ref="CR465">_xlfn.IFS(AND($CI465=0, CK465=FALSE), NA(), AND($CI465=1, CK465=FALSE), 0, CK465=TRUE, 1)</f>
        <v>0</v>
      </c>
      <c r="CS465" s="10" cm="1">
        <f t="array" ref="CS465">_xlfn.IFS(AND($CI465=0, CL465=FALSE), NA(), AND($CI465=1, CL465=FALSE), 0, CL465=TRUE, 1)</f>
        <v>0</v>
      </c>
      <c r="CT465" s="10" cm="1">
        <f t="array" ref="CT465">_xlfn.IFS(AND($CI465=0, CM465=FALSE), NA(), AND($CI465=1, CM465=FALSE), 0, CM465=TRUE, 1)</f>
        <v>0</v>
      </c>
      <c r="CU465" s="10" cm="1">
        <f t="array" ref="CU465">_xlfn.IFS(AND($CN465=0, CP465=FALSE), NA(), AND($CN465=1, CP465=FALSE), 0, CP465=TRUE, 1)</f>
        <v>0</v>
      </c>
      <c r="CV465" s="10" cm="1">
        <f t="array" ref="CV465">_xlfn.IFS(AND($CN465=0, CQ465=FALSE), NA(), AND($CN465=1, CQ465=FALSE), 0, CQ465=TRUE, 1)</f>
        <v>0</v>
      </c>
    </row>
    <row r="466" spans="1:100" x14ac:dyDescent="0.25">
      <c r="A466" s="8">
        <v>465</v>
      </c>
      <c r="B466" s="9">
        <v>468</v>
      </c>
      <c r="C466" s="10" t="s">
        <v>31</v>
      </c>
      <c r="D466" s="11" t="s">
        <v>355</v>
      </c>
      <c r="E466" s="12"/>
      <c r="F466" s="13">
        <v>1</v>
      </c>
      <c r="G466" s="9">
        <v>72</v>
      </c>
      <c r="H466" s="12">
        <v>42765</v>
      </c>
      <c r="I466" s="9">
        <v>0</v>
      </c>
      <c r="J466" s="12"/>
      <c r="K466" s="9">
        <v>1</v>
      </c>
      <c r="L466" s="9">
        <v>1</v>
      </c>
      <c r="M466" s="10" t="s">
        <v>401</v>
      </c>
      <c r="N466" s="9">
        <v>2</v>
      </c>
      <c r="O466" s="10" t="s">
        <v>409</v>
      </c>
      <c r="P466" s="9">
        <v>2</v>
      </c>
      <c r="Q466" s="10" t="s">
        <v>409</v>
      </c>
      <c r="R466" s="12">
        <v>42760</v>
      </c>
      <c r="S466" s="10" t="s">
        <v>145</v>
      </c>
      <c r="T466" s="9"/>
      <c r="U466" s="10" t="s">
        <v>401</v>
      </c>
      <c r="V466" s="10" t="s">
        <v>401</v>
      </c>
      <c r="W466" s="9"/>
      <c r="X466" s="9"/>
      <c r="Y466" s="9">
        <v>2</v>
      </c>
      <c r="Z466" s="19">
        <v>1</v>
      </c>
      <c r="AB466" s="9"/>
      <c r="AC466" s="9"/>
      <c r="AD466" s="9">
        <v>2</v>
      </c>
      <c r="AE466" s="9">
        <v>2</v>
      </c>
      <c r="AF466" s="9">
        <v>1</v>
      </c>
      <c r="AG466" s="9">
        <v>0</v>
      </c>
      <c r="AH466" s="9">
        <v>1</v>
      </c>
      <c r="AI466" s="9">
        <v>1</v>
      </c>
      <c r="AJ466" s="12">
        <v>43187</v>
      </c>
      <c r="AK466" s="9">
        <v>2</v>
      </c>
      <c r="AL466" s="12">
        <v>43228</v>
      </c>
      <c r="AM466" s="9">
        <v>4</v>
      </c>
      <c r="AN466" s="12">
        <v>43255</v>
      </c>
      <c r="AO466" s="12">
        <v>43255</v>
      </c>
      <c r="AP466" s="12">
        <v>43255</v>
      </c>
      <c r="AQ466" s="9">
        <v>1</v>
      </c>
      <c r="AR466" s="9">
        <f t="shared" si="174"/>
        <v>1</v>
      </c>
      <c r="AS466" s="9">
        <v>1</v>
      </c>
      <c r="AT466" s="9">
        <v>2</v>
      </c>
      <c r="AU466" s="9">
        <v>2</v>
      </c>
      <c r="AV466" s="9">
        <f t="shared" si="175"/>
        <v>1</v>
      </c>
      <c r="AW466" s="12">
        <v>43354</v>
      </c>
      <c r="AX466" s="9">
        <v>4030</v>
      </c>
      <c r="AY466" s="9">
        <v>2180</v>
      </c>
      <c r="AZ466" s="9">
        <v>1200</v>
      </c>
      <c r="BA466" s="9">
        <v>2180</v>
      </c>
      <c r="BB466" s="9">
        <v>1200.0001220703125</v>
      </c>
      <c r="BC466" s="9">
        <v>338000</v>
      </c>
      <c r="BD466" s="9">
        <v>460</v>
      </c>
      <c r="BE466" s="9">
        <v>170</v>
      </c>
      <c r="BF466" s="9">
        <v>235</v>
      </c>
      <c r="BG466" s="9">
        <v>6630</v>
      </c>
      <c r="BH466" s="9">
        <v>4780</v>
      </c>
      <c r="BI466" s="9">
        <v>860</v>
      </c>
      <c r="BJ466" s="9">
        <v>638000</v>
      </c>
      <c r="BK466" s="9">
        <v>890</v>
      </c>
      <c r="BL466" s="9">
        <v>70</v>
      </c>
      <c r="BM466" s="9">
        <v>312</v>
      </c>
      <c r="BN466" s="9">
        <v>7150</v>
      </c>
      <c r="BO466" s="9">
        <v>5640</v>
      </c>
      <c r="BP466" s="9">
        <v>730</v>
      </c>
      <c r="BQ466" s="9">
        <v>280000</v>
      </c>
      <c r="BR466" s="9">
        <v>700</v>
      </c>
      <c r="BS466" s="9">
        <v>50</v>
      </c>
      <c r="BT466" s="9">
        <v>260</v>
      </c>
      <c r="BU466" s="9">
        <v>6840</v>
      </c>
      <c r="BV466" s="9">
        <v>5190</v>
      </c>
      <c r="BW466" s="9">
        <v>860</v>
      </c>
      <c r="BX466" s="9">
        <v>336000</v>
      </c>
      <c r="BY466" s="9">
        <v>720</v>
      </c>
      <c r="BZ466" s="10" t="s">
        <v>337</v>
      </c>
      <c r="CA466" s="9">
        <v>50</v>
      </c>
      <c r="CB466" s="9">
        <v>542</v>
      </c>
      <c r="CC466" s="10">
        <f t="shared" si="176"/>
        <v>1.8166664818657956</v>
      </c>
      <c r="CD466" s="10">
        <f t="shared" si="177"/>
        <v>281.66663801405457</v>
      </c>
      <c r="CE466" s="10">
        <f t="shared" si="185"/>
        <v>614033.27087063889</v>
      </c>
      <c r="CF466" s="10">
        <f t="shared" si="168"/>
        <v>0</v>
      </c>
      <c r="CG466" s="10">
        <f t="shared" si="171"/>
        <v>0</v>
      </c>
      <c r="CH466" s="10">
        <f t="shared" si="172"/>
        <v>2</v>
      </c>
      <c r="CI466" s="9">
        <f t="shared" si="178"/>
        <v>1</v>
      </c>
      <c r="CJ466" s="10">
        <f t="shared" si="173"/>
        <v>6</v>
      </c>
      <c r="CK466" s="10" t="b">
        <f t="shared" si="179"/>
        <v>1</v>
      </c>
      <c r="CL466" s="10" t="b">
        <f t="shared" si="180"/>
        <v>0</v>
      </c>
      <c r="CM466" s="10" t="b">
        <f t="shared" si="181"/>
        <v>0</v>
      </c>
      <c r="CN466" s="9">
        <f t="shared" si="182"/>
        <v>1</v>
      </c>
      <c r="CO466" s="10">
        <f t="shared" si="186"/>
        <v>3</v>
      </c>
      <c r="CP466" s="10" t="b">
        <f t="shared" si="183"/>
        <v>1</v>
      </c>
      <c r="CQ466" s="10" t="b">
        <f t="shared" si="184"/>
        <v>0</v>
      </c>
      <c r="CR466" s="10" cm="1">
        <f t="array" ref="CR466">_xlfn.IFS(AND($CI466=0, CK466=FALSE), NA(), AND($CI466=1, CK466=FALSE), 0, CK466=TRUE, 1)</f>
        <v>1</v>
      </c>
      <c r="CS466" s="10" cm="1">
        <f t="array" ref="CS466">_xlfn.IFS(AND($CI466=0, CL466=FALSE), NA(), AND($CI466=1, CL466=FALSE), 0, CL466=TRUE, 1)</f>
        <v>0</v>
      </c>
      <c r="CT466" s="10" cm="1">
        <f t="array" ref="CT466">_xlfn.IFS(AND($CI466=0, CM466=FALSE), NA(), AND($CI466=1, CM466=FALSE), 0, CM466=TRUE, 1)</f>
        <v>0</v>
      </c>
      <c r="CU466" s="10" cm="1">
        <f t="array" ref="CU466">_xlfn.IFS(AND($CN466=0, CP466=FALSE), NA(), AND($CN466=1, CP466=FALSE), 0, CP466=TRUE, 1)</f>
        <v>1</v>
      </c>
      <c r="CV466" s="10" cm="1">
        <f t="array" ref="CV466">_xlfn.IFS(AND($CN466=0, CQ466=FALSE), NA(), AND($CN466=1, CQ466=FALSE), 0, CQ466=TRUE, 1)</f>
        <v>0</v>
      </c>
    </row>
    <row r="467" spans="1:100" x14ac:dyDescent="0.25">
      <c r="A467" s="8">
        <v>466</v>
      </c>
      <c r="B467" s="9">
        <v>119</v>
      </c>
      <c r="C467" s="10" t="s">
        <v>12</v>
      </c>
      <c r="D467" s="11" t="s">
        <v>140</v>
      </c>
      <c r="E467" s="12">
        <v>9944</v>
      </c>
      <c r="F467" s="13">
        <v>1</v>
      </c>
      <c r="G467" s="9"/>
      <c r="H467" s="12">
        <v>42768</v>
      </c>
      <c r="I467" s="9">
        <v>1</v>
      </c>
      <c r="J467" s="12">
        <v>42809</v>
      </c>
      <c r="K467" s="9">
        <v>0</v>
      </c>
      <c r="L467" s="9">
        <v>1</v>
      </c>
      <c r="M467" s="10" t="s">
        <v>401</v>
      </c>
      <c r="N467" s="9">
        <v>2</v>
      </c>
      <c r="O467" s="10" t="s">
        <v>421</v>
      </c>
      <c r="P467" s="9">
        <v>2</v>
      </c>
      <c r="Q467" s="10" t="s">
        <v>421</v>
      </c>
      <c r="R467" s="12">
        <v>42958</v>
      </c>
      <c r="S467" s="10" t="s">
        <v>146</v>
      </c>
      <c r="T467" s="9"/>
      <c r="U467" s="10" t="s">
        <v>401</v>
      </c>
      <c r="V467" s="10" t="s">
        <v>401</v>
      </c>
      <c r="W467" s="9"/>
      <c r="X467" s="9"/>
      <c r="Y467" s="9">
        <v>2</v>
      </c>
      <c r="Z467" s="19">
        <v>2</v>
      </c>
      <c r="AB467" s="9"/>
      <c r="AC467" s="9"/>
      <c r="AD467" s="9">
        <v>3</v>
      </c>
      <c r="AE467" s="9">
        <v>3</v>
      </c>
      <c r="AF467" s="9">
        <v>2</v>
      </c>
      <c r="AG467" s="9">
        <v>1</v>
      </c>
      <c r="AH467" s="9">
        <v>1</v>
      </c>
      <c r="AI467" s="9">
        <v>0</v>
      </c>
      <c r="AJ467" s="12">
        <v>43444</v>
      </c>
      <c r="AK467" s="9">
        <v>2</v>
      </c>
      <c r="AL467" s="12">
        <v>43532</v>
      </c>
      <c r="AM467" s="9">
        <v>2</v>
      </c>
      <c r="AN467" s="12">
        <v>43501</v>
      </c>
      <c r="AO467" s="12">
        <v>43643</v>
      </c>
      <c r="AP467" s="12">
        <v>43643</v>
      </c>
      <c r="AQ467" s="9">
        <v>1</v>
      </c>
      <c r="AR467" s="9">
        <f t="shared" si="174"/>
        <v>1</v>
      </c>
      <c r="AS467" s="9">
        <v>1</v>
      </c>
      <c r="AT467" s="9">
        <v>2</v>
      </c>
      <c r="AU467" s="9">
        <v>1</v>
      </c>
      <c r="AV467" s="9">
        <f t="shared" si="175"/>
        <v>0</v>
      </c>
      <c r="AW467" s="12">
        <v>43866</v>
      </c>
      <c r="AX467" s="9">
        <v>5240</v>
      </c>
      <c r="AY467" s="9">
        <v>2910</v>
      </c>
      <c r="AZ467" s="9">
        <v>1690</v>
      </c>
      <c r="BA467" s="9">
        <v>2910</v>
      </c>
      <c r="BB467" s="9">
        <v>1689.999755859375</v>
      </c>
      <c r="BC467" s="9">
        <v>322000</v>
      </c>
      <c r="BD467" s="9">
        <v>490</v>
      </c>
      <c r="BE467" s="9">
        <v>130</v>
      </c>
      <c r="BF467" s="9"/>
      <c r="BG467" s="9">
        <v>6490</v>
      </c>
      <c r="BH467" s="9">
        <v>4090</v>
      </c>
      <c r="BI467" s="9">
        <v>1470</v>
      </c>
      <c r="BJ467" s="9">
        <v>362000</v>
      </c>
      <c r="BK467" s="9">
        <v>700</v>
      </c>
      <c r="BL467" s="9">
        <v>180</v>
      </c>
      <c r="BM467" s="9"/>
      <c r="BN467" s="9">
        <v>7110</v>
      </c>
      <c r="BO467" s="9">
        <v>4450</v>
      </c>
      <c r="BP467" s="9">
        <v>1630</v>
      </c>
      <c r="BQ467" s="9">
        <v>365000</v>
      </c>
      <c r="BR467" s="9">
        <v>810</v>
      </c>
      <c r="BS467" s="9">
        <v>150</v>
      </c>
      <c r="BT467" s="9"/>
      <c r="BU467" s="9">
        <v>7200</v>
      </c>
      <c r="BV467" s="9">
        <v>4340</v>
      </c>
      <c r="BW467" s="9">
        <v>1810</v>
      </c>
      <c r="BX467" s="9">
        <v>443000</v>
      </c>
      <c r="BY467" s="9">
        <v>780</v>
      </c>
      <c r="BZ467" s="10" t="s">
        <v>534</v>
      </c>
      <c r="CA467" s="9">
        <v>220</v>
      </c>
      <c r="CB467" s="9"/>
      <c r="CC467" s="10">
        <f t="shared" si="176"/>
        <v>1.721893739872316</v>
      </c>
      <c r="CD467" s="10">
        <f t="shared" si="177"/>
        <v>190.53257190339716</v>
      </c>
      <c r="CE467" s="10">
        <f t="shared" si="185"/>
        <v>554449.78423888574</v>
      </c>
      <c r="CF467" s="10">
        <f t="shared" si="168"/>
        <v>1</v>
      </c>
      <c r="CG467" s="10">
        <f t="shared" si="171"/>
        <v>1</v>
      </c>
      <c r="CH467" s="10">
        <f t="shared" si="172"/>
        <v>3</v>
      </c>
      <c r="CI467" s="9">
        <f t="shared" si="178"/>
        <v>0</v>
      </c>
      <c r="CJ467" s="10">
        <f t="shared" si="173"/>
        <v>14</v>
      </c>
      <c r="CK467" s="10" t="b">
        <f t="shared" si="179"/>
        <v>1</v>
      </c>
      <c r="CL467" s="10" t="b">
        <f t="shared" si="180"/>
        <v>0</v>
      </c>
      <c r="CM467" s="10" t="b">
        <f t="shared" si="181"/>
        <v>0</v>
      </c>
      <c r="CN467" s="9">
        <f t="shared" si="182"/>
        <v>1</v>
      </c>
      <c r="CO467" s="10">
        <f t="shared" si="186"/>
        <v>6</v>
      </c>
      <c r="CP467" s="10" t="b">
        <f t="shared" si="183"/>
        <v>1</v>
      </c>
      <c r="CQ467" s="10" t="b">
        <f t="shared" si="184"/>
        <v>0</v>
      </c>
      <c r="CR467" s="10" cm="1">
        <f t="array" ref="CR467">_xlfn.IFS(AND($CI467=0, CK467=FALSE), NA(), AND($CI467=1, CK467=FALSE), 0, CK467=TRUE, 1)</f>
        <v>1</v>
      </c>
      <c r="CS467" s="10" t="e" cm="1">
        <f t="array" ref="CS467">_xlfn.IFS(AND($CI467=0, CL467=FALSE), NA(), AND($CI467=1, CL467=FALSE), 0, CL467=TRUE, 1)</f>
        <v>#N/A</v>
      </c>
      <c r="CT467" s="10" t="e" cm="1">
        <f t="array" ref="CT467">_xlfn.IFS(AND($CI467=0, CM467=FALSE), NA(), AND($CI467=1, CM467=FALSE), 0, CM467=TRUE, 1)</f>
        <v>#N/A</v>
      </c>
      <c r="CU467" s="10" cm="1">
        <f t="array" ref="CU467">_xlfn.IFS(AND($CN467=0, CP467=FALSE), NA(), AND($CN467=1, CP467=FALSE), 0, CP467=TRUE, 1)</f>
        <v>1</v>
      </c>
      <c r="CV467" s="10" cm="1">
        <f t="array" ref="CV467">_xlfn.IFS(AND($CN467=0, CQ467=FALSE), NA(), AND($CN467=1, CQ467=FALSE), 0, CQ467=TRUE, 1)</f>
        <v>0</v>
      </c>
    </row>
    <row r="468" spans="1:100" ht="15.75" x14ac:dyDescent="0.25">
      <c r="A468" s="8">
        <v>467</v>
      </c>
      <c r="B468" s="9">
        <v>451</v>
      </c>
      <c r="C468" s="10" t="s">
        <v>30</v>
      </c>
      <c r="D468" s="11" t="s">
        <v>85</v>
      </c>
      <c r="E468" s="12">
        <v>12640</v>
      </c>
      <c r="F468" s="13">
        <v>2</v>
      </c>
      <c r="G468" s="9">
        <v>82.48870849609375</v>
      </c>
      <c r="H468" s="12">
        <v>42769</v>
      </c>
      <c r="I468" s="9">
        <v>1</v>
      </c>
      <c r="J468" s="12">
        <v>42769</v>
      </c>
      <c r="K468" s="9">
        <v>1</v>
      </c>
      <c r="L468" s="9">
        <v>1</v>
      </c>
      <c r="M468" s="10" t="s">
        <v>401</v>
      </c>
      <c r="N468" s="9">
        <v>2</v>
      </c>
      <c r="O468" s="10" t="s">
        <v>409</v>
      </c>
      <c r="P468" s="9">
        <v>2</v>
      </c>
      <c r="Q468" s="10" t="s">
        <v>409</v>
      </c>
      <c r="R468" s="12">
        <v>42822</v>
      </c>
      <c r="S468" s="10" t="s">
        <v>146</v>
      </c>
      <c r="T468" s="9"/>
      <c r="U468" s="10" t="s">
        <v>401</v>
      </c>
      <c r="V468" s="10" t="s">
        <v>401</v>
      </c>
      <c r="W468" s="9"/>
      <c r="X468" s="9"/>
      <c r="Y468" s="9">
        <v>2</v>
      </c>
      <c r="Z468" s="14">
        <v>2</v>
      </c>
      <c r="AA468" s="17">
        <v>13.5</v>
      </c>
      <c r="AB468" s="18">
        <v>95</v>
      </c>
      <c r="AC468" s="18">
        <v>10</v>
      </c>
      <c r="AD468" s="9">
        <v>2</v>
      </c>
      <c r="AE468" s="9">
        <v>2</v>
      </c>
      <c r="AF468" s="9">
        <v>1</v>
      </c>
      <c r="AG468" s="9">
        <v>0</v>
      </c>
      <c r="AH468" s="9">
        <v>1</v>
      </c>
      <c r="AI468" s="9">
        <v>0</v>
      </c>
      <c r="AJ468" s="12">
        <v>43161</v>
      </c>
      <c r="AK468" s="9">
        <v>2</v>
      </c>
      <c r="AL468" s="12">
        <v>43255</v>
      </c>
      <c r="AM468" s="9">
        <v>3</v>
      </c>
      <c r="AN468" s="12">
        <v>43241</v>
      </c>
      <c r="AO468" s="12">
        <v>43269</v>
      </c>
      <c r="AP468" s="12">
        <v>43269</v>
      </c>
      <c r="AQ468" s="9">
        <v>1</v>
      </c>
      <c r="AR468" s="9">
        <f t="shared" si="174"/>
        <v>1</v>
      </c>
      <c r="AS468" s="9">
        <v>1</v>
      </c>
      <c r="AT468" s="9">
        <v>2</v>
      </c>
      <c r="AU468" s="9">
        <v>2</v>
      </c>
      <c r="AV468" s="9">
        <f t="shared" si="175"/>
        <v>1</v>
      </c>
      <c r="AW468" s="12">
        <v>43269</v>
      </c>
      <c r="AX468" s="9">
        <v>4970</v>
      </c>
      <c r="AY468" s="9">
        <v>2550</v>
      </c>
      <c r="AZ468" s="9">
        <v>1510</v>
      </c>
      <c r="BA468" s="9">
        <v>2550</v>
      </c>
      <c r="BB468" s="9">
        <v>1509.999755859375</v>
      </c>
      <c r="BC468" s="9">
        <v>278000</v>
      </c>
      <c r="BD468" s="9"/>
      <c r="BE468" s="9"/>
      <c r="BF468" s="9">
        <v>182</v>
      </c>
      <c r="BG468" s="9">
        <v>4410</v>
      </c>
      <c r="BH468" s="9">
        <v>3410</v>
      </c>
      <c r="BI468" s="9">
        <v>990</v>
      </c>
      <c r="BJ468" s="9">
        <v>294000</v>
      </c>
      <c r="BK468" s="9"/>
      <c r="BL468" s="9"/>
      <c r="BM468" s="9"/>
      <c r="BN468" s="9">
        <v>6020</v>
      </c>
      <c r="BO468" s="9">
        <v>4150</v>
      </c>
      <c r="BP468" s="9">
        <v>1070</v>
      </c>
      <c r="BQ468" s="9">
        <v>317000</v>
      </c>
      <c r="BR468" s="9"/>
      <c r="BS468" s="9"/>
      <c r="BT468" s="9"/>
      <c r="BU468" s="9">
        <v>6950</v>
      </c>
      <c r="BV468" s="9">
        <v>4660</v>
      </c>
      <c r="BW468" s="9">
        <v>1240</v>
      </c>
      <c r="BX468" s="9">
        <v>320000</v>
      </c>
      <c r="BY468" s="9"/>
      <c r="BZ468" s="10" t="s">
        <v>401</v>
      </c>
      <c r="CA468" s="9"/>
      <c r="CB468" s="9"/>
      <c r="CC468" s="10">
        <f t="shared" si="176"/>
        <v>1.6887419948943883</v>
      </c>
      <c r="CD468" s="10">
        <f t="shared" si="177"/>
        <v>184.10599003162349</v>
      </c>
      <c r="CE468" s="10">
        <f t="shared" si="185"/>
        <v>469470.27458063996</v>
      </c>
      <c r="CF468" s="10">
        <f t="shared" si="168"/>
        <v>1</v>
      </c>
      <c r="CG468" s="10">
        <f t="shared" si="171"/>
        <v>0</v>
      </c>
      <c r="CH468" s="10">
        <f t="shared" si="172"/>
        <v>3</v>
      </c>
      <c r="CI468" s="9">
        <f t="shared" si="178"/>
        <v>1</v>
      </c>
      <c r="CJ468" s="10">
        <f t="shared" si="173"/>
        <v>3</v>
      </c>
      <c r="CK468" s="10" t="b">
        <f t="shared" si="179"/>
        <v>0</v>
      </c>
      <c r="CL468" s="10" t="b">
        <f t="shared" si="180"/>
        <v>0</v>
      </c>
      <c r="CM468" s="10" t="b">
        <f t="shared" si="181"/>
        <v>0</v>
      </c>
      <c r="CN468" s="9">
        <f t="shared" si="182"/>
        <v>1</v>
      </c>
      <c r="CO468" s="10">
        <f t="shared" si="186"/>
        <v>3</v>
      </c>
      <c r="CP468" s="10" t="b">
        <f t="shared" si="183"/>
        <v>1</v>
      </c>
      <c r="CQ468" s="10" t="b">
        <f t="shared" si="184"/>
        <v>0</v>
      </c>
      <c r="CR468" s="10" cm="1">
        <f t="array" ref="CR468">_xlfn.IFS(AND($CI468=0, CK468=FALSE), NA(), AND($CI468=1, CK468=FALSE), 0, CK468=TRUE, 1)</f>
        <v>0</v>
      </c>
      <c r="CS468" s="10" cm="1">
        <f t="array" ref="CS468">_xlfn.IFS(AND($CI468=0, CL468=FALSE), NA(), AND($CI468=1, CL468=FALSE), 0, CL468=TRUE, 1)</f>
        <v>0</v>
      </c>
      <c r="CT468" s="10" cm="1">
        <f t="array" ref="CT468">_xlfn.IFS(AND($CI468=0, CM468=FALSE), NA(), AND($CI468=1, CM468=FALSE), 0, CM468=TRUE, 1)</f>
        <v>0</v>
      </c>
      <c r="CU468" s="10" cm="1">
        <f t="array" ref="CU468">_xlfn.IFS(AND($CN468=0, CP468=FALSE), NA(), AND($CN468=1, CP468=FALSE), 0, CP468=TRUE, 1)</f>
        <v>1</v>
      </c>
      <c r="CV468" s="10" cm="1">
        <f t="array" ref="CV468">_xlfn.IFS(AND($CN468=0, CQ468=FALSE), NA(), AND($CN468=1, CQ468=FALSE), 0, CQ468=TRUE, 1)</f>
        <v>0</v>
      </c>
    </row>
    <row r="469" spans="1:100" ht="15.75" x14ac:dyDescent="0.25">
      <c r="A469" s="8">
        <v>468</v>
      </c>
      <c r="B469" s="9">
        <v>458</v>
      </c>
      <c r="C469" s="10" t="s">
        <v>30</v>
      </c>
      <c r="D469" s="11" t="s">
        <v>54</v>
      </c>
      <c r="E469" s="12">
        <v>15019</v>
      </c>
      <c r="F469" s="13">
        <v>1</v>
      </c>
      <c r="G469" s="9">
        <v>75.986312866210938</v>
      </c>
      <c r="H469" s="12">
        <v>42773</v>
      </c>
      <c r="I469" s="9">
        <v>1</v>
      </c>
      <c r="J469" s="12">
        <v>42821</v>
      </c>
      <c r="K469" s="9">
        <v>1</v>
      </c>
      <c r="L469" s="9">
        <v>1</v>
      </c>
      <c r="M469" s="10" t="s">
        <v>401</v>
      </c>
      <c r="N469" s="9">
        <v>2</v>
      </c>
      <c r="O469" s="10" t="s">
        <v>423</v>
      </c>
      <c r="P469" s="9">
        <v>2</v>
      </c>
      <c r="Q469" s="10" t="s">
        <v>145</v>
      </c>
      <c r="R469" s="12">
        <v>42773</v>
      </c>
      <c r="S469" s="10" t="s">
        <v>145</v>
      </c>
      <c r="T469" s="9"/>
      <c r="U469" s="10" t="s">
        <v>401</v>
      </c>
      <c r="V469" s="10" t="s">
        <v>401</v>
      </c>
      <c r="W469" s="9"/>
      <c r="X469" s="9"/>
      <c r="Y469" s="9">
        <v>2</v>
      </c>
      <c r="Z469" s="14">
        <v>1</v>
      </c>
      <c r="AA469" s="17">
        <v>9.8000000000000007</v>
      </c>
      <c r="AB469" s="18">
        <v>99</v>
      </c>
      <c r="AC469" s="18">
        <v>8</v>
      </c>
      <c r="AD469" s="9">
        <v>2</v>
      </c>
      <c r="AE469" s="9">
        <v>2</v>
      </c>
      <c r="AF469" s="9">
        <v>1</v>
      </c>
      <c r="AG469" s="9">
        <v>0</v>
      </c>
      <c r="AH469" s="9">
        <v>1</v>
      </c>
      <c r="AI469" s="9">
        <v>0</v>
      </c>
      <c r="AJ469" s="12">
        <v>43187</v>
      </c>
      <c r="AK469" s="9">
        <v>2</v>
      </c>
      <c r="AL469" s="12">
        <v>44240</v>
      </c>
      <c r="AM469" s="9">
        <v>2</v>
      </c>
      <c r="AN469" s="12">
        <v>43244</v>
      </c>
      <c r="AO469" s="12">
        <v>44244</v>
      </c>
      <c r="AP469" s="12">
        <v>44244</v>
      </c>
      <c r="AQ469" s="9">
        <v>1</v>
      </c>
      <c r="AR469" s="9">
        <f t="shared" si="174"/>
        <v>1</v>
      </c>
      <c r="AS469" s="9">
        <v>1</v>
      </c>
      <c r="AT469" s="9">
        <v>2</v>
      </c>
      <c r="AU469" s="9">
        <v>2</v>
      </c>
      <c r="AV469" s="9">
        <f t="shared" si="175"/>
        <v>1</v>
      </c>
      <c r="AW469" s="12">
        <v>44331</v>
      </c>
      <c r="AX469" s="9">
        <v>3700</v>
      </c>
      <c r="AY469" s="9">
        <v>1710</v>
      </c>
      <c r="AZ469" s="9">
        <v>1190</v>
      </c>
      <c r="BA469" s="9">
        <v>1710</v>
      </c>
      <c r="BB469" s="9">
        <v>1189.999755859375</v>
      </c>
      <c r="BC469" s="9">
        <v>219000</v>
      </c>
      <c r="BD469" s="9"/>
      <c r="BE469" s="9"/>
      <c r="BF469" s="9">
        <v>165</v>
      </c>
      <c r="BG469" s="9">
        <v>6650</v>
      </c>
      <c r="BH469" s="9">
        <v>3720</v>
      </c>
      <c r="BI469" s="9">
        <v>1540</v>
      </c>
      <c r="BJ469" s="9">
        <v>501000</v>
      </c>
      <c r="BK469" s="9"/>
      <c r="BL469" s="9"/>
      <c r="BM469" s="9"/>
      <c r="BN469" s="9">
        <v>6800</v>
      </c>
      <c r="BO469" s="9">
        <v>4310</v>
      </c>
      <c r="BP469" s="9">
        <v>1680</v>
      </c>
      <c r="BQ469" s="9">
        <v>424000</v>
      </c>
      <c r="BR469" s="9"/>
      <c r="BS469" s="9"/>
      <c r="BT469" s="9"/>
      <c r="BU469" s="9">
        <v>4890</v>
      </c>
      <c r="BV469" s="9">
        <v>3430</v>
      </c>
      <c r="BW469" s="9">
        <v>1340</v>
      </c>
      <c r="BX469" s="9">
        <v>451000</v>
      </c>
      <c r="BY469" s="9"/>
      <c r="BZ469" s="10" t="s">
        <v>401</v>
      </c>
      <c r="CA469" s="9"/>
      <c r="CB469" s="9"/>
      <c r="CC469" s="10">
        <f t="shared" si="176"/>
        <v>1.4369750847260465</v>
      </c>
      <c r="CD469" s="10">
        <f t="shared" si="177"/>
        <v>184.03365120175684</v>
      </c>
      <c r="CE469" s="10">
        <f t="shared" si="185"/>
        <v>314697.54355500417</v>
      </c>
      <c r="CF469" s="10">
        <f t="shared" si="168"/>
        <v>1</v>
      </c>
      <c r="CG469" s="10">
        <f t="shared" si="171"/>
        <v>1</v>
      </c>
      <c r="CH469" s="10">
        <f t="shared" si="172"/>
        <v>35</v>
      </c>
      <c r="CI469" s="9">
        <f t="shared" si="178"/>
        <v>1</v>
      </c>
      <c r="CJ469" s="10">
        <f t="shared" si="173"/>
        <v>38</v>
      </c>
      <c r="CK469" s="10" t="b">
        <f t="shared" si="179"/>
        <v>1</v>
      </c>
      <c r="CL469" s="10" t="b">
        <f t="shared" si="180"/>
        <v>1</v>
      </c>
      <c r="CM469" s="10" t="b">
        <f t="shared" si="181"/>
        <v>1</v>
      </c>
      <c r="CN469" s="9">
        <f t="shared" si="182"/>
        <v>1</v>
      </c>
      <c r="CO469" s="10">
        <f t="shared" si="186"/>
        <v>35</v>
      </c>
      <c r="CP469" s="10" t="b">
        <f t="shared" si="183"/>
        <v>1</v>
      </c>
      <c r="CQ469" s="10" t="b">
        <f t="shared" si="184"/>
        <v>1</v>
      </c>
      <c r="CR469" s="10" cm="1">
        <f t="array" ref="CR469">_xlfn.IFS(AND($CI469=0, CK469=FALSE), NA(), AND($CI469=1, CK469=FALSE), 0, CK469=TRUE, 1)</f>
        <v>1</v>
      </c>
      <c r="CS469" s="10" cm="1">
        <f t="array" ref="CS469">_xlfn.IFS(AND($CI469=0, CL469=FALSE), NA(), AND($CI469=1, CL469=FALSE), 0, CL469=TRUE, 1)</f>
        <v>1</v>
      </c>
      <c r="CT469" s="10" cm="1">
        <f t="array" ref="CT469">_xlfn.IFS(AND($CI469=0, CM469=FALSE), NA(), AND($CI469=1, CM469=FALSE), 0, CM469=TRUE, 1)</f>
        <v>1</v>
      </c>
      <c r="CU469" s="10" cm="1">
        <f t="array" ref="CU469">_xlfn.IFS(AND($CN469=0, CP469=FALSE), NA(), AND($CN469=1, CP469=FALSE), 0, CP469=TRUE, 1)</f>
        <v>1</v>
      </c>
      <c r="CV469" s="10" cm="1">
        <f t="array" ref="CV469">_xlfn.IFS(AND($CN469=0, CQ469=FALSE), NA(), AND($CN469=1, CQ469=FALSE), 0, CQ469=TRUE, 1)</f>
        <v>1</v>
      </c>
    </row>
    <row r="470" spans="1:100" ht="15.75" x14ac:dyDescent="0.25">
      <c r="A470" s="8">
        <v>469</v>
      </c>
      <c r="B470" s="9">
        <v>305</v>
      </c>
      <c r="C470" s="10" t="s">
        <v>24</v>
      </c>
      <c r="D470" s="11" t="s">
        <v>262</v>
      </c>
      <c r="E470" s="12"/>
      <c r="F470" s="13">
        <v>2</v>
      </c>
      <c r="G470" s="9">
        <v>78</v>
      </c>
      <c r="H470" s="12">
        <v>42779</v>
      </c>
      <c r="I470" s="9">
        <v>1</v>
      </c>
      <c r="J470" s="12">
        <v>42779</v>
      </c>
      <c r="K470" s="9">
        <v>0</v>
      </c>
      <c r="L470" s="9">
        <v>1</v>
      </c>
      <c r="M470" s="10" t="s">
        <v>401</v>
      </c>
      <c r="N470" s="9">
        <v>2</v>
      </c>
      <c r="O470" s="10" t="s">
        <v>409</v>
      </c>
      <c r="P470" s="9">
        <v>2</v>
      </c>
      <c r="Q470" s="10" t="s">
        <v>409</v>
      </c>
      <c r="R470" s="12">
        <v>42997</v>
      </c>
      <c r="S470" s="10" t="s">
        <v>146</v>
      </c>
      <c r="T470" s="9"/>
      <c r="U470" s="10" t="s">
        <v>401</v>
      </c>
      <c r="V470" s="10" t="s">
        <v>401</v>
      </c>
      <c r="W470" s="9"/>
      <c r="X470" s="9"/>
      <c r="Y470" s="9">
        <v>2</v>
      </c>
      <c r="Z470" s="14">
        <v>2</v>
      </c>
      <c r="AA470" s="21">
        <v>10.1</v>
      </c>
      <c r="AB470" s="22">
        <v>108</v>
      </c>
      <c r="AC470" s="22">
        <v>15</v>
      </c>
      <c r="AD470" s="9">
        <v>2</v>
      </c>
      <c r="AE470" s="9">
        <v>2</v>
      </c>
      <c r="AF470" s="9">
        <v>1</v>
      </c>
      <c r="AG470" s="9">
        <v>1</v>
      </c>
      <c r="AH470" s="9">
        <v>1</v>
      </c>
      <c r="AI470" s="9">
        <v>0</v>
      </c>
      <c r="AJ470" s="12">
        <v>43300</v>
      </c>
      <c r="AK470" s="9">
        <v>2</v>
      </c>
      <c r="AL470" s="12">
        <v>43641</v>
      </c>
      <c r="AM470" s="9">
        <v>3</v>
      </c>
      <c r="AN470" s="12">
        <v>43494</v>
      </c>
      <c r="AO470" s="12">
        <v>43791</v>
      </c>
      <c r="AP470" s="12">
        <v>43791</v>
      </c>
      <c r="AQ470" s="9">
        <v>1</v>
      </c>
      <c r="AR470" s="9">
        <f t="shared" si="174"/>
        <v>1</v>
      </c>
      <c r="AS470" s="9">
        <v>1</v>
      </c>
      <c r="AT470" s="9">
        <v>2</v>
      </c>
      <c r="AU470" s="9">
        <v>2</v>
      </c>
      <c r="AV470" s="9">
        <f t="shared" si="175"/>
        <v>1</v>
      </c>
      <c r="AW470" s="12">
        <v>43791</v>
      </c>
      <c r="AX470" s="9">
        <v>8090</v>
      </c>
      <c r="AY470" s="9">
        <v>5650</v>
      </c>
      <c r="AZ470" s="9">
        <v>1890</v>
      </c>
      <c r="BA470" s="9">
        <v>5650</v>
      </c>
      <c r="BB470" s="9">
        <v>1889.9998779296875</v>
      </c>
      <c r="BC470" s="9">
        <v>175000</v>
      </c>
      <c r="BD470" s="9">
        <v>610</v>
      </c>
      <c r="BE470" s="9">
        <v>160</v>
      </c>
      <c r="BF470" s="9"/>
      <c r="BG470" s="9">
        <v>8400</v>
      </c>
      <c r="BH470" s="9">
        <v>5376</v>
      </c>
      <c r="BI470" s="9"/>
      <c r="BJ470" s="9">
        <v>212000</v>
      </c>
      <c r="BK470" s="9"/>
      <c r="BL470" s="9"/>
      <c r="BM470" s="9"/>
      <c r="BN470" s="9">
        <v>8290</v>
      </c>
      <c r="BO470" s="9">
        <v>5870</v>
      </c>
      <c r="BP470" s="9">
        <v>1640</v>
      </c>
      <c r="BQ470" s="9">
        <v>182000</v>
      </c>
      <c r="BR470" s="9">
        <v>640</v>
      </c>
      <c r="BS470" s="9">
        <v>100</v>
      </c>
      <c r="BT470" s="9">
        <v>453</v>
      </c>
      <c r="BU470" s="9">
        <v>7910</v>
      </c>
      <c r="BV470" s="9">
        <v>5670</v>
      </c>
      <c r="BW470" s="9">
        <v>1470</v>
      </c>
      <c r="BX470" s="9">
        <v>157000</v>
      </c>
      <c r="BY470" s="9">
        <v>610</v>
      </c>
      <c r="BZ470" s="10" t="s">
        <v>563</v>
      </c>
      <c r="CA470" s="9">
        <v>130</v>
      </c>
      <c r="CB470" s="9">
        <v>476</v>
      </c>
      <c r="CC470" s="10">
        <f t="shared" si="176"/>
        <v>2.9894181824969372</v>
      </c>
      <c r="CD470" s="10">
        <f t="shared" si="177"/>
        <v>92.592598572913985</v>
      </c>
      <c r="CE470" s="10">
        <f t="shared" si="185"/>
        <v>523148.18193696404</v>
      </c>
      <c r="CF470" s="10">
        <f t="shared" si="168"/>
        <v>1</v>
      </c>
      <c r="CG470" s="10">
        <f t="shared" si="171"/>
        <v>0</v>
      </c>
      <c r="CH470" s="10">
        <f t="shared" si="172"/>
        <v>11</v>
      </c>
      <c r="CI470" s="9">
        <f t="shared" si="178"/>
        <v>1</v>
      </c>
      <c r="CJ470" s="10">
        <f t="shared" si="173"/>
        <v>16</v>
      </c>
      <c r="CK470" s="10" t="b">
        <f t="shared" si="179"/>
        <v>1</v>
      </c>
      <c r="CL470" s="10" t="b">
        <f t="shared" si="180"/>
        <v>0</v>
      </c>
      <c r="CM470" s="10" t="b">
        <f t="shared" si="181"/>
        <v>0</v>
      </c>
      <c r="CN470" s="9">
        <f t="shared" si="182"/>
        <v>1</v>
      </c>
      <c r="CO470" s="10">
        <f t="shared" si="186"/>
        <v>16</v>
      </c>
      <c r="CP470" s="10" t="b">
        <f t="shared" si="183"/>
        <v>1</v>
      </c>
      <c r="CQ470" s="10" t="b">
        <f t="shared" si="184"/>
        <v>1</v>
      </c>
      <c r="CR470" s="10" cm="1">
        <f t="array" ref="CR470">_xlfn.IFS(AND($CI470=0, CK470=FALSE), NA(), AND($CI470=1, CK470=FALSE), 0, CK470=TRUE, 1)</f>
        <v>1</v>
      </c>
      <c r="CS470" s="10" cm="1">
        <f t="array" ref="CS470">_xlfn.IFS(AND($CI470=0, CL470=FALSE), NA(), AND($CI470=1, CL470=FALSE), 0, CL470=TRUE, 1)</f>
        <v>0</v>
      </c>
      <c r="CT470" s="10" cm="1">
        <f t="array" ref="CT470">_xlfn.IFS(AND($CI470=0, CM470=FALSE), NA(), AND($CI470=1, CM470=FALSE), 0, CM470=TRUE, 1)</f>
        <v>0</v>
      </c>
      <c r="CU470" s="10" cm="1">
        <f t="array" ref="CU470">_xlfn.IFS(AND($CN470=0, CP470=FALSE), NA(), AND($CN470=1, CP470=FALSE), 0, CP470=TRUE, 1)</f>
        <v>1</v>
      </c>
      <c r="CV470" s="10" cm="1">
        <f t="array" ref="CV470">_xlfn.IFS(AND($CN470=0, CQ470=FALSE), NA(), AND($CN470=1, CQ470=FALSE), 0, CQ470=TRUE, 1)</f>
        <v>1</v>
      </c>
    </row>
    <row r="471" spans="1:100" ht="15.75" x14ac:dyDescent="0.25">
      <c r="A471" s="8">
        <v>470</v>
      </c>
      <c r="B471" s="9">
        <v>428</v>
      </c>
      <c r="C471" s="10" t="s">
        <v>29</v>
      </c>
      <c r="D471" s="11" t="s">
        <v>339</v>
      </c>
      <c r="E471" s="12">
        <v>16324</v>
      </c>
      <c r="F471" s="13">
        <v>1</v>
      </c>
      <c r="G471" s="9">
        <v>72.432579040527344</v>
      </c>
      <c r="H471" s="12">
        <v>42780</v>
      </c>
      <c r="I471" s="9">
        <v>1</v>
      </c>
      <c r="J471" s="12">
        <v>42780</v>
      </c>
      <c r="K471" s="9">
        <v>1</v>
      </c>
      <c r="L471" s="9">
        <v>1</v>
      </c>
      <c r="M471" s="10" t="s">
        <v>401</v>
      </c>
      <c r="N471" s="9">
        <v>2</v>
      </c>
      <c r="O471" s="10" t="s">
        <v>439</v>
      </c>
      <c r="P471" s="9">
        <v>2</v>
      </c>
      <c r="Q471" s="10" t="s">
        <v>439</v>
      </c>
      <c r="R471" s="12">
        <v>42900</v>
      </c>
      <c r="S471" s="10" t="s">
        <v>145</v>
      </c>
      <c r="T471" s="9"/>
      <c r="U471" s="10" t="s">
        <v>401</v>
      </c>
      <c r="V471" s="10" t="s">
        <v>401</v>
      </c>
      <c r="W471" s="9"/>
      <c r="X471" s="9"/>
      <c r="Y471" s="9">
        <v>2</v>
      </c>
      <c r="Z471" s="14">
        <v>1</v>
      </c>
      <c r="AA471" s="17">
        <v>15</v>
      </c>
      <c r="AB471" s="18">
        <v>104</v>
      </c>
      <c r="AC471" s="18"/>
      <c r="AD471" s="9">
        <v>2</v>
      </c>
      <c r="AE471" s="9">
        <v>2</v>
      </c>
      <c r="AF471" s="9">
        <v>1</v>
      </c>
      <c r="AG471" s="9">
        <v>1</v>
      </c>
      <c r="AH471" s="9">
        <v>1</v>
      </c>
      <c r="AI471" s="9">
        <v>0</v>
      </c>
      <c r="AJ471" s="12">
        <v>43367</v>
      </c>
      <c r="AK471" s="9">
        <v>2</v>
      </c>
      <c r="AL471" s="12">
        <v>43907</v>
      </c>
      <c r="AM471" s="9">
        <v>2</v>
      </c>
      <c r="AN471" s="12">
        <v>43711</v>
      </c>
      <c r="AO471" s="12">
        <v>43935</v>
      </c>
      <c r="AP471" s="12">
        <v>43935</v>
      </c>
      <c r="AQ471" s="9">
        <v>1</v>
      </c>
      <c r="AR471" s="9">
        <f t="shared" si="174"/>
        <v>1</v>
      </c>
      <c r="AS471" s="9">
        <v>1</v>
      </c>
      <c r="AT471" s="9">
        <v>2</v>
      </c>
      <c r="AU471" s="9">
        <v>2</v>
      </c>
      <c r="AV471" s="9">
        <f t="shared" si="175"/>
        <v>1</v>
      </c>
      <c r="AW471" s="12">
        <v>44634</v>
      </c>
      <c r="AX471" s="9">
        <v>7920</v>
      </c>
      <c r="AY471" s="9">
        <v>2510</v>
      </c>
      <c r="AZ471" s="9">
        <v>4330</v>
      </c>
      <c r="BA471" s="9">
        <v>2510</v>
      </c>
      <c r="BB471" s="9">
        <v>4329.99853515625</v>
      </c>
      <c r="BC471" s="9">
        <v>342000</v>
      </c>
      <c r="BD471" s="9">
        <v>850</v>
      </c>
      <c r="BE471" s="9">
        <v>210</v>
      </c>
      <c r="BF471" s="9"/>
      <c r="BG471" s="9">
        <v>13210</v>
      </c>
      <c r="BH471" s="9">
        <v>5210</v>
      </c>
      <c r="BI471" s="9">
        <v>5001</v>
      </c>
      <c r="BJ471" s="9">
        <v>368000</v>
      </c>
      <c r="BK471" s="9">
        <v>1740</v>
      </c>
      <c r="BL471" s="9">
        <v>220</v>
      </c>
      <c r="BM471" s="9"/>
      <c r="BN471" s="9">
        <v>9470</v>
      </c>
      <c r="BO471" s="9">
        <v>3670</v>
      </c>
      <c r="BP471" s="9">
        <v>4500</v>
      </c>
      <c r="BQ471" s="9">
        <v>233000</v>
      </c>
      <c r="BR471" s="9">
        <v>970</v>
      </c>
      <c r="BS471" s="9">
        <v>290</v>
      </c>
      <c r="BT471" s="9"/>
      <c r="BU471" s="9">
        <v>10250</v>
      </c>
      <c r="BV471" s="9">
        <v>3362</v>
      </c>
      <c r="BW471" s="9">
        <v>5170</v>
      </c>
      <c r="BX471" s="9">
        <v>309000</v>
      </c>
      <c r="BY471" s="9">
        <v>1200</v>
      </c>
      <c r="BZ471" s="10" t="s">
        <v>572</v>
      </c>
      <c r="CA471" s="9">
        <v>540</v>
      </c>
      <c r="CB471" s="9"/>
      <c r="CC471" s="10">
        <f t="shared" si="176"/>
        <v>0.57967687047021721</v>
      </c>
      <c r="CD471" s="10">
        <f t="shared" si="177"/>
        <v>78.98386043857144</v>
      </c>
      <c r="CE471" s="10">
        <f t="shared" si="185"/>
        <v>198249.48970081427</v>
      </c>
      <c r="CF471" s="10">
        <f t="shared" si="168"/>
        <v>1</v>
      </c>
      <c r="CG471" s="10">
        <f t="shared" si="171"/>
        <v>1</v>
      </c>
      <c r="CH471" s="10">
        <f t="shared" si="172"/>
        <v>18</v>
      </c>
      <c r="CI471" s="9">
        <f t="shared" si="178"/>
        <v>1</v>
      </c>
      <c r="CJ471" s="10">
        <f t="shared" si="173"/>
        <v>42</v>
      </c>
      <c r="CK471" s="10" t="b">
        <f t="shared" si="179"/>
        <v>1</v>
      </c>
      <c r="CL471" s="10" t="b">
        <f t="shared" si="180"/>
        <v>1</v>
      </c>
      <c r="CM471" s="10" t="b">
        <f t="shared" si="181"/>
        <v>1</v>
      </c>
      <c r="CN471" s="9">
        <f t="shared" si="182"/>
        <v>1</v>
      </c>
      <c r="CO471" s="10">
        <f t="shared" si="186"/>
        <v>19</v>
      </c>
      <c r="CP471" s="10" t="b">
        <f t="shared" si="183"/>
        <v>1</v>
      </c>
      <c r="CQ471" s="10" t="b">
        <f t="shared" si="184"/>
        <v>1</v>
      </c>
      <c r="CR471" s="10" cm="1">
        <f t="array" ref="CR471">_xlfn.IFS(AND($CI471=0, CK471=FALSE), NA(), AND($CI471=1, CK471=FALSE), 0, CK471=TRUE, 1)</f>
        <v>1</v>
      </c>
      <c r="CS471" s="10" cm="1">
        <f t="array" ref="CS471">_xlfn.IFS(AND($CI471=0, CL471=FALSE), NA(), AND($CI471=1, CL471=FALSE), 0, CL471=TRUE, 1)</f>
        <v>1</v>
      </c>
      <c r="CT471" s="10" cm="1">
        <f t="array" ref="CT471">_xlfn.IFS(AND($CI471=0, CM471=FALSE), NA(), AND($CI471=1, CM471=FALSE), 0, CM471=TRUE, 1)</f>
        <v>1</v>
      </c>
      <c r="CU471" s="10" cm="1">
        <f t="array" ref="CU471">_xlfn.IFS(AND($CN471=0, CP471=FALSE), NA(), AND($CN471=1, CP471=FALSE), 0, CP471=TRUE, 1)</f>
        <v>1</v>
      </c>
      <c r="CV471" s="10" cm="1">
        <f t="array" ref="CV471">_xlfn.IFS(AND($CN471=0, CQ471=FALSE), NA(), AND($CN471=1, CQ471=FALSE), 0, CQ471=TRUE, 1)</f>
        <v>1</v>
      </c>
    </row>
    <row r="472" spans="1:100" ht="15.75" x14ac:dyDescent="0.25">
      <c r="A472" s="8">
        <v>471</v>
      </c>
      <c r="B472" s="9">
        <v>462</v>
      </c>
      <c r="C472" s="10" t="s">
        <v>30</v>
      </c>
      <c r="D472" s="11" t="s">
        <v>90</v>
      </c>
      <c r="E472" s="12">
        <v>18721</v>
      </c>
      <c r="F472" s="13">
        <v>1</v>
      </c>
      <c r="G472" s="9">
        <v>65.886375427246094</v>
      </c>
      <c r="H472" s="12">
        <v>42786</v>
      </c>
      <c r="I472" s="9">
        <v>1</v>
      </c>
      <c r="J472" s="12">
        <v>42786</v>
      </c>
      <c r="K472" s="9">
        <v>0</v>
      </c>
      <c r="L472" s="9">
        <v>2</v>
      </c>
      <c r="M472" s="10" t="s">
        <v>401</v>
      </c>
      <c r="N472" s="9">
        <v>2</v>
      </c>
      <c r="O472" s="10" t="s">
        <v>145</v>
      </c>
      <c r="P472" s="9">
        <v>2</v>
      </c>
      <c r="Q472" s="10" t="s">
        <v>145</v>
      </c>
      <c r="R472" s="12">
        <v>43047</v>
      </c>
      <c r="S472" s="10" t="s">
        <v>146</v>
      </c>
      <c r="T472" s="9"/>
      <c r="U472" s="10" t="s">
        <v>401</v>
      </c>
      <c r="V472" s="10" t="s">
        <v>401</v>
      </c>
      <c r="W472" s="9"/>
      <c r="X472" s="9"/>
      <c r="Y472" s="9">
        <v>2</v>
      </c>
      <c r="Z472" s="14">
        <v>2</v>
      </c>
      <c r="AA472" s="15">
        <v>16.5</v>
      </c>
      <c r="AB472" s="16">
        <v>85</v>
      </c>
      <c r="AC472" s="16">
        <v>12</v>
      </c>
      <c r="AD472" s="9">
        <v>2</v>
      </c>
      <c r="AE472" s="9">
        <v>2</v>
      </c>
      <c r="AF472" s="9">
        <v>1</v>
      </c>
      <c r="AG472" s="9">
        <v>1</v>
      </c>
      <c r="AH472" s="9">
        <v>0</v>
      </c>
      <c r="AI472" s="9">
        <v>1</v>
      </c>
      <c r="AJ472" s="12">
        <v>43543</v>
      </c>
      <c r="AK472" s="9">
        <v>2</v>
      </c>
      <c r="AL472" s="12">
        <v>44334</v>
      </c>
      <c r="AM472" s="9">
        <v>3</v>
      </c>
      <c r="AN472" s="12">
        <v>43622</v>
      </c>
      <c r="AO472" s="12">
        <v>44334</v>
      </c>
      <c r="AP472" s="12">
        <v>44334</v>
      </c>
      <c r="AQ472" s="9">
        <v>1</v>
      </c>
      <c r="AR472" s="9">
        <f t="shared" si="174"/>
        <v>1</v>
      </c>
      <c r="AS472" s="9">
        <v>1</v>
      </c>
      <c r="AT472" s="9">
        <v>2</v>
      </c>
      <c r="AU472" s="9">
        <v>2</v>
      </c>
      <c r="AV472" s="9">
        <f t="shared" si="175"/>
        <v>1</v>
      </c>
      <c r="AW472" s="12">
        <v>44615</v>
      </c>
      <c r="AX472" s="9">
        <v>3940</v>
      </c>
      <c r="AY472" s="9">
        <v>2420</v>
      </c>
      <c r="AZ472" s="9">
        <v>640</v>
      </c>
      <c r="BA472" s="9">
        <v>2420</v>
      </c>
      <c r="BB472" s="9">
        <v>640</v>
      </c>
      <c r="BC472" s="9">
        <v>152000</v>
      </c>
      <c r="BD472" s="9">
        <v>690</v>
      </c>
      <c r="BE472" s="9">
        <v>110</v>
      </c>
      <c r="BF472" s="9">
        <v>410</v>
      </c>
      <c r="BG472" s="9">
        <v>4180</v>
      </c>
      <c r="BH472" s="9">
        <v>2660</v>
      </c>
      <c r="BI472" s="9">
        <v>750</v>
      </c>
      <c r="BJ472" s="9">
        <v>179000</v>
      </c>
      <c r="BK472" s="9">
        <v>670</v>
      </c>
      <c r="BL472" s="9">
        <v>90</v>
      </c>
      <c r="BM472" s="9">
        <v>380</v>
      </c>
      <c r="BN472" s="9">
        <v>3940</v>
      </c>
      <c r="BO472" s="9">
        <v>2590</v>
      </c>
      <c r="BP472" s="9">
        <v>620</v>
      </c>
      <c r="BQ472" s="9">
        <v>197000</v>
      </c>
      <c r="BR472" s="9">
        <v>650</v>
      </c>
      <c r="BS472" s="9">
        <v>80</v>
      </c>
      <c r="BT472" s="9">
        <v>320</v>
      </c>
      <c r="BU472" s="9">
        <v>3980</v>
      </c>
      <c r="BV472" s="9">
        <v>2900</v>
      </c>
      <c r="BW472" s="9">
        <v>550</v>
      </c>
      <c r="BX472" s="9">
        <v>176000</v>
      </c>
      <c r="BY472" s="9">
        <v>450</v>
      </c>
      <c r="BZ472" s="10" t="s">
        <v>554</v>
      </c>
      <c r="CA472" s="9">
        <v>70</v>
      </c>
      <c r="CB472" s="9"/>
      <c r="CC472" s="10">
        <f t="shared" si="176"/>
        <v>3.78125</v>
      </c>
      <c r="CD472" s="10">
        <f t="shared" si="177"/>
        <v>237.5</v>
      </c>
      <c r="CE472" s="10">
        <f t="shared" si="185"/>
        <v>574750</v>
      </c>
      <c r="CF472" s="10">
        <f t="shared" si="168"/>
        <v>1</v>
      </c>
      <c r="CG472" s="10">
        <f t="shared" si="171"/>
        <v>0</v>
      </c>
      <c r="CH472" s="10">
        <f t="shared" si="172"/>
        <v>26</v>
      </c>
      <c r="CI472" s="9">
        <f t="shared" si="178"/>
        <v>1</v>
      </c>
      <c r="CJ472" s="10">
        <f t="shared" si="173"/>
        <v>35</v>
      </c>
      <c r="CK472" s="10" t="b">
        <f t="shared" si="179"/>
        <v>1</v>
      </c>
      <c r="CL472" s="10" t="b">
        <f t="shared" si="180"/>
        <v>1</v>
      </c>
      <c r="CM472" s="10" t="b">
        <f t="shared" si="181"/>
        <v>1</v>
      </c>
      <c r="CN472" s="9">
        <f t="shared" si="182"/>
        <v>1</v>
      </c>
      <c r="CO472" s="10">
        <f t="shared" si="186"/>
        <v>26</v>
      </c>
      <c r="CP472" s="10" t="b">
        <f t="shared" si="183"/>
        <v>1</v>
      </c>
      <c r="CQ472" s="10" t="b">
        <f t="shared" si="184"/>
        <v>1</v>
      </c>
      <c r="CR472" s="10" cm="1">
        <f t="array" ref="CR472">_xlfn.IFS(AND($CI472=0, CK472=FALSE), NA(), AND($CI472=1, CK472=FALSE), 0, CK472=TRUE, 1)</f>
        <v>1</v>
      </c>
      <c r="CS472" s="10" cm="1">
        <f t="array" ref="CS472">_xlfn.IFS(AND($CI472=0, CL472=FALSE), NA(), AND($CI472=1, CL472=FALSE), 0, CL472=TRUE, 1)</f>
        <v>1</v>
      </c>
      <c r="CT472" s="10" cm="1">
        <f t="array" ref="CT472">_xlfn.IFS(AND($CI472=0, CM472=FALSE), NA(), AND($CI472=1, CM472=FALSE), 0, CM472=TRUE, 1)</f>
        <v>1</v>
      </c>
      <c r="CU472" s="10" cm="1">
        <f t="array" ref="CU472">_xlfn.IFS(AND($CN472=0, CP472=FALSE), NA(), AND($CN472=1, CP472=FALSE), 0, CP472=TRUE, 1)</f>
        <v>1</v>
      </c>
      <c r="CV472" s="10" cm="1">
        <f t="array" ref="CV472">_xlfn.IFS(AND($CN472=0, CQ472=FALSE), NA(), AND($CN472=1, CQ472=FALSE), 0, CQ472=TRUE, 1)</f>
        <v>1</v>
      </c>
    </row>
    <row r="473" spans="1:100" x14ac:dyDescent="0.25">
      <c r="A473" s="8">
        <v>472</v>
      </c>
      <c r="B473" s="9">
        <v>74</v>
      </c>
      <c r="C473" s="10" t="s">
        <v>9</v>
      </c>
      <c r="D473" s="11" t="s">
        <v>102</v>
      </c>
      <c r="E473" s="12">
        <v>17457</v>
      </c>
      <c r="F473" s="13">
        <v>1</v>
      </c>
      <c r="G473" s="9">
        <v>69.352500915527344</v>
      </c>
      <c r="H473" s="12">
        <v>42788</v>
      </c>
      <c r="I473" s="9">
        <v>1</v>
      </c>
      <c r="J473" s="12">
        <v>42788</v>
      </c>
      <c r="K473" s="9">
        <v>1</v>
      </c>
      <c r="L473" s="9">
        <v>1</v>
      </c>
      <c r="M473" s="10" t="s">
        <v>401</v>
      </c>
      <c r="N473" s="9">
        <v>2</v>
      </c>
      <c r="O473" s="10" t="s">
        <v>145</v>
      </c>
      <c r="P473" s="9">
        <v>2</v>
      </c>
      <c r="Q473" s="10" t="s">
        <v>145</v>
      </c>
      <c r="R473" s="12">
        <v>42788</v>
      </c>
      <c r="S473" s="10" t="s">
        <v>145</v>
      </c>
      <c r="T473" s="9"/>
      <c r="U473" s="10" t="s">
        <v>401</v>
      </c>
      <c r="V473" s="10" t="s">
        <v>401</v>
      </c>
      <c r="W473" s="9"/>
      <c r="X473" s="9"/>
      <c r="Y473" s="9">
        <v>2</v>
      </c>
      <c r="Z473" s="19">
        <v>1</v>
      </c>
      <c r="AB473" s="9"/>
      <c r="AC473" s="9"/>
      <c r="AD473" s="9">
        <v>2</v>
      </c>
      <c r="AE473" s="9">
        <v>2</v>
      </c>
      <c r="AF473" s="9">
        <v>1</v>
      </c>
      <c r="AG473" s="9">
        <v>0</v>
      </c>
      <c r="AH473" s="9">
        <v>0</v>
      </c>
      <c r="AI473" s="9">
        <v>1</v>
      </c>
      <c r="AJ473" s="12">
        <v>43271</v>
      </c>
      <c r="AK473" s="9">
        <v>2</v>
      </c>
      <c r="AL473" s="12">
        <v>43753</v>
      </c>
      <c r="AM473" s="9">
        <v>2</v>
      </c>
      <c r="AN473" s="12">
        <v>43400</v>
      </c>
      <c r="AO473" s="12">
        <v>43829</v>
      </c>
      <c r="AP473" s="12">
        <v>43829</v>
      </c>
      <c r="AQ473" s="9">
        <v>1</v>
      </c>
      <c r="AR473" s="9">
        <f t="shared" si="174"/>
        <v>1</v>
      </c>
      <c r="AS473" s="9">
        <v>1</v>
      </c>
      <c r="AT473" s="9">
        <v>2</v>
      </c>
      <c r="AU473" s="9">
        <v>2</v>
      </c>
      <c r="AV473" s="9">
        <f t="shared" si="175"/>
        <v>1</v>
      </c>
      <c r="AW473" s="12">
        <v>44767</v>
      </c>
      <c r="AX473" s="9">
        <v>6860</v>
      </c>
      <c r="AY473" s="9">
        <v>3540</v>
      </c>
      <c r="AZ473" s="9">
        <v>2640</v>
      </c>
      <c r="BA473" s="9">
        <v>3540</v>
      </c>
      <c r="BB473" s="9">
        <v>2640.000244140625</v>
      </c>
      <c r="BC473" s="9">
        <v>165000</v>
      </c>
      <c r="BD473" s="9">
        <v>420</v>
      </c>
      <c r="BE473" s="9">
        <v>400</v>
      </c>
      <c r="BF473" s="9">
        <v>250</v>
      </c>
      <c r="BG473" s="9">
        <v>3760</v>
      </c>
      <c r="BH473" s="9">
        <v>1750</v>
      </c>
      <c r="BI473" s="9">
        <v>153</v>
      </c>
      <c r="BJ473" s="9">
        <v>111000</v>
      </c>
      <c r="BK473" s="9">
        <v>230</v>
      </c>
      <c r="BL473" s="9">
        <v>240</v>
      </c>
      <c r="BM473" s="9">
        <v>212</v>
      </c>
      <c r="BN473" s="9">
        <v>9460</v>
      </c>
      <c r="BO473" s="9">
        <v>3770</v>
      </c>
      <c r="BP473" s="9">
        <v>2540</v>
      </c>
      <c r="BQ473" s="9">
        <v>139000</v>
      </c>
      <c r="BR473" s="9">
        <v>440</v>
      </c>
      <c r="BS473" s="9">
        <v>267</v>
      </c>
      <c r="BT473" s="9">
        <v>378</v>
      </c>
      <c r="BU473" s="9">
        <v>5840</v>
      </c>
      <c r="BV473" s="9">
        <v>2670</v>
      </c>
      <c r="BW473" s="9">
        <v>330</v>
      </c>
      <c r="BX473" s="9">
        <v>181000</v>
      </c>
      <c r="BY473" s="9">
        <v>370</v>
      </c>
      <c r="BZ473" s="10" t="s">
        <v>575</v>
      </c>
      <c r="CA473" s="9">
        <v>770</v>
      </c>
      <c r="CB473" s="9">
        <v>186</v>
      </c>
      <c r="CC473" s="10">
        <f t="shared" si="176"/>
        <v>1.3409089669051693</v>
      </c>
      <c r="CD473" s="10">
        <f t="shared" si="177"/>
        <v>62.499994220156189</v>
      </c>
      <c r="CE473" s="10">
        <f t="shared" si="185"/>
        <v>221249.97953935293</v>
      </c>
      <c r="CF473" s="10">
        <f t="shared" si="168"/>
        <v>1</v>
      </c>
      <c r="CG473" s="10">
        <f t="shared" si="171"/>
        <v>1</v>
      </c>
      <c r="CH473" s="10">
        <f t="shared" si="172"/>
        <v>16</v>
      </c>
      <c r="CI473" s="9">
        <f t="shared" si="178"/>
        <v>1</v>
      </c>
      <c r="CJ473" s="10">
        <f t="shared" si="173"/>
        <v>49</v>
      </c>
      <c r="CK473" s="10" t="b">
        <f t="shared" si="179"/>
        <v>1</v>
      </c>
      <c r="CL473" s="10" t="b">
        <f t="shared" si="180"/>
        <v>1</v>
      </c>
      <c r="CM473" s="10" t="b">
        <f t="shared" si="181"/>
        <v>1</v>
      </c>
      <c r="CN473" s="9">
        <f t="shared" si="182"/>
        <v>1</v>
      </c>
      <c r="CO473" s="10">
        <f t="shared" si="186"/>
        <v>18</v>
      </c>
      <c r="CP473" s="10" t="b">
        <f t="shared" si="183"/>
        <v>1</v>
      </c>
      <c r="CQ473" s="10" t="b">
        <f t="shared" si="184"/>
        <v>1</v>
      </c>
      <c r="CR473" s="10" cm="1">
        <f t="array" ref="CR473">_xlfn.IFS(AND($CI473=0, CK473=FALSE), NA(), AND($CI473=1, CK473=FALSE), 0, CK473=TRUE, 1)</f>
        <v>1</v>
      </c>
      <c r="CS473" s="10" cm="1">
        <f t="array" ref="CS473">_xlfn.IFS(AND($CI473=0, CL473=FALSE), NA(), AND($CI473=1, CL473=FALSE), 0, CL473=TRUE, 1)</f>
        <v>1</v>
      </c>
      <c r="CT473" s="10" cm="1">
        <f t="array" ref="CT473">_xlfn.IFS(AND($CI473=0, CM473=FALSE), NA(), AND($CI473=1, CM473=FALSE), 0, CM473=TRUE, 1)</f>
        <v>1</v>
      </c>
      <c r="CU473" s="10" cm="1">
        <f t="array" ref="CU473">_xlfn.IFS(AND($CN473=0, CP473=FALSE), NA(), AND($CN473=1, CP473=FALSE), 0, CP473=TRUE, 1)</f>
        <v>1</v>
      </c>
      <c r="CV473" s="10" cm="1">
        <f t="array" ref="CV473">_xlfn.IFS(AND($CN473=0, CQ473=FALSE), NA(), AND($CN473=1, CQ473=FALSE), 0, CQ473=TRUE, 1)</f>
        <v>1</v>
      </c>
    </row>
    <row r="474" spans="1:100" x14ac:dyDescent="0.25">
      <c r="A474" s="8">
        <v>473</v>
      </c>
      <c r="B474" s="9">
        <v>91</v>
      </c>
      <c r="C474" s="10" t="s">
        <v>10</v>
      </c>
      <c r="D474" s="11" t="s">
        <v>119</v>
      </c>
      <c r="E474" s="12">
        <v>17771</v>
      </c>
      <c r="F474" s="13">
        <v>1</v>
      </c>
      <c r="G474" s="9">
        <v>68.498291015625</v>
      </c>
      <c r="H474" s="12">
        <v>42790</v>
      </c>
      <c r="I474" s="9">
        <v>1</v>
      </c>
      <c r="J474" s="12">
        <v>42933</v>
      </c>
      <c r="K474" s="9">
        <v>1</v>
      </c>
      <c r="L474" s="9">
        <v>1</v>
      </c>
      <c r="M474" s="10" t="s">
        <v>401</v>
      </c>
      <c r="N474" s="9">
        <v>2</v>
      </c>
      <c r="O474" s="10" t="s">
        <v>145</v>
      </c>
      <c r="P474" s="9">
        <v>2</v>
      </c>
      <c r="Q474" s="10" t="s">
        <v>145</v>
      </c>
      <c r="R474" s="12">
        <v>42790</v>
      </c>
      <c r="S474" s="10" t="s">
        <v>146</v>
      </c>
      <c r="T474" s="9"/>
      <c r="U474" s="10" t="s">
        <v>401</v>
      </c>
      <c r="V474" s="10" t="s">
        <v>401</v>
      </c>
      <c r="W474" s="9"/>
      <c r="X474" s="9"/>
      <c r="Y474" s="9">
        <v>2</v>
      </c>
      <c r="Z474" s="19">
        <v>2</v>
      </c>
      <c r="AB474" s="9"/>
      <c r="AC474" s="9"/>
      <c r="AD474" s="9">
        <v>2</v>
      </c>
      <c r="AE474" s="9">
        <v>2</v>
      </c>
      <c r="AF474" s="9">
        <v>1</v>
      </c>
      <c r="AG474" s="9">
        <v>0</v>
      </c>
      <c r="AH474" s="9">
        <v>1</v>
      </c>
      <c r="AI474" s="9">
        <v>0</v>
      </c>
      <c r="AJ474" s="12">
        <v>43437</v>
      </c>
      <c r="AK474" s="9">
        <v>2</v>
      </c>
      <c r="AL474" s="12">
        <v>43495</v>
      </c>
      <c r="AM474" s="9">
        <v>4</v>
      </c>
      <c r="AN474" s="12">
        <v>43517</v>
      </c>
      <c r="AO474" s="12">
        <v>43517</v>
      </c>
      <c r="AP474" s="12">
        <v>43517</v>
      </c>
      <c r="AQ474" s="9">
        <v>1</v>
      </c>
      <c r="AR474" s="9">
        <f t="shared" si="174"/>
        <v>1</v>
      </c>
      <c r="AS474" s="9">
        <v>1</v>
      </c>
      <c r="AT474" s="9">
        <v>2</v>
      </c>
      <c r="AU474" s="9">
        <v>2</v>
      </c>
      <c r="AV474" s="9">
        <f t="shared" si="175"/>
        <v>1</v>
      </c>
      <c r="AW474" s="12">
        <v>43753</v>
      </c>
      <c r="AX474" s="9"/>
      <c r="AY474" s="9">
        <v>3100</v>
      </c>
      <c r="AZ474" s="9">
        <v>1360</v>
      </c>
      <c r="BA474" s="9">
        <v>3100</v>
      </c>
      <c r="BB474" s="9">
        <v>1360</v>
      </c>
      <c r="BC474" s="9">
        <v>240000</v>
      </c>
      <c r="BD474" s="9">
        <v>530</v>
      </c>
      <c r="BE474" s="9">
        <v>180</v>
      </c>
      <c r="BF474" s="9">
        <v>140</v>
      </c>
      <c r="BG474" s="9"/>
      <c r="BH474" s="9">
        <v>3300</v>
      </c>
      <c r="BI474" s="9">
        <v>1390</v>
      </c>
      <c r="BJ474" s="9">
        <v>260000</v>
      </c>
      <c r="BK474" s="9">
        <v>430</v>
      </c>
      <c r="BL474" s="9">
        <v>290</v>
      </c>
      <c r="BM474" s="9">
        <v>165</v>
      </c>
      <c r="BN474" s="9"/>
      <c r="BO474" s="9">
        <v>3400</v>
      </c>
      <c r="BP474" s="9">
        <v>3350</v>
      </c>
      <c r="BQ474" s="9">
        <v>245000</v>
      </c>
      <c r="BR474" s="9">
        <v>390</v>
      </c>
      <c r="BS474" s="9">
        <v>270</v>
      </c>
      <c r="BT474" s="9">
        <v>150</v>
      </c>
      <c r="BU474" s="9"/>
      <c r="BV474" s="9">
        <v>3300</v>
      </c>
      <c r="BW474" s="9">
        <v>3100</v>
      </c>
      <c r="BX474" s="9">
        <v>300000</v>
      </c>
      <c r="BY474" s="9">
        <v>350</v>
      </c>
      <c r="BZ474" s="10" t="s">
        <v>548</v>
      </c>
      <c r="CA474" s="9">
        <v>290</v>
      </c>
      <c r="CB474" s="9">
        <v>170</v>
      </c>
      <c r="CC474" s="10">
        <f t="shared" si="176"/>
        <v>2.2794117647058822</v>
      </c>
      <c r="CD474" s="10">
        <f t="shared" si="177"/>
        <v>176.47058823529412</v>
      </c>
      <c r="CE474" s="10">
        <f t="shared" si="185"/>
        <v>547058.82352941169</v>
      </c>
      <c r="CF474" s="10">
        <f t="shared" ref="CF474:CF498" si="187">IF(AM474=4, 0,1)</f>
        <v>0</v>
      </c>
      <c r="CG474" s="10">
        <f t="shared" si="171"/>
        <v>0</v>
      </c>
      <c r="CH474" s="10">
        <f t="shared" si="172"/>
        <v>1</v>
      </c>
      <c r="CI474" s="9">
        <f t="shared" si="178"/>
        <v>1</v>
      </c>
      <c r="CJ474" s="10">
        <f t="shared" si="173"/>
        <v>10</v>
      </c>
      <c r="CK474" s="10" t="b">
        <f t="shared" si="179"/>
        <v>1</v>
      </c>
      <c r="CL474" s="10" t="b">
        <f t="shared" si="180"/>
        <v>0</v>
      </c>
      <c r="CM474" s="10" t="b">
        <f t="shared" si="181"/>
        <v>0</v>
      </c>
      <c r="CN474" s="9">
        <f t="shared" si="182"/>
        <v>1</v>
      </c>
      <c r="CO474" s="10">
        <f t="shared" si="186"/>
        <v>2</v>
      </c>
      <c r="CP474" s="10" t="b">
        <f t="shared" si="183"/>
        <v>0</v>
      </c>
      <c r="CQ474" s="10" t="b">
        <f t="shared" si="184"/>
        <v>0</v>
      </c>
      <c r="CR474" s="10" cm="1">
        <f t="array" ref="CR474">_xlfn.IFS(AND($CI474=0, CK474=FALSE), NA(), AND($CI474=1, CK474=FALSE), 0, CK474=TRUE, 1)</f>
        <v>1</v>
      </c>
      <c r="CS474" s="10" cm="1">
        <f t="array" ref="CS474">_xlfn.IFS(AND($CI474=0, CL474=FALSE), NA(), AND($CI474=1, CL474=FALSE), 0, CL474=TRUE, 1)</f>
        <v>0</v>
      </c>
      <c r="CT474" s="10" cm="1">
        <f t="array" ref="CT474">_xlfn.IFS(AND($CI474=0, CM474=FALSE), NA(), AND($CI474=1, CM474=FALSE), 0, CM474=TRUE, 1)</f>
        <v>0</v>
      </c>
      <c r="CU474" s="10" cm="1">
        <f t="array" ref="CU474">_xlfn.IFS(AND($CN474=0, CP474=FALSE), NA(), AND($CN474=1, CP474=FALSE), 0, CP474=TRUE, 1)</f>
        <v>0</v>
      </c>
      <c r="CV474" s="10" cm="1">
        <f t="array" ref="CV474">_xlfn.IFS(AND($CN474=0, CQ474=FALSE), NA(), AND($CN474=1, CQ474=FALSE), 0, CQ474=TRUE, 1)</f>
        <v>0</v>
      </c>
    </row>
    <row r="475" spans="1:100" ht="15.75" x14ac:dyDescent="0.25">
      <c r="A475" s="8">
        <v>474</v>
      </c>
      <c r="B475" s="9">
        <v>180</v>
      </c>
      <c r="C475" s="10" t="s">
        <v>17</v>
      </c>
      <c r="D475" s="11" t="s">
        <v>82</v>
      </c>
      <c r="E475" s="12">
        <v>19325</v>
      </c>
      <c r="F475" s="13">
        <v>1</v>
      </c>
      <c r="G475" s="9">
        <v>64.254623413085938</v>
      </c>
      <c r="H475" s="12">
        <v>42794</v>
      </c>
      <c r="I475" s="9">
        <v>1</v>
      </c>
      <c r="J475" s="12">
        <v>42794</v>
      </c>
      <c r="K475" s="9">
        <v>1</v>
      </c>
      <c r="L475" s="9">
        <v>1</v>
      </c>
      <c r="M475" s="10" t="s">
        <v>401</v>
      </c>
      <c r="N475" s="9">
        <v>2</v>
      </c>
      <c r="O475" s="10" t="s">
        <v>409</v>
      </c>
      <c r="P475" s="9">
        <v>2</v>
      </c>
      <c r="Q475" s="10" t="s">
        <v>409</v>
      </c>
      <c r="R475" s="12">
        <v>42794</v>
      </c>
      <c r="S475" s="10" t="s">
        <v>146</v>
      </c>
      <c r="T475" s="9"/>
      <c r="U475" s="10" t="s">
        <v>401</v>
      </c>
      <c r="V475" s="10" t="s">
        <v>401</v>
      </c>
      <c r="W475" s="9"/>
      <c r="X475" s="9"/>
      <c r="Y475" s="9">
        <v>2</v>
      </c>
      <c r="Z475" s="14">
        <v>2</v>
      </c>
      <c r="AA475" s="17">
        <v>9.6</v>
      </c>
      <c r="AB475" s="18">
        <v>101</v>
      </c>
      <c r="AC475" s="18">
        <v>19</v>
      </c>
      <c r="AD475" s="9">
        <v>2</v>
      </c>
      <c r="AE475" s="9">
        <v>2</v>
      </c>
      <c r="AF475" s="9">
        <v>1</v>
      </c>
      <c r="AG475" s="9">
        <v>1</v>
      </c>
      <c r="AH475" s="9">
        <v>1</v>
      </c>
      <c r="AI475" s="9">
        <v>0</v>
      </c>
      <c r="AJ475" s="12">
        <v>43028</v>
      </c>
      <c r="AK475" s="9">
        <v>2</v>
      </c>
      <c r="AL475" s="12">
        <v>43042</v>
      </c>
      <c r="AM475" s="9">
        <v>4</v>
      </c>
      <c r="AN475" s="12">
        <v>43053</v>
      </c>
      <c r="AO475" s="12">
        <v>43053</v>
      </c>
      <c r="AP475" s="12">
        <v>43053</v>
      </c>
      <c r="AQ475" s="9">
        <v>1</v>
      </c>
      <c r="AR475" s="9">
        <f t="shared" si="174"/>
        <v>1</v>
      </c>
      <c r="AS475" s="9">
        <v>1</v>
      </c>
      <c r="AT475" s="9">
        <v>2</v>
      </c>
      <c r="AU475" s="9">
        <v>2</v>
      </c>
      <c r="AV475" s="9">
        <f t="shared" si="175"/>
        <v>1</v>
      </c>
      <c r="AW475" s="12">
        <v>43084</v>
      </c>
      <c r="AX475" s="9">
        <v>5790</v>
      </c>
      <c r="AY475" s="9">
        <v>4300</v>
      </c>
      <c r="AZ475" s="9">
        <v>900</v>
      </c>
      <c r="BA475" s="9">
        <v>4300</v>
      </c>
      <c r="BB475" s="9">
        <v>900.0001220703125</v>
      </c>
      <c r="BC475" s="9">
        <v>200000</v>
      </c>
      <c r="BD475" s="9">
        <v>500</v>
      </c>
      <c r="BE475" s="9">
        <v>100</v>
      </c>
      <c r="BF475" s="9"/>
      <c r="BG475" s="9">
        <v>5430</v>
      </c>
      <c r="BH475" s="9">
        <v>4000</v>
      </c>
      <c r="BI475" s="9">
        <v>800</v>
      </c>
      <c r="BJ475" s="9">
        <v>199000</v>
      </c>
      <c r="BK475" s="9">
        <v>500</v>
      </c>
      <c r="BL475" s="9">
        <v>100</v>
      </c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10" t="s">
        <v>401</v>
      </c>
      <c r="CA475" s="9"/>
      <c r="CB475" s="9"/>
      <c r="CC475" s="10">
        <f t="shared" si="176"/>
        <v>4.7777771297502811</v>
      </c>
      <c r="CD475" s="10">
        <f t="shared" si="177"/>
        <v>222.22219208140842</v>
      </c>
      <c r="CE475" s="10">
        <f t="shared" si="185"/>
        <v>955555.42595005617</v>
      </c>
      <c r="CF475" s="10">
        <f t="shared" si="187"/>
        <v>0</v>
      </c>
      <c r="CG475" s="10">
        <f t="shared" si="171"/>
        <v>0</v>
      </c>
      <c r="CH475" s="10">
        <f t="shared" si="172"/>
        <v>1</v>
      </c>
      <c r="CI475" s="9">
        <f t="shared" si="178"/>
        <v>1</v>
      </c>
      <c r="CJ475" s="10">
        <f t="shared" si="173"/>
        <v>2</v>
      </c>
      <c r="CK475" s="10" t="b">
        <f t="shared" si="179"/>
        <v>0</v>
      </c>
      <c r="CL475" s="10" t="b">
        <f t="shared" si="180"/>
        <v>0</v>
      </c>
      <c r="CM475" s="10" t="b">
        <f t="shared" si="181"/>
        <v>0</v>
      </c>
      <c r="CN475" s="9">
        <f t="shared" si="182"/>
        <v>1</v>
      </c>
      <c r="CO475" s="10">
        <f t="shared" si="186"/>
        <v>1</v>
      </c>
      <c r="CP475" s="10" t="b">
        <f t="shared" si="183"/>
        <v>0</v>
      </c>
      <c r="CQ475" s="10" t="b">
        <f t="shared" si="184"/>
        <v>0</v>
      </c>
      <c r="CR475" s="10" cm="1">
        <f t="array" ref="CR475">_xlfn.IFS(AND($CI475=0, CK475=FALSE), NA(), AND($CI475=1, CK475=FALSE), 0, CK475=TRUE, 1)</f>
        <v>0</v>
      </c>
      <c r="CS475" s="10" cm="1">
        <f t="array" ref="CS475">_xlfn.IFS(AND($CI475=0, CL475=FALSE), NA(), AND($CI475=1, CL475=FALSE), 0, CL475=TRUE, 1)</f>
        <v>0</v>
      </c>
      <c r="CT475" s="10" cm="1">
        <f t="array" ref="CT475">_xlfn.IFS(AND($CI475=0, CM475=FALSE), NA(), AND($CI475=1, CM475=FALSE), 0, CM475=TRUE, 1)</f>
        <v>0</v>
      </c>
      <c r="CU475" s="10" cm="1">
        <f t="array" ref="CU475">_xlfn.IFS(AND($CN475=0, CP475=FALSE), NA(), AND($CN475=1, CP475=FALSE), 0, CP475=TRUE, 1)</f>
        <v>0</v>
      </c>
      <c r="CV475" s="10" cm="1">
        <f t="array" ref="CV475">_xlfn.IFS(AND($CN475=0, CQ475=FALSE), NA(), AND($CN475=1, CQ475=FALSE), 0, CQ475=TRUE, 1)</f>
        <v>0</v>
      </c>
    </row>
    <row r="476" spans="1:100" x14ac:dyDescent="0.25">
      <c r="A476" s="8">
        <v>475</v>
      </c>
      <c r="B476" s="9">
        <v>85</v>
      </c>
      <c r="C476" s="10" t="s">
        <v>10</v>
      </c>
      <c r="D476" s="11" t="s">
        <v>113</v>
      </c>
      <c r="E476" s="12">
        <v>14326</v>
      </c>
      <c r="F476" s="13">
        <v>1</v>
      </c>
      <c r="G476" s="9">
        <v>77.943870544433594</v>
      </c>
      <c r="H476" s="12">
        <v>42795</v>
      </c>
      <c r="I476" s="9">
        <v>1</v>
      </c>
      <c r="J476" s="12">
        <v>42894</v>
      </c>
      <c r="K476" s="9">
        <v>0</v>
      </c>
      <c r="L476" s="9">
        <v>1</v>
      </c>
      <c r="M476" s="10" t="s">
        <v>401</v>
      </c>
      <c r="N476" s="9">
        <v>2</v>
      </c>
      <c r="O476" s="10" t="s">
        <v>145</v>
      </c>
      <c r="P476" s="9">
        <v>2</v>
      </c>
      <c r="Q476" s="10" t="s">
        <v>145</v>
      </c>
      <c r="R476" s="12">
        <v>43087</v>
      </c>
      <c r="S476" s="10" t="s">
        <v>146</v>
      </c>
      <c r="T476" s="9"/>
      <c r="U476" s="10" t="s">
        <v>401</v>
      </c>
      <c r="V476" s="10" t="s">
        <v>401</v>
      </c>
      <c r="W476" s="9"/>
      <c r="X476" s="9"/>
      <c r="Y476" s="9">
        <v>2</v>
      </c>
      <c r="Z476" s="19">
        <v>2</v>
      </c>
      <c r="AB476" s="9"/>
      <c r="AC476" s="9"/>
      <c r="AD476" s="9">
        <v>2</v>
      </c>
      <c r="AE476" s="9">
        <v>2</v>
      </c>
      <c r="AF476" s="9">
        <v>1</v>
      </c>
      <c r="AG476" s="9">
        <v>0</v>
      </c>
      <c r="AH476" s="9">
        <v>1</v>
      </c>
      <c r="AI476" s="9">
        <v>1</v>
      </c>
      <c r="AJ476" s="12">
        <v>43411</v>
      </c>
      <c r="AK476" s="9">
        <v>2</v>
      </c>
      <c r="AL476" s="12">
        <v>43703</v>
      </c>
      <c r="AM476" s="9">
        <v>2</v>
      </c>
      <c r="AN476" s="12">
        <v>43538</v>
      </c>
      <c r="AO476" s="12">
        <v>43721</v>
      </c>
      <c r="AP476" s="12">
        <v>43721</v>
      </c>
      <c r="AQ476" s="9">
        <v>1</v>
      </c>
      <c r="AR476" s="9">
        <f t="shared" si="174"/>
        <v>1</v>
      </c>
      <c r="AS476" s="9">
        <v>1</v>
      </c>
      <c r="AT476" s="9">
        <v>2</v>
      </c>
      <c r="AU476" s="9">
        <v>2</v>
      </c>
      <c r="AV476" s="9">
        <f t="shared" si="175"/>
        <v>1</v>
      </c>
      <c r="AW476" s="12">
        <v>43894</v>
      </c>
      <c r="AX476" s="9"/>
      <c r="AY476" s="9">
        <v>2000</v>
      </c>
      <c r="AZ476" s="9">
        <v>1100</v>
      </c>
      <c r="BA476" s="9">
        <v>2000</v>
      </c>
      <c r="BB476" s="9">
        <v>1100.0001220703125</v>
      </c>
      <c r="BC476" s="9">
        <v>400000</v>
      </c>
      <c r="BD476" s="9">
        <v>300</v>
      </c>
      <c r="BE476" s="9">
        <v>0</v>
      </c>
      <c r="BF476" s="9">
        <v>250</v>
      </c>
      <c r="BG476" s="9"/>
      <c r="BH476" s="9">
        <v>2100</v>
      </c>
      <c r="BI476" s="9">
        <v>1100</v>
      </c>
      <c r="BJ476" s="9">
        <v>250000</v>
      </c>
      <c r="BK476" s="9">
        <v>300</v>
      </c>
      <c r="BL476" s="9">
        <v>0</v>
      </c>
      <c r="BM476" s="9">
        <v>300</v>
      </c>
      <c r="BN476" s="9"/>
      <c r="BO476" s="9">
        <v>2000</v>
      </c>
      <c r="BP476" s="9">
        <v>900</v>
      </c>
      <c r="BQ476" s="9">
        <v>300000</v>
      </c>
      <c r="BR476" s="9">
        <v>400</v>
      </c>
      <c r="BS476" s="9">
        <v>0</v>
      </c>
      <c r="BT476" s="9">
        <v>245</v>
      </c>
      <c r="BU476" s="9"/>
      <c r="BV476" s="9">
        <v>2300</v>
      </c>
      <c r="BW476" s="9">
        <v>1400</v>
      </c>
      <c r="BX476" s="9">
        <v>380000</v>
      </c>
      <c r="BY476" s="9">
        <v>400</v>
      </c>
      <c r="BZ476" s="10" t="s">
        <v>525</v>
      </c>
      <c r="CA476" s="9">
        <v>100</v>
      </c>
      <c r="CB476" s="9">
        <v>200</v>
      </c>
      <c r="CC476" s="10">
        <f t="shared" si="176"/>
        <v>1.8181816164127289</v>
      </c>
      <c r="CD476" s="10">
        <f t="shared" si="177"/>
        <v>363.63632328254579</v>
      </c>
      <c r="CE476" s="10">
        <f t="shared" si="185"/>
        <v>727272.64656509156</v>
      </c>
      <c r="CF476" s="10">
        <f t="shared" si="187"/>
        <v>1</v>
      </c>
      <c r="CG476" s="10">
        <f t="shared" si="171"/>
        <v>1</v>
      </c>
      <c r="CH476" s="10">
        <f t="shared" si="172"/>
        <v>9</v>
      </c>
      <c r="CI476" s="9">
        <f t="shared" si="178"/>
        <v>1</v>
      </c>
      <c r="CJ476" s="10">
        <f t="shared" si="173"/>
        <v>16</v>
      </c>
      <c r="CK476" s="10" t="b">
        <f t="shared" si="179"/>
        <v>1</v>
      </c>
      <c r="CL476" s="10" t="b">
        <f t="shared" si="180"/>
        <v>0</v>
      </c>
      <c r="CM476" s="10" t="b">
        <f t="shared" si="181"/>
        <v>0</v>
      </c>
      <c r="CN476" s="9">
        <f t="shared" si="182"/>
        <v>1</v>
      </c>
      <c r="CO476" s="10">
        <f t="shared" si="186"/>
        <v>10</v>
      </c>
      <c r="CP476" s="10" t="b">
        <f t="shared" si="183"/>
        <v>1</v>
      </c>
      <c r="CQ476" s="10" t="b">
        <f t="shared" si="184"/>
        <v>1</v>
      </c>
      <c r="CR476" s="10" cm="1">
        <f t="array" ref="CR476">_xlfn.IFS(AND($CI476=0, CK476=FALSE), NA(), AND($CI476=1, CK476=FALSE), 0, CK476=TRUE, 1)</f>
        <v>1</v>
      </c>
      <c r="CS476" s="10" cm="1">
        <f t="array" ref="CS476">_xlfn.IFS(AND($CI476=0, CL476=FALSE), NA(), AND($CI476=1, CL476=FALSE), 0, CL476=TRUE, 1)</f>
        <v>0</v>
      </c>
      <c r="CT476" s="10" cm="1">
        <f t="array" ref="CT476">_xlfn.IFS(AND($CI476=0, CM476=FALSE), NA(), AND($CI476=1, CM476=FALSE), 0, CM476=TRUE, 1)</f>
        <v>0</v>
      </c>
      <c r="CU476" s="10" cm="1">
        <f t="array" ref="CU476">_xlfn.IFS(AND($CN476=0, CP476=FALSE), NA(), AND($CN476=1, CP476=FALSE), 0, CP476=TRUE, 1)</f>
        <v>1</v>
      </c>
      <c r="CV476" s="10" cm="1">
        <f t="array" ref="CV476">_xlfn.IFS(AND($CN476=0, CQ476=FALSE), NA(), AND($CN476=1, CQ476=FALSE), 0, CQ476=TRUE, 1)</f>
        <v>1</v>
      </c>
    </row>
    <row r="477" spans="1:100" x14ac:dyDescent="0.25">
      <c r="A477" s="8">
        <v>476</v>
      </c>
      <c r="B477" s="9">
        <v>475</v>
      </c>
      <c r="C477" s="10" t="s">
        <v>31</v>
      </c>
      <c r="D477" s="11" t="s">
        <v>367</v>
      </c>
      <c r="E477" s="12"/>
      <c r="F477" s="13">
        <v>1</v>
      </c>
      <c r="G477" s="9">
        <v>80</v>
      </c>
      <c r="H477" s="12">
        <v>42796</v>
      </c>
      <c r="I477" s="9">
        <v>1</v>
      </c>
      <c r="J477" s="12">
        <v>42796</v>
      </c>
      <c r="K477" s="9">
        <v>0</v>
      </c>
      <c r="L477" s="9">
        <v>1</v>
      </c>
      <c r="M477" s="10" t="s">
        <v>401</v>
      </c>
      <c r="N477" s="9">
        <v>1</v>
      </c>
      <c r="O477" s="10" t="s">
        <v>401</v>
      </c>
      <c r="P477" s="9">
        <v>1</v>
      </c>
      <c r="Q477" s="10" t="s">
        <v>401</v>
      </c>
      <c r="R477" s="12">
        <v>43173</v>
      </c>
      <c r="S477" s="10" t="s">
        <v>146</v>
      </c>
      <c r="T477" s="9"/>
      <c r="U477" s="10" t="s">
        <v>401</v>
      </c>
      <c r="V477" s="10" t="s">
        <v>401</v>
      </c>
      <c r="W477" s="9"/>
      <c r="X477" s="9"/>
      <c r="Y477" s="9">
        <v>2</v>
      </c>
      <c r="Z477" s="19">
        <v>2</v>
      </c>
      <c r="AB477" s="9"/>
      <c r="AC477" s="9"/>
      <c r="AD477" s="9">
        <v>1</v>
      </c>
      <c r="AE477" s="9">
        <v>1</v>
      </c>
      <c r="AF477" s="9">
        <v>1</v>
      </c>
      <c r="AG477" s="9">
        <v>0</v>
      </c>
      <c r="AH477" s="9">
        <v>1</v>
      </c>
      <c r="AI477" s="9">
        <v>0</v>
      </c>
      <c r="AJ477" s="12">
        <v>43521</v>
      </c>
      <c r="AK477" s="9">
        <v>2</v>
      </c>
      <c r="AL477" s="12">
        <v>44263</v>
      </c>
      <c r="AM477" s="9">
        <v>3</v>
      </c>
      <c r="AN477" s="12">
        <v>43704</v>
      </c>
      <c r="AO477" s="12">
        <v>44175</v>
      </c>
      <c r="AP477" s="12">
        <v>44306</v>
      </c>
      <c r="AQ477" s="9">
        <v>1</v>
      </c>
      <c r="AR477" s="9">
        <f t="shared" si="174"/>
        <v>1</v>
      </c>
      <c r="AS477" s="9">
        <v>1</v>
      </c>
      <c r="AT477" s="9">
        <v>1</v>
      </c>
      <c r="AU477" s="9">
        <v>1</v>
      </c>
      <c r="AV477" s="9">
        <f t="shared" si="175"/>
        <v>0</v>
      </c>
      <c r="AW477" s="12">
        <v>44902</v>
      </c>
      <c r="AX477" s="9">
        <v>4100</v>
      </c>
      <c r="AY477" s="9">
        <v>1880</v>
      </c>
      <c r="AZ477" s="9">
        <v>1650</v>
      </c>
      <c r="BA477" s="9">
        <v>1880</v>
      </c>
      <c r="BB477" s="9">
        <v>1650.000244140625</v>
      </c>
      <c r="BC477" s="9">
        <v>222000</v>
      </c>
      <c r="BD477" s="9">
        <v>410</v>
      </c>
      <c r="BE477" s="9">
        <v>90</v>
      </c>
      <c r="BF477" s="9"/>
      <c r="BG477" s="9">
        <v>5510</v>
      </c>
      <c r="BH477" s="9">
        <v>2730</v>
      </c>
      <c r="BI477" s="9">
        <v>2230</v>
      </c>
      <c r="BJ477" s="9">
        <v>267000</v>
      </c>
      <c r="BK477" s="9">
        <v>390</v>
      </c>
      <c r="BL477" s="9">
        <v>90</v>
      </c>
      <c r="BM477" s="9">
        <v>327</v>
      </c>
      <c r="BN477" s="9">
        <v>4420</v>
      </c>
      <c r="BO477" s="9">
        <v>2580</v>
      </c>
      <c r="BP477" s="9">
        <v>1360</v>
      </c>
      <c r="BQ477" s="9">
        <v>210000</v>
      </c>
      <c r="BR477" s="9">
        <v>350</v>
      </c>
      <c r="BS477" s="9">
        <v>80</v>
      </c>
      <c r="BT477" s="9">
        <v>337</v>
      </c>
      <c r="BU477" s="9">
        <v>6360</v>
      </c>
      <c r="BV477" s="9">
        <v>3840</v>
      </c>
      <c r="BW477" s="9">
        <v>1820</v>
      </c>
      <c r="BX477" s="9">
        <v>262000</v>
      </c>
      <c r="BY477" s="9">
        <v>520</v>
      </c>
      <c r="BZ477" s="10" t="s">
        <v>525</v>
      </c>
      <c r="CA477" s="9">
        <v>100</v>
      </c>
      <c r="CB477" s="9">
        <v>335</v>
      </c>
      <c r="CC477" s="10">
        <f t="shared" si="176"/>
        <v>1.1393937708046622</v>
      </c>
      <c r="CD477" s="10">
        <f t="shared" si="177"/>
        <v>134.54543463757182</v>
      </c>
      <c r="CE477" s="10">
        <f t="shared" si="185"/>
        <v>252945.417118635</v>
      </c>
      <c r="CF477" s="10">
        <f t="shared" si="187"/>
        <v>1</v>
      </c>
      <c r="CG477" s="10">
        <f t="shared" si="171"/>
        <v>0</v>
      </c>
      <c r="CH477" s="10">
        <f t="shared" si="172"/>
        <v>25</v>
      </c>
      <c r="CI477" s="9">
        <f t="shared" si="178"/>
        <v>0</v>
      </c>
      <c r="CJ477" s="10">
        <f t="shared" si="173"/>
        <v>46</v>
      </c>
      <c r="CK477" s="10" t="b">
        <f t="shared" si="179"/>
        <v>1</v>
      </c>
      <c r="CL477" s="10" t="b">
        <f t="shared" si="180"/>
        <v>1</v>
      </c>
      <c r="CM477" s="10" t="b">
        <f t="shared" si="181"/>
        <v>1</v>
      </c>
      <c r="CN477" s="9">
        <f t="shared" si="182"/>
        <v>1</v>
      </c>
      <c r="CO477" s="10">
        <f t="shared" si="186"/>
        <v>22</v>
      </c>
      <c r="CP477" s="10" t="b">
        <f t="shared" si="183"/>
        <v>1</v>
      </c>
      <c r="CQ477" s="10" t="b">
        <f t="shared" si="184"/>
        <v>1</v>
      </c>
      <c r="CR477" s="10" cm="1">
        <f t="array" ref="CR477">_xlfn.IFS(AND($CI477=0, CK477=FALSE), NA(), AND($CI477=1, CK477=FALSE), 0, CK477=TRUE, 1)</f>
        <v>1</v>
      </c>
      <c r="CS477" s="10" cm="1">
        <f t="array" ref="CS477">_xlfn.IFS(AND($CI477=0, CL477=FALSE), NA(), AND($CI477=1, CL477=FALSE), 0, CL477=TRUE, 1)</f>
        <v>1</v>
      </c>
      <c r="CT477" s="10" cm="1">
        <f t="array" ref="CT477">_xlfn.IFS(AND($CI477=0, CM477=FALSE), NA(), AND($CI477=1, CM477=FALSE), 0, CM477=TRUE, 1)</f>
        <v>1</v>
      </c>
      <c r="CU477" s="10" cm="1">
        <f t="array" ref="CU477">_xlfn.IFS(AND($CN477=0, CP477=FALSE), NA(), AND($CN477=1, CP477=FALSE), 0, CP477=TRUE, 1)</f>
        <v>1</v>
      </c>
      <c r="CV477" s="10" cm="1">
        <f t="array" ref="CV477">_xlfn.IFS(AND($CN477=0, CQ477=FALSE), NA(), AND($CN477=1, CQ477=FALSE), 0, CQ477=TRUE, 1)</f>
        <v>1</v>
      </c>
    </row>
    <row r="478" spans="1:100" ht="15.75" x14ac:dyDescent="0.25">
      <c r="A478" s="8">
        <v>477</v>
      </c>
      <c r="B478" s="9">
        <v>425</v>
      </c>
      <c r="C478" s="10" t="s">
        <v>29</v>
      </c>
      <c r="D478" s="11" t="s">
        <v>149</v>
      </c>
      <c r="E478" s="12">
        <v>16633</v>
      </c>
      <c r="F478" s="13">
        <v>1</v>
      </c>
      <c r="G478" s="9">
        <v>71.644081115722656</v>
      </c>
      <c r="H478" s="12">
        <v>42801</v>
      </c>
      <c r="I478" s="9">
        <v>1</v>
      </c>
      <c r="J478" s="12">
        <v>42794</v>
      </c>
      <c r="K478" s="9">
        <v>1</v>
      </c>
      <c r="L478" s="9">
        <v>2</v>
      </c>
      <c r="M478" s="10" t="s">
        <v>401</v>
      </c>
      <c r="N478" s="9">
        <v>2</v>
      </c>
      <c r="O478" s="10" t="s">
        <v>146</v>
      </c>
      <c r="P478" s="9">
        <v>2</v>
      </c>
      <c r="Q478" s="10" t="s">
        <v>409</v>
      </c>
      <c r="R478" s="12">
        <v>42828</v>
      </c>
      <c r="S478" s="10" t="s">
        <v>146</v>
      </c>
      <c r="T478" s="9"/>
      <c r="U478" s="10" t="s">
        <v>401</v>
      </c>
      <c r="V478" s="10" t="s">
        <v>401</v>
      </c>
      <c r="W478" s="9"/>
      <c r="X478" s="9"/>
      <c r="Y478" s="9">
        <v>2</v>
      </c>
      <c r="Z478" s="14">
        <v>2</v>
      </c>
      <c r="AA478" s="17">
        <v>11.2</v>
      </c>
      <c r="AB478" s="18">
        <v>97</v>
      </c>
      <c r="AC478" s="18">
        <v>12</v>
      </c>
      <c r="AD478" s="9">
        <v>2</v>
      </c>
      <c r="AE478" s="9">
        <v>2</v>
      </c>
      <c r="AF478" s="9">
        <v>1</v>
      </c>
      <c r="AG478" s="9">
        <v>0</v>
      </c>
      <c r="AH478" s="9">
        <v>1</v>
      </c>
      <c r="AI478" s="9">
        <v>0</v>
      </c>
      <c r="AJ478" s="12">
        <v>43347</v>
      </c>
      <c r="AK478" s="9">
        <v>2</v>
      </c>
      <c r="AL478" s="12">
        <v>43523</v>
      </c>
      <c r="AM478" s="9">
        <v>2</v>
      </c>
      <c r="AN478" s="12">
        <v>43551</v>
      </c>
      <c r="AO478" s="12">
        <v>44007</v>
      </c>
      <c r="AP478" s="12">
        <v>44007</v>
      </c>
      <c r="AQ478" s="9">
        <v>1</v>
      </c>
      <c r="AR478" s="9">
        <f t="shared" si="174"/>
        <v>1</v>
      </c>
      <c r="AS478" s="9">
        <v>1</v>
      </c>
      <c r="AT478" s="9">
        <v>2</v>
      </c>
      <c r="AU478" s="9">
        <v>2</v>
      </c>
      <c r="AV478" s="9">
        <f t="shared" si="175"/>
        <v>1</v>
      </c>
      <c r="AW478" s="12">
        <v>44194</v>
      </c>
      <c r="AX478" s="9">
        <v>5300</v>
      </c>
      <c r="AY478" s="9">
        <v>2600</v>
      </c>
      <c r="AZ478" s="9">
        <v>1700</v>
      </c>
      <c r="BA478" s="9">
        <v>2600</v>
      </c>
      <c r="BB478" s="9">
        <v>1700.0001220703125</v>
      </c>
      <c r="BC478" s="9">
        <v>174000</v>
      </c>
      <c r="BD478" s="9">
        <v>500</v>
      </c>
      <c r="BE478" s="9">
        <v>400</v>
      </c>
      <c r="BF478" s="9"/>
      <c r="BG478" s="9">
        <v>7180</v>
      </c>
      <c r="BH478" s="9">
        <v>4160</v>
      </c>
      <c r="BI478" s="9">
        <v>2240</v>
      </c>
      <c r="BJ478" s="9">
        <v>204000</v>
      </c>
      <c r="BK478" s="9">
        <v>61</v>
      </c>
      <c r="BL478" s="9">
        <v>15</v>
      </c>
      <c r="BM478" s="9"/>
      <c r="BN478" s="9">
        <v>9200</v>
      </c>
      <c r="BO478" s="9">
        <v>5000</v>
      </c>
      <c r="BP478" s="9">
        <v>3100</v>
      </c>
      <c r="BQ478" s="9">
        <v>191000</v>
      </c>
      <c r="BR478" s="9">
        <v>700</v>
      </c>
      <c r="BS478" s="9">
        <v>400</v>
      </c>
      <c r="BT478" s="9"/>
      <c r="BU478" s="9">
        <v>10100</v>
      </c>
      <c r="BV478" s="9">
        <v>7800</v>
      </c>
      <c r="BW478" s="9">
        <v>2100</v>
      </c>
      <c r="BX478" s="9">
        <v>315000</v>
      </c>
      <c r="BY478" s="9">
        <v>620</v>
      </c>
      <c r="BZ478" s="10" t="s">
        <v>540</v>
      </c>
      <c r="CA478" s="9">
        <v>150</v>
      </c>
      <c r="CB478" s="9"/>
      <c r="CC478" s="10">
        <f t="shared" si="176"/>
        <v>1.5294116548848478</v>
      </c>
      <c r="CD478" s="10">
        <f t="shared" si="177"/>
        <v>102.35293382690905</v>
      </c>
      <c r="CE478" s="10">
        <f t="shared" si="185"/>
        <v>266117.6279499635</v>
      </c>
      <c r="CF478" s="10">
        <f t="shared" si="187"/>
        <v>1</v>
      </c>
      <c r="CG478" s="10">
        <f t="shared" si="171"/>
        <v>1</v>
      </c>
      <c r="CH478" s="10">
        <f t="shared" si="172"/>
        <v>5</v>
      </c>
      <c r="CI478" s="9">
        <f t="shared" si="178"/>
        <v>1</v>
      </c>
      <c r="CJ478" s="10">
        <f t="shared" si="173"/>
        <v>27</v>
      </c>
      <c r="CK478" s="10" t="b">
        <f t="shared" si="179"/>
        <v>1</v>
      </c>
      <c r="CL478" s="10" t="b">
        <f t="shared" si="180"/>
        <v>1</v>
      </c>
      <c r="CM478" s="10" t="b">
        <f t="shared" si="181"/>
        <v>1</v>
      </c>
      <c r="CN478" s="9">
        <f t="shared" si="182"/>
        <v>1</v>
      </c>
      <c r="CO478" s="10">
        <f t="shared" si="186"/>
        <v>21</v>
      </c>
      <c r="CP478" s="10" t="b">
        <f t="shared" si="183"/>
        <v>1</v>
      </c>
      <c r="CQ478" s="10" t="b">
        <f t="shared" si="184"/>
        <v>1</v>
      </c>
      <c r="CR478" s="10" cm="1">
        <f t="array" ref="CR478">_xlfn.IFS(AND($CI478=0, CK478=FALSE), NA(), AND($CI478=1, CK478=FALSE), 0, CK478=TRUE, 1)</f>
        <v>1</v>
      </c>
      <c r="CS478" s="10" cm="1">
        <f t="array" ref="CS478">_xlfn.IFS(AND($CI478=0, CL478=FALSE), NA(), AND($CI478=1, CL478=FALSE), 0, CL478=TRUE, 1)</f>
        <v>1</v>
      </c>
      <c r="CT478" s="10" cm="1">
        <f t="array" ref="CT478">_xlfn.IFS(AND($CI478=0, CM478=FALSE), NA(), AND($CI478=1, CM478=FALSE), 0, CM478=TRUE, 1)</f>
        <v>1</v>
      </c>
      <c r="CU478" s="10" cm="1">
        <f t="array" ref="CU478">_xlfn.IFS(AND($CN478=0, CP478=FALSE), NA(), AND($CN478=1, CP478=FALSE), 0, CP478=TRUE, 1)</f>
        <v>1</v>
      </c>
      <c r="CV478" s="10" cm="1">
        <f t="array" ref="CV478">_xlfn.IFS(AND($CN478=0, CQ478=FALSE), NA(), AND($CN478=1, CQ478=FALSE), 0, CQ478=TRUE, 1)</f>
        <v>1</v>
      </c>
    </row>
    <row r="479" spans="1:100" ht="15.75" x14ac:dyDescent="0.25">
      <c r="A479" s="8">
        <v>478</v>
      </c>
      <c r="B479" s="9">
        <v>3</v>
      </c>
      <c r="C479" s="10" t="s">
        <v>3</v>
      </c>
      <c r="D479" s="11" t="s">
        <v>39</v>
      </c>
      <c r="E479" s="12">
        <v>29025</v>
      </c>
      <c r="F479" s="13">
        <v>1</v>
      </c>
      <c r="G479" s="9">
        <v>37.782341003417969</v>
      </c>
      <c r="H479" s="12">
        <v>42825</v>
      </c>
      <c r="I479" s="9">
        <v>1</v>
      </c>
      <c r="J479" s="12">
        <v>42825</v>
      </c>
      <c r="K479" s="9">
        <v>0</v>
      </c>
      <c r="L479" s="9">
        <v>1</v>
      </c>
      <c r="M479" s="10" t="s">
        <v>401</v>
      </c>
      <c r="N479" s="9">
        <v>2</v>
      </c>
      <c r="O479" s="10" t="s">
        <v>147</v>
      </c>
      <c r="P479" s="9">
        <v>2</v>
      </c>
      <c r="Q479" s="10" t="s">
        <v>147</v>
      </c>
      <c r="R479" s="12">
        <v>43335</v>
      </c>
      <c r="S479" s="10" t="s">
        <v>145</v>
      </c>
      <c r="T479" s="9"/>
      <c r="U479" s="10" t="s">
        <v>401</v>
      </c>
      <c r="V479" s="10" t="s">
        <v>401</v>
      </c>
      <c r="W479" s="9"/>
      <c r="X479" s="9"/>
      <c r="Y479" s="9">
        <v>2</v>
      </c>
      <c r="Z479" s="14">
        <v>1</v>
      </c>
      <c r="AA479" s="15">
        <v>11.7</v>
      </c>
      <c r="AB479" s="16">
        <v>70.900000000000006</v>
      </c>
      <c r="AC479" s="9"/>
      <c r="AD479" s="9">
        <v>2</v>
      </c>
      <c r="AE479" s="9">
        <v>2</v>
      </c>
      <c r="AF479" s="9">
        <v>1</v>
      </c>
      <c r="AG479" s="9">
        <v>0</v>
      </c>
      <c r="AH479" s="9">
        <v>1</v>
      </c>
      <c r="AI479" s="9">
        <v>0</v>
      </c>
      <c r="AJ479" s="12">
        <v>43518</v>
      </c>
      <c r="AK479" s="9">
        <v>2</v>
      </c>
      <c r="AL479" s="12">
        <v>43616</v>
      </c>
      <c r="AM479" s="9">
        <v>3</v>
      </c>
      <c r="AN479" s="12">
        <v>43578</v>
      </c>
      <c r="AO479" s="12">
        <v>43620</v>
      </c>
      <c r="AP479" s="12">
        <v>43620</v>
      </c>
      <c r="AQ479" s="9">
        <v>1</v>
      </c>
      <c r="AR479" s="9">
        <f t="shared" si="174"/>
        <v>1</v>
      </c>
      <c r="AS479" s="9">
        <v>1</v>
      </c>
      <c r="AT479" s="9">
        <v>2</v>
      </c>
      <c r="AU479" s="9">
        <v>2</v>
      </c>
      <c r="AV479" s="9">
        <f t="shared" si="175"/>
        <v>1</v>
      </c>
      <c r="AW479" s="12">
        <v>44836</v>
      </c>
      <c r="AX479" s="9">
        <v>6480</v>
      </c>
      <c r="AY479" s="9">
        <v>4140</v>
      </c>
      <c r="AZ479" s="9">
        <v>1490</v>
      </c>
      <c r="BA479" s="9">
        <v>4140</v>
      </c>
      <c r="BB479" s="9">
        <v>1490</v>
      </c>
      <c r="BC479" s="9">
        <v>293000</v>
      </c>
      <c r="BD479" s="9">
        <v>720</v>
      </c>
      <c r="BE479" s="9">
        <v>120</v>
      </c>
      <c r="BF479" s="9"/>
      <c r="BG479" s="9">
        <v>7340</v>
      </c>
      <c r="BH479" s="9">
        <v>4860</v>
      </c>
      <c r="BI479" s="9">
        <v>1430</v>
      </c>
      <c r="BJ479" s="9">
        <v>320000</v>
      </c>
      <c r="BK479" s="9">
        <v>730</v>
      </c>
      <c r="BL479" s="9">
        <v>290</v>
      </c>
      <c r="BM479" s="9"/>
      <c r="BN479" s="9">
        <v>7380</v>
      </c>
      <c r="BO479" s="9">
        <v>4820</v>
      </c>
      <c r="BP479" s="9">
        <v>1480</v>
      </c>
      <c r="BQ479" s="9">
        <v>323000</v>
      </c>
      <c r="BR479" s="9">
        <v>740</v>
      </c>
      <c r="BS479" s="9">
        <v>310</v>
      </c>
      <c r="BT479" s="9"/>
      <c r="BU479" s="9">
        <v>7990</v>
      </c>
      <c r="BV479" s="9">
        <v>4960</v>
      </c>
      <c r="BW479" s="9">
        <v>1920</v>
      </c>
      <c r="BX479" s="9">
        <v>360000</v>
      </c>
      <c r="BY479" s="9">
        <v>780</v>
      </c>
      <c r="BZ479" s="10" t="s">
        <v>548</v>
      </c>
      <c r="CA479" s="9">
        <v>290</v>
      </c>
      <c r="CB479" s="9"/>
      <c r="CC479" s="10">
        <f t="shared" si="176"/>
        <v>2.7785234899328861</v>
      </c>
      <c r="CD479" s="10">
        <f t="shared" si="177"/>
        <v>196.64429530201343</v>
      </c>
      <c r="CE479" s="10">
        <f t="shared" si="185"/>
        <v>814107.38255033561</v>
      </c>
      <c r="CF479" s="10">
        <f t="shared" si="187"/>
        <v>1</v>
      </c>
      <c r="CG479" s="10">
        <f t="shared" si="171"/>
        <v>0</v>
      </c>
      <c r="CH479" s="10">
        <f t="shared" si="172"/>
        <v>3</v>
      </c>
      <c r="CI479" s="9">
        <f t="shared" si="178"/>
        <v>1</v>
      </c>
      <c r="CJ479" s="10">
        <f t="shared" si="173"/>
        <v>44</v>
      </c>
      <c r="CK479" s="10" t="b">
        <f t="shared" si="179"/>
        <v>1</v>
      </c>
      <c r="CL479" s="10" t="b">
        <f t="shared" si="180"/>
        <v>1</v>
      </c>
      <c r="CM479" s="10" t="b">
        <f t="shared" si="181"/>
        <v>1</v>
      </c>
      <c r="CN479" s="9">
        <f t="shared" si="182"/>
        <v>1</v>
      </c>
      <c r="CO479" s="10">
        <f t="shared" si="186"/>
        <v>4</v>
      </c>
      <c r="CP479" s="10" t="b">
        <f t="shared" si="183"/>
        <v>1</v>
      </c>
      <c r="CQ479" s="10" t="b">
        <f t="shared" si="184"/>
        <v>0</v>
      </c>
      <c r="CR479" s="10" cm="1">
        <f t="array" ref="CR479">_xlfn.IFS(AND($CI479=0, CK479=FALSE), NA(), AND($CI479=1, CK479=FALSE), 0, CK479=TRUE, 1)</f>
        <v>1</v>
      </c>
      <c r="CS479" s="10" cm="1">
        <f t="array" ref="CS479">_xlfn.IFS(AND($CI479=0, CL479=FALSE), NA(), AND($CI479=1, CL479=FALSE), 0, CL479=TRUE, 1)</f>
        <v>1</v>
      </c>
      <c r="CT479" s="10" cm="1">
        <f t="array" ref="CT479">_xlfn.IFS(AND($CI479=0, CM479=FALSE), NA(), AND($CI479=1, CM479=FALSE), 0, CM479=TRUE, 1)</f>
        <v>1</v>
      </c>
      <c r="CU479" s="10" cm="1">
        <f t="array" ref="CU479">_xlfn.IFS(AND($CN479=0, CP479=FALSE), NA(), AND($CN479=1, CP479=FALSE), 0, CP479=TRUE, 1)</f>
        <v>1</v>
      </c>
      <c r="CV479" s="10" cm="1">
        <f t="array" ref="CV479">_xlfn.IFS(AND($CN479=0, CQ479=FALSE), NA(), AND($CN479=1, CQ479=FALSE), 0, CQ479=TRUE, 1)</f>
        <v>0</v>
      </c>
    </row>
    <row r="480" spans="1:100" x14ac:dyDescent="0.25">
      <c r="A480" s="8">
        <v>479</v>
      </c>
      <c r="B480" s="9">
        <v>75</v>
      </c>
      <c r="C480" s="10" t="s">
        <v>9</v>
      </c>
      <c r="D480" s="11" t="s">
        <v>103</v>
      </c>
      <c r="E480" s="12">
        <v>20109</v>
      </c>
      <c r="F480" s="13">
        <v>1</v>
      </c>
      <c r="G480" s="9">
        <v>62.231349945068359</v>
      </c>
      <c r="H480" s="12">
        <v>42839</v>
      </c>
      <c r="I480" s="9">
        <v>0</v>
      </c>
      <c r="J480" s="12"/>
      <c r="K480" s="9">
        <v>1</v>
      </c>
      <c r="L480" s="9">
        <v>1</v>
      </c>
      <c r="M480" s="10" t="s">
        <v>401</v>
      </c>
      <c r="N480" s="9">
        <v>2</v>
      </c>
      <c r="O480" s="10" t="s">
        <v>145</v>
      </c>
      <c r="P480" s="9">
        <v>2</v>
      </c>
      <c r="Q480" s="10" t="s">
        <v>145</v>
      </c>
      <c r="R480" s="12">
        <v>42839</v>
      </c>
      <c r="S480" s="10" t="s">
        <v>145</v>
      </c>
      <c r="T480" s="9"/>
      <c r="U480" s="10" t="s">
        <v>401</v>
      </c>
      <c r="V480" s="10" t="s">
        <v>401</v>
      </c>
      <c r="W480" s="9"/>
      <c r="X480" s="9"/>
      <c r="Y480" s="9">
        <v>2</v>
      </c>
      <c r="Z480" s="19">
        <v>1</v>
      </c>
      <c r="AB480" s="9"/>
      <c r="AC480" s="9"/>
      <c r="AD480" s="9">
        <v>2</v>
      </c>
      <c r="AE480" s="9">
        <v>2</v>
      </c>
      <c r="AF480" s="9">
        <v>1</v>
      </c>
      <c r="AG480" s="9">
        <v>1</v>
      </c>
      <c r="AH480" s="9">
        <v>1</v>
      </c>
      <c r="AI480" s="9">
        <v>1</v>
      </c>
      <c r="AJ480" s="12">
        <v>42890</v>
      </c>
      <c r="AK480" s="9">
        <v>2</v>
      </c>
      <c r="AL480" s="12">
        <v>43258</v>
      </c>
      <c r="AM480" s="9">
        <v>3</v>
      </c>
      <c r="AN480" s="12">
        <v>42970</v>
      </c>
      <c r="AO480" s="12">
        <v>43415</v>
      </c>
      <c r="AP480" s="12">
        <v>43415</v>
      </c>
      <c r="AQ480" s="9">
        <v>1</v>
      </c>
      <c r="AR480" s="9">
        <f t="shared" si="174"/>
        <v>1</v>
      </c>
      <c r="AS480" s="9">
        <v>1</v>
      </c>
      <c r="AT480" s="9">
        <v>2</v>
      </c>
      <c r="AU480" s="9">
        <v>1</v>
      </c>
      <c r="AV480" s="9">
        <f t="shared" si="175"/>
        <v>0</v>
      </c>
      <c r="AW480" s="12">
        <v>43749</v>
      </c>
      <c r="AX480" s="9">
        <v>5100</v>
      </c>
      <c r="AY480" s="9">
        <v>2700</v>
      </c>
      <c r="AZ480" s="9"/>
      <c r="BA480" s="9">
        <v>2700</v>
      </c>
      <c r="BB480" s="9">
        <v>1277.114501953125</v>
      </c>
      <c r="BC480" s="9">
        <v>167000</v>
      </c>
      <c r="BD480" s="9"/>
      <c r="BE480" s="9"/>
      <c r="BF480" s="9"/>
      <c r="BG480" s="9">
        <v>5100</v>
      </c>
      <c r="BH480" s="9"/>
      <c r="BI480" s="9"/>
      <c r="BJ480" s="9">
        <v>214000</v>
      </c>
      <c r="BK480" s="9"/>
      <c r="BL480" s="9"/>
      <c r="BM480" s="9"/>
      <c r="BN480" s="9">
        <v>7100</v>
      </c>
      <c r="BO480" s="9">
        <v>4200</v>
      </c>
      <c r="BP480" s="9"/>
      <c r="BQ480" s="9">
        <v>224000</v>
      </c>
      <c r="BR480" s="9"/>
      <c r="BS480" s="9"/>
      <c r="BT480" s="9"/>
      <c r="BU480" s="9">
        <v>7100</v>
      </c>
      <c r="BV480" s="9">
        <v>4200</v>
      </c>
      <c r="BW480" s="9"/>
      <c r="BX480" s="9">
        <v>292000</v>
      </c>
      <c r="BY480" s="9"/>
      <c r="BZ480" s="10" t="s">
        <v>401</v>
      </c>
      <c r="CA480" s="9"/>
      <c r="CB480" s="9"/>
      <c r="CC480" s="10">
        <f t="shared" si="176"/>
        <v>2.1141408979937339</v>
      </c>
      <c r="CD480" s="10">
        <f t="shared" si="177"/>
        <v>130.76352961664946</v>
      </c>
      <c r="CE480" s="10">
        <f t="shared" si="185"/>
        <v>353061.52996495354</v>
      </c>
      <c r="CF480" s="10">
        <f t="shared" si="187"/>
        <v>1</v>
      </c>
      <c r="CG480" s="10">
        <f t="shared" si="171"/>
        <v>0</v>
      </c>
      <c r="CH480" s="10">
        <f t="shared" si="172"/>
        <v>12</v>
      </c>
      <c r="CI480" s="9">
        <f t="shared" si="178"/>
        <v>0</v>
      </c>
      <c r="CJ480" s="10">
        <f t="shared" si="173"/>
        <v>28</v>
      </c>
      <c r="CK480" s="10" t="b">
        <f t="shared" si="179"/>
        <v>1</v>
      </c>
      <c r="CL480" s="10" t="b">
        <f t="shared" si="180"/>
        <v>1</v>
      </c>
      <c r="CM480" s="10" t="b">
        <f t="shared" si="181"/>
        <v>1</v>
      </c>
      <c r="CN480" s="9">
        <f t="shared" si="182"/>
        <v>1</v>
      </c>
      <c r="CO480" s="10">
        <f t="shared" si="186"/>
        <v>17</v>
      </c>
      <c r="CP480" s="10" t="b">
        <f t="shared" si="183"/>
        <v>1</v>
      </c>
      <c r="CQ480" s="10" t="b">
        <f t="shared" si="184"/>
        <v>1</v>
      </c>
      <c r="CR480" s="10" cm="1">
        <f t="array" ref="CR480">_xlfn.IFS(AND($CI480=0, CK480=FALSE), NA(), AND($CI480=1, CK480=FALSE), 0, CK480=TRUE, 1)</f>
        <v>1</v>
      </c>
      <c r="CS480" s="10" cm="1">
        <f t="array" ref="CS480">_xlfn.IFS(AND($CI480=0, CL480=FALSE), NA(), AND($CI480=1, CL480=FALSE), 0, CL480=TRUE, 1)</f>
        <v>1</v>
      </c>
      <c r="CT480" s="10" cm="1">
        <f t="array" ref="CT480">_xlfn.IFS(AND($CI480=0, CM480=FALSE), NA(), AND($CI480=1, CM480=FALSE), 0, CM480=TRUE, 1)</f>
        <v>1</v>
      </c>
      <c r="CU480" s="10" cm="1">
        <f t="array" ref="CU480">_xlfn.IFS(AND($CN480=0, CP480=FALSE), NA(), AND($CN480=1, CP480=FALSE), 0, CP480=TRUE, 1)</f>
        <v>1</v>
      </c>
      <c r="CV480" s="10" cm="1">
        <f t="array" ref="CV480">_xlfn.IFS(AND($CN480=0, CQ480=FALSE), NA(), AND($CN480=1, CQ480=FALSE), 0, CQ480=TRUE, 1)</f>
        <v>1</v>
      </c>
    </row>
    <row r="481" spans="1:100" ht="15.75" x14ac:dyDescent="0.25">
      <c r="A481" s="8">
        <v>480</v>
      </c>
      <c r="B481" s="9">
        <v>240</v>
      </c>
      <c r="C481" s="10" t="s">
        <v>20</v>
      </c>
      <c r="D481" s="11" t="s">
        <v>232</v>
      </c>
      <c r="E481" s="12">
        <v>29567</v>
      </c>
      <c r="F481" s="13">
        <v>1</v>
      </c>
      <c r="G481" s="9">
        <v>36.339492797851563</v>
      </c>
      <c r="H481" s="12">
        <v>42840</v>
      </c>
      <c r="I481" s="9">
        <v>1</v>
      </c>
      <c r="J481" s="12">
        <v>42858</v>
      </c>
      <c r="K481" s="9">
        <v>1</v>
      </c>
      <c r="L481" s="9">
        <v>1</v>
      </c>
      <c r="M481" s="10" t="s">
        <v>401</v>
      </c>
      <c r="N481" s="9">
        <v>3</v>
      </c>
      <c r="O481" s="10" t="s">
        <v>431</v>
      </c>
      <c r="P481" s="9">
        <v>2</v>
      </c>
      <c r="Q481" s="10" t="s">
        <v>421</v>
      </c>
      <c r="R481" s="12">
        <v>42895</v>
      </c>
      <c r="S481" s="10">
        <v>2</v>
      </c>
      <c r="T481" s="9">
        <v>4</v>
      </c>
      <c r="U481" s="10" t="s">
        <v>401</v>
      </c>
      <c r="V481" s="10" t="s">
        <v>401</v>
      </c>
      <c r="W481" s="9"/>
      <c r="X481" s="9"/>
      <c r="Y481" s="9">
        <v>3</v>
      </c>
      <c r="Z481" s="14">
        <v>2</v>
      </c>
      <c r="AB481" s="9"/>
      <c r="AC481" s="9"/>
      <c r="AD481" s="9">
        <v>2</v>
      </c>
      <c r="AE481" s="9">
        <v>2</v>
      </c>
      <c r="AF481" s="9">
        <v>2</v>
      </c>
      <c r="AG481" s="9">
        <v>1</v>
      </c>
      <c r="AH481" s="9">
        <v>0</v>
      </c>
      <c r="AI481" s="9">
        <v>1</v>
      </c>
      <c r="AJ481" s="12">
        <v>43433</v>
      </c>
      <c r="AK481" s="9">
        <v>2</v>
      </c>
      <c r="AL481" s="12">
        <v>43522</v>
      </c>
      <c r="AM481" s="9">
        <v>4</v>
      </c>
      <c r="AN481" s="12">
        <v>43545</v>
      </c>
      <c r="AO481" s="12">
        <v>43545</v>
      </c>
      <c r="AP481" s="12">
        <v>43545</v>
      </c>
      <c r="AQ481" s="9">
        <v>1</v>
      </c>
      <c r="AR481" s="9">
        <f t="shared" si="174"/>
        <v>1</v>
      </c>
      <c r="AS481" s="9">
        <v>1</v>
      </c>
      <c r="AT481" s="9">
        <v>2</v>
      </c>
      <c r="AU481" s="9">
        <v>2</v>
      </c>
      <c r="AV481" s="9">
        <f t="shared" si="175"/>
        <v>1</v>
      </c>
      <c r="AW481" s="12">
        <v>43617</v>
      </c>
      <c r="AX481" s="9">
        <v>7700</v>
      </c>
      <c r="AY481" s="9">
        <v>4081</v>
      </c>
      <c r="AZ481" s="9"/>
      <c r="BA481" s="9">
        <v>4081</v>
      </c>
      <c r="BB481" s="9">
        <v>2284.864990234375</v>
      </c>
      <c r="BC481" s="9">
        <v>388000</v>
      </c>
      <c r="BD481" s="9"/>
      <c r="BE481" s="9"/>
      <c r="BF481" s="9"/>
      <c r="BG481" s="9">
        <v>14900</v>
      </c>
      <c r="BH481" s="9">
        <v>10281</v>
      </c>
      <c r="BI481" s="9"/>
      <c r="BJ481" s="9">
        <v>650000</v>
      </c>
      <c r="BK481" s="9"/>
      <c r="BL481" s="9"/>
      <c r="BM481" s="9"/>
      <c r="BN481" s="9">
        <v>12070</v>
      </c>
      <c r="BO481" s="9">
        <v>7483</v>
      </c>
      <c r="BP481" s="9"/>
      <c r="BQ481" s="9">
        <v>452000</v>
      </c>
      <c r="BR481" s="9"/>
      <c r="BS481" s="9"/>
      <c r="BT481" s="9"/>
      <c r="BU481" s="9">
        <v>19700</v>
      </c>
      <c r="BV481" s="9">
        <v>14184</v>
      </c>
      <c r="BW481" s="9"/>
      <c r="BX481" s="9">
        <v>415000</v>
      </c>
      <c r="BY481" s="9"/>
      <c r="BZ481" s="10" t="s">
        <v>401</v>
      </c>
      <c r="CA481" s="9"/>
      <c r="CB481" s="9"/>
      <c r="CC481" s="10">
        <f t="shared" si="176"/>
        <v>1.7861011558417648</v>
      </c>
      <c r="CD481" s="10">
        <f t="shared" si="177"/>
        <v>169.81309690433835</v>
      </c>
      <c r="CE481" s="10">
        <f t="shared" si="185"/>
        <v>693007.24846660474</v>
      </c>
      <c r="CF481" s="10">
        <f t="shared" si="187"/>
        <v>0</v>
      </c>
      <c r="CG481" s="10">
        <f t="shared" si="171"/>
        <v>0</v>
      </c>
      <c r="CH481" s="10">
        <f t="shared" si="172"/>
        <v>3</v>
      </c>
      <c r="CI481" s="9">
        <f t="shared" si="178"/>
        <v>1</v>
      </c>
      <c r="CJ481" s="10">
        <f t="shared" si="173"/>
        <v>7</v>
      </c>
      <c r="CK481" s="10" t="b">
        <f t="shared" si="179"/>
        <v>1</v>
      </c>
      <c r="CL481" s="10" t="b">
        <f t="shared" si="180"/>
        <v>0</v>
      </c>
      <c r="CM481" s="10" t="b">
        <f t="shared" si="181"/>
        <v>0</v>
      </c>
      <c r="CN481" s="9">
        <f t="shared" si="182"/>
        <v>1</v>
      </c>
      <c r="CO481" s="10">
        <f t="shared" si="186"/>
        <v>4</v>
      </c>
      <c r="CP481" s="10" t="b">
        <f t="shared" si="183"/>
        <v>1</v>
      </c>
      <c r="CQ481" s="10" t="b">
        <f t="shared" si="184"/>
        <v>0</v>
      </c>
      <c r="CR481" s="10" cm="1">
        <f t="array" ref="CR481">_xlfn.IFS(AND($CI481=0, CK481=FALSE), NA(), AND($CI481=1, CK481=FALSE), 0, CK481=TRUE, 1)</f>
        <v>1</v>
      </c>
      <c r="CS481" s="10" cm="1">
        <f t="array" ref="CS481">_xlfn.IFS(AND($CI481=0, CL481=FALSE), NA(), AND($CI481=1, CL481=FALSE), 0, CL481=TRUE, 1)</f>
        <v>0</v>
      </c>
      <c r="CT481" s="10" cm="1">
        <f t="array" ref="CT481">_xlfn.IFS(AND($CI481=0, CM481=FALSE), NA(), AND($CI481=1, CM481=FALSE), 0, CM481=TRUE, 1)</f>
        <v>0</v>
      </c>
      <c r="CU481" s="10" cm="1">
        <f t="array" ref="CU481">_xlfn.IFS(AND($CN481=0, CP481=FALSE), NA(), AND($CN481=1, CP481=FALSE), 0, CP481=TRUE, 1)</f>
        <v>1</v>
      </c>
      <c r="CV481" s="10" cm="1">
        <f t="array" ref="CV481">_xlfn.IFS(AND($CN481=0, CQ481=FALSE), NA(), AND($CN481=1, CQ481=FALSE), 0, CQ481=TRUE, 1)</f>
        <v>0</v>
      </c>
    </row>
    <row r="482" spans="1:100" ht="15.75" x14ac:dyDescent="0.25">
      <c r="A482" s="8">
        <v>481</v>
      </c>
      <c r="B482" s="9">
        <v>191</v>
      </c>
      <c r="C482" s="10" t="s">
        <v>17</v>
      </c>
      <c r="D482" s="11" t="s">
        <v>198</v>
      </c>
      <c r="E482" s="12">
        <v>17647</v>
      </c>
      <c r="F482" s="13">
        <v>2</v>
      </c>
      <c r="G482" s="9">
        <v>68.985626220703125</v>
      </c>
      <c r="H482" s="12">
        <v>42844</v>
      </c>
      <c r="I482" s="9">
        <v>1</v>
      </c>
      <c r="J482" s="12">
        <v>42844</v>
      </c>
      <c r="K482" s="9">
        <v>1</v>
      </c>
      <c r="L482" s="9">
        <v>1</v>
      </c>
      <c r="M482" s="10" t="s">
        <v>401</v>
      </c>
      <c r="N482" s="9">
        <v>2</v>
      </c>
      <c r="O482" s="10" t="s">
        <v>409</v>
      </c>
      <c r="P482" s="9">
        <v>2</v>
      </c>
      <c r="Q482" s="10" t="s">
        <v>409</v>
      </c>
      <c r="R482" s="12">
        <v>42781</v>
      </c>
      <c r="S482" s="10" t="s">
        <v>145</v>
      </c>
      <c r="T482" s="9"/>
      <c r="U482" s="10" t="s">
        <v>401</v>
      </c>
      <c r="V482" s="10" t="s">
        <v>401</v>
      </c>
      <c r="W482" s="9"/>
      <c r="X482" s="9"/>
      <c r="Y482" s="9">
        <v>2</v>
      </c>
      <c r="Z482" s="14">
        <v>1</v>
      </c>
      <c r="AA482" s="15">
        <v>11.8</v>
      </c>
      <c r="AB482" s="16">
        <v>93</v>
      </c>
      <c r="AC482" s="16">
        <v>17</v>
      </c>
      <c r="AD482" s="9">
        <v>2</v>
      </c>
      <c r="AE482" s="9">
        <v>2</v>
      </c>
      <c r="AF482" s="9">
        <v>1</v>
      </c>
      <c r="AG482" s="9">
        <v>0</v>
      </c>
      <c r="AH482" s="9">
        <v>1</v>
      </c>
      <c r="AI482" s="9">
        <v>1</v>
      </c>
      <c r="AJ482" s="12">
        <v>43196</v>
      </c>
      <c r="AK482" s="9">
        <v>2</v>
      </c>
      <c r="AL482" s="12">
        <v>43256</v>
      </c>
      <c r="AM482" s="9">
        <v>4</v>
      </c>
      <c r="AN482" s="12">
        <v>43259</v>
      </c>
      <c r="AO482" s="12">
        <v>43259</v>
      </c>
      <c r="AP482" s="12">
        <v>43259</v>
      </c>
      <c r="AQ482" s="9">
        <v>1</v>
      </c>
      <c r="AR482" s="9">
        <f t="shared" si="174"/>
        <v>1</v>
      </c>
      <c r="AS482" s="9">
        <v>1</v>
      </c>
      <c r="AT482" s="9">
        <v>2</v>
      </c>
      <c r="AU482" s="9">
        <v>2</v>
      </c>
      <c r="AV482" s="9">
        <f t="shared" si="175"/>
        <v>1</v>
      </c>
      <c r="AW482" s="12">
        <v>43328</v>
      </c>
      <c r="AX482" s="9">
        <v>5620</v>
      </c>
      <c r="AY482" s="9">
        <v>4300</v>
      </c>
      <c r="AZ482" s="9">
        <v>500</v>
      </c>
      <c r="BA482" s="9">
        <v>4300</v>
      </c>
      <c r="BB482" s="9">
        <v>500.00006103515625</v>
      </c>
      <c r="BC482" s="9">
        <v>250000</v>
      </c>
      <c r="BD482" s="9">
        <v>600</v>
      </c>
      <c r="BE482" s="9">
        <v>200</v>
      </c>
      <c r="BF482" s="9"/>
      <c r="BG482" s="9">
        <v>6900</v>
      </c>
      <c r="BH482" s="9">
        <v>5500</v>
      </c>
      <c r="BI482" s="9">
        <v>600</v>
      </c>
      <c r="BJ482" s="9">
        <v>246000</v>
      </c>
      <c r="BK482" s="9">
        <v>600</v>
      </c>
      <c r="BL482" s="9">
        <v>200</v>
      </c>
      <c r="BM482" s="9"/>
      <c r="BN482" s="9">
        <v>8060</v>
      </c>
      <c r="BO482" s="9">
        <v>6500</v>
      </c>
      <c r="BP482" s="9">
        <v>700</v>
      </c>
      <c r="BQ482" s="9">
        <v>236000</v>
      </c>
      <c r="BR482" s="9">
        <v>600</v>
      </c>
      <c r="BS482" s="9">
        <v>200</v>
      </c>
      <c r="BT482" s="9"/>
      <c r="BU482" s="9">
        <v>7920</v>
      </c>
      <c r="BV482" s="9">
        <v>6600</v>
      </c>
      <c r="BW482" s="9">
        <v>600</v>
      </c>
      <c r="BX482" s="9">
        <v>208000</v>
      </c>
      <c r="BY482" s="9">
        <v>500</v>
      </c>
      <c r="BZ482" s="10" t="s">
        <v>524</v>
      </c>
      <c r="CA482" s="9">
        <v>200</v>
      </c>
      <c r="CB482" s="9"/>
      <c r="CC482" s="10">
        <f t="shared" si="176"/>
        <v>8.5999989501954399</v>
      </c>
      <c r="CD482" s="10">
        <f t="shared" si="177"/>
        <v>499.9999389648512</v>
      </c>
      <c r="CE482" s="10">
        <f t="shared" si="185"/>
        <v>2149999.7375488598</v>
      </c>
      <c r="CF482" s="10">
        <f t="shared" si="187"/>
        <v>0</v>
      </c>
      <c r="CG482" s="10">
        <f t="shared" si="171"/>
        <v>0</v>
      </c>
      <c r="CH482" s="10">
        <f t="shared" si="172"/>
        <v>2</v>
      </c>
      <c r="CI482" s="9">
        <f t="shared" si="178"/>
        <v>1</v>
      </c>
      <c r="CJ482" s="10">
        <f t="shared" si="173"/>
        <v>4</v>
      </c>
      <c r="CK482" s="10" t="b">
        <f t="shared" si="179"/>
        <v>0</v>
      </c>
      <c r="CL482" s="10" t="b">
        <f t="shared" si="180"/>
        <v>0</v>
      </c>
      <c r="CM482" s="10" t="b">
        <f t="shared" si="181"/>
        <v>0</v>
      </c>
      <c r="CN482" s="9">
        <f t="shared" si="182"/>
        <v>1</v>
      </c>
      <c r="CO482" s="10">
        <f t="shared" si="186"/>
        <v>2</v>
      </c>
      <c r="CP482" s="10" t="b">
        <f t="shared" si="183"/>
        <v>0</v>
      </c>
      <c r="CQ482" s="10" t="b">
        <f t="shared" si="184"/>
        <v>0</v>
      </c>
      <c r="CR482" s="10" cm="1">
        <f t="array" ref="CR482">_xlfn.IFS(AND($CI482=0, CK482=FALSE), NA(), AND($CI482=1, CK482=FALSE), 0, CK482=TRUE, 1)</f>
        <v>0</v>
      </c>
      <c r="CS482" s="10" cm="1">
        <f t="array" ref="CS482">_xlfn.IFS(AND($CI482=0, CL482=FALSE), NA(), AND($CI482=1, CL482=FALSE), 0, CL482=TRUE, 1)</f>
        <v>0</v>
      </c>
      <c r="CT482" s="10" cm="1">
        <f t="array" ref="CT482">_xlfn.IFS(AND($CI482=0, CM482=FALSE), NA(), AND($CI482=1, CM482=FALSE), 0, CM482=TRUE, 1)</f>
        <v>0</v>
      </c>
      <c r="CU482" s="10" cm="1">
        <f t="array" ref="CU482">_xlfn.IFS(AND($CN482=0, CP482=FALSE), NA(), AND($CN482=1, CP482=FALSE), 0, CP482=TRUE, 1)</f>
        <v>0</v>
      </c>
      <c r="CV482" s="10" cm="1">
        <f t="array" ref="CV482">_xlfn.IFS(AND($CN482=0, CQ482=FALSE), NA(), AND($CN482=1, CQ482=FALSE), 0, CQ482=TRUE, 1)</f>
        <v>0</v>
      </c>
    </row>
    <row r="483" spans="1:100" ht="15.75" x14ac:dyDescent="0.25">
      <c r="A483" s="8">
        <v>482</v>
      </c>
      <c r="B483" s="9">
        <v>495</v>
      </c>
      <c r="C483" s="10" t="s">
        <v>32</v>
      </c>
      <c r="D483" s="11" t="s">
        <v>203</v>
      </c>
      <c r="E483" s="12">
        <v>22730</v>
      </c>
      <c r="F483" s="13">
        <v>2</v>
      </c>
      <c r="G483" s="9">
        <v>55.071868896484375</v>
      </c>
      <c r="H483" s="12">
        <v>42845</v>
      </c>
      <c r="I483" s="9">
        <v>0</v>
      </c>
      <c r="J483" s="12"/>
      <c r="K483" s="9">
        <v>1</v>
      </c>
      <c r="L483" s="9">
        <v>1</v>
      </c>
      <c r="M483" s="10" t="s">
        <v>401</v>
      </c>
      <c r="N483" s="9">
        <v>3</v>
      </c>
      <c r="O483" s="10" t="s">
        <v>441</v>
      </c>
      <c r="P483" s="9">
        <v>3</v>
      </c>
      <c r="Q483" s="10" t="s">
        <v>441</v>
      </c>
      <c r="R483" s="12">
        <v>42845</v>
      </c>
      <c r="S483" s="10" t="s">
        <v>145</v>
      </c>
      <c r="T483" s="9"/>
      <c r="U483" s="10" t="s">
        <v>401</v>
      </c>
      <c r="V483" s="10" t="s">
        <v>401</v>
      </c>
      <c r="W483" s="9"/>
      <c r="X483" s="9"/>
      <c r="Y483" s="9">
        <v>2</v>
      </c>
      <c r="Z483" s="14">
        <v>1</v>
      </c>
      <c r="AA483" s="17">
        <v>12.7</v>
      </c>
      <c r="AB483" s="18">
        <v>86</v>
      </c>
      <c r="AC483" s="18">
        <v>15</v>
      </c>
      <c r="AD483" s="9">
        <v>3</v>
      </c>
      <c r="AE483" s="9">
        <v>3</v>
      </c>
      <c r="AF483" s="9">
        <v>2</v>
      </c>
      <c r="AG483" s="9">
        <v>1</v>
      </c>
      <c r="AH483" s="9">
        <v>1</v>
      </c>
      <c r="AI483" s="9">
        <v>1</v>
      </c>
      <c r="AJ483" s="12">
        <v>43006</v>
      </c>
      <c r="AK483" s="9">
        <v>2</v>
      </c>
      <c r="AL483" s="12">
        <v>43057</v>
      </c>
      <c r="AM483" s="9">
        <v>4</v>
      </c>
      <c r="AN483" s="12">
        <v>43060</v>
      </c>
      <c r="AO483" s="12">
        <v>43060</v>
      </c>
      <c r="AP483" s="12">
        <v>43060</v>
      </c>
      <c r="AQ483" s="9">
        <v>1</v>
      </c>
      <c r="AR483" s="9">
        <f t="shared" si="174"/>
        <v>1</v>
      </c>
      <c r="AS483" s="9">
        <v>1</v>
      </c>
      <c r="AT483" s="9">
        <v>2</v>
      </c>
      <c r="AU483" s="9">
        <v>2</v>
      </c>
      <c r="AV483" s="9">
        <f t="shared" si="175"/>
        <v>1</v>
      </c>
      <c r="AW483" s="12">
        <v>43089</v>
      </c>
      <c r="AX483" s="9">
        <v>6570</v>
      </c>
      <c r="AY483" s="9">
        <v>5390</v>
      </c>
      <c r="AZ483" s="9">
        <v>820</v>
      </c>
      <c r="BA483" s="9">
        <v>5390</v>
      </c>
      <c r="BB483" s="9">
        <v>820</v>
      </c>
      <c r="BC483" s="9">
        <v>230000</v>
      </c>
      <c r="BD483" s="9">
        <v>270</v>
      </c>
      <c r="BE483" s="9">
        <v>20</v>
      </c>
      <c r="BF483" s="9">
        <v>133</v>
      </c>
      <c r="BG483" s="9">
        <v>14890</v>
      </c>
      <c r="BH483" s="9">
        <v>13020</v>
      </c>
      <c r="BI483" s="9">
        <v>1100</v>
      </c>
      <c r="BJ483" s="9">
        <v>363000</v>
      </c>
      <c r="BK483" s="9">
        <v>650</v>
      </c>
      <c r="BL483" s="9">
        <v>30</v>
      </c>
      <c r="BM483" s="9">
        <v>230</v>
      </c>
      <c r="BN483" s="9">
        <v>12610</v>
      </c>
      <c r="BO483" s="9">
        <v>11220</v>
      </c>
      <c r="BP483" s="9">
        <v>780</v>
      </c>
      <c r="BQ483" s="9">
        <v>299000</v>
      </c>
      <c r="BR483" s="9">
        <v>460</v>
      </c>
      <c r="BS483" s="9">
        <v>10</v>
      </c>
      <c r="BT483" s="9">
        <v>1450</v>
      </c>
      <c r="BU483" s="9">
        <v>14890</v>
      </c>
      <c r="BV483" s="9">
        <v>10800</v>
      </c>
      <c r="BW483" s="9">
        <v>3020</v>
      </c>
      <c r="BX483" s="9">
        <v>248000</v>
      </c>
      <c r="BY483" s="9">
        <v>700</v>
      </c>
      <c r="BZ483" s="10" t="s">
        <v>545</v>
      </c>
      <c r="CA483" s="9">
        <v>370</v>
      </c>
      <c r="CB483" s="9">
        <v>160</v>
      </c>
      <c r="CC483" s="10">
        <f t="shared" si="176"/>
        <v>6.5731707317073171</v>
      </c>
      <c r="CD483" s="10">
        <f t="shared" si="177"/>
        <v>280.48780487804879</v>
      </c>
      <c r="CE483" s="10">
        <f t="shared" si="185"/>
        <v>1511829.2682926829</v>
      </c>
      <c r="CF483" s="10">
        <f t="shared" si="187"/>
        <v>0</v>
      </c>
      <c r="CG483" s="10">
        <f t="shared" si="171"/>
        <v>0</v>
      </c>
      <c r="CH483" s="10">
        <f t="shared" si="172"/>
        <v>2</v>
      </c>
      <c r="CI483" s="9">
        <f t="shared" si="178"/>
        <v>1</v>
      </c>
      <c r="CJ483" s="10">
        <f t="shared" si="173"/>
        <v>3</v>
      </c>
      <c r="CK483" s="10" t="b">
        <f t="shared" si="179"/>
        <v>0</v>
      </c>
      <c r="CL483" s="10" t="b">
        <f t="shared" si="180"/>
        <v>0</v>
      </c>
      <c r="CM483" s="10" t="b">
        <f t="shared" si="181"/>
        <v>0</v>
      </c>
      <c r="CN483" s="9">
        <f t="shared" si="182"/>
        <v>1</v>
      </c>
      <c r="CO483" s="10">
        <f t="shared" si="186"/>
        <v>2</v>
      </c>
      <c r="CP483" s="10" t="b">
        <f t="shared" si="183"/>
        <v>0</v>
      </c>
      <c r="CQ483" s="10" t="b">
        <f t="shared" si="184"/>
        <v>0</v>
      </c>
      <c r="CR483" s="10" cm="1">
        <f t="array" ref="CR483">_xlfn.IFS(AND($CI483=0, CK483=FALSE), NA(), AND($CI483=1, CK483=FALSE), 0, CK483=TRUE, 1)</f>
        <v>0</v>
      </c>
      <c r="CS483" s="10" cm="1">
        <f t="array" ref="CS483">_xlfn.IFS(AND($CI483=0, CL483=FALSE), NA(), AND($CI483=1, CL483=FALSE), 0, CL483=TRUE, 1)</f>
        <v>0</v>
      </c>
      <c r="CT483" s="10" cm="1">
        <f t="array" ref="CT483">_xlfn.IFS(AND($CI483=0, CM483=FALSE), NA(), AND($CI483=1, CM483=FALSE), 0, CM483=TRUE, 1)</f>
        <v>0</v>
      </c>
      <c r="CU483" s="10" cm="1">
        <f t="array" ref="CU483">_xlfn.IFS(AND($CN483=0, CP483=FALSE), NA(), AND($CN483=1, CP483=FALSE), 0, CP483=TRUE, 1)</f>
        <v>0</v>
      </c>
      <c r="CV483" s="10" cm="1">
        <f t="array" ref="CV483">_xlfn.IFS(AND($CN483=0, CQ483=FALSE), NA(), AND($CN483=1, CQ483=FALSE), 0, CQ483=TRUE, 1)</f>
        <v>0</v>
      </c>
    </row>
    <row r="484" spans="1:100" x14ac:dyDescent="0.25">
      <c r="A484" s="8">
        <v>483</v>
      </c>
      <c r="B484" s="9">
        <v>109</v>
      </c>
      <c r="C484" s="10" t="s">
        <v>12</v>
      </c>
      <c r="D484" s="11" t="s">
        <v>133</v>
      </c>
      <c r="E484" s="12">
        <v>17781</v>
      </c>
      <c r="F484" s="13">
        <v>1</v>
      </c>
      <c r="G484" s="9">
        <v>68.626968383789063</v>
      </c>
      <c r="H484" s="12">
        <v>42847</v>
      </c>
      <c r="I484" s="9">
        <v>1</v>
      </c>
      <c r="J484" s="12">
        <v>42881</v>
      </c>
      <c r="K484" s="9">
        <v>0</v>
      </c>
      <c r="L484" s="9">
        <v>2</v>
      </c>
      <c r="M484" s="10" t="s">
        <v>401</v>
      </c>
      <c r="N484" s="9">
        <v>3</v>
      </c>
      <c r="O484" s="10" t="s">
        <v>419</v>
      </c>
      <c r="P484" s="9">
        <v>3</v>
      </c>
      <c r="Q484" s="10" t="s">
        <v>419</v>
      </c>
      <c r="R484" s="12">
        <v>43018</v>
      </c>
      <c r="S484" s="10" t="s">
        <v>146</v>
      </c>
      <c r="T484" s="9"/>
      <c r="U484" s="10" t="s">
        <v>401</v>
      </c>
      <c r="V484" s="10" t="s">
        <v>401</v>
      </c>
      <c r="W484" s="9"/>
      <c r="X484" s="9"/>
      <c r="Y484" s="9">
        <v>2</v>
      </c>
      <c r="Z484" s="19">
        <v>2</v>
      </c>
      <c r="AB484" s="9"/>
      <c r="AC484" s="9"/>
      <c r="AD484" s="9">
        <v>3</v>
      </c>
      <c r="AE484" s="9">
        <v>3</v>
      </c>
      <c r="AF484" s="9">
        <v>2</v>
      </c>
      <c r="AG484" s="9">
        <v>0</v>
      </c>
      <c r="AH484" s="9">
        <v>1</v>
      </c>
      <c r="AI484" s="9">
        <v>0</v>
      </c>
      <c r="AJ484" s="12">
        <v>43419</v>
      </c>
      <c r="AK484" s="9">
        <v>2</v>
      </c>
      <c r="AL484" s="12">
        <v>43578</v>
      </c>
      <c r="AM484" s="9">
        <v>2</v>
      </c>
      <c r="AN484" s="12">
        <v>43588</v>
      </c>
      <c r="AO484" s="12">
        <v>43839</v>
      </c>
      <c r="AP484" s="12">
        <v>43839</v>
      </c>
      <c r="AQ484" s="9">
        <v>1</v>
      </c>
      <c r="AR484" s="9">
        <f t="shared" si="174"/>
        <v>1</v>
      </c>
      <c r="AS484" s="9">
        <v>1</v>
      </c>
      <c r="AT484" s="9">
        <v>2</v>
      </c>
      <c r="AU484" s="9">
        <v>1</v>
      </c>
      <c r="AV484" s="9">
        <f t="shared" si="175"/>
        <v>0</v>
      </c>
      <c r="AW484" s="12">
        <v>43888</v>
      </c>
      <c r="AX484" s="9">
        <v>4650</v>
      </c>
      <c r="AY484" s="9">
        <v>3310</v>
      </c>
      <c r="AZ484" s="9">
        <v>770</v>
      </c>
      <c r="BA484" s="9">
        <v>3310</v>
      </c>
      <c r="BB484" s="9">
        <v>769.99993896484375</v>
      </c>
      <c r="BC484" s="9">
        <v>183000</v>
      </c>
      <c r="BD484" s="9">
        <v>480</v>
      </c>
      <c r="BE484" s="9">
        <v>70</v>
      </c>
      <c r="BF484" s="9"/>
      <c r="BG484" s="9">
        <v>3450</v>
      </c>
      <c r="BH484" s="9">
        <v>2490</v>
      </c>
      <c r="BI484" s="9">
        <v>510</v>
      </c>
      <c r="BJ484" s="9">
        <v>197000</v>
      </c>
      <c r="BK484" s="9">
        <v>370</v>
      </c>
      <c r="BL484" s="9">
        <v>60</v>
      </c>
      <c r="BM484" s="9"/>
      <c r="BN484" s="9">
        <v>6330</v>
      </c>
      <c r="BO484" s="9">
        <v>2700</v>
      </c>
      <c r="BP484" s="9">
        <v>400</v>
      </c>
      <c r="BQ484" s="9">
        <v>183000</v>
      </c>
      <c r="BR484" s="9">
        <v>390</v>
      </c>
      <c r="BS484" s="9">
        <v>120</v>
      </c>
      <c r="BT484" s="9"/>
      <c r="BU484" s="9">
        <v>3710</v>
      </c>
      <c r="BV484" s="9">
        <v>2610</v>
      </c>
      <c r="BW484" s="9">
        <v>610</v>
      </c>
      <c r="BX484" s="9">
        <v>206000</v>
      </c>
      <c r="BY484" s="9">
        <v>350</v>
      </c>
      <c r="BZ484" s="10" t="s">
        <v>527</v>
      </c>
      <c r="CA484" s="9">
        <v>120</v>
      </c>
      <c r="CB484" s="9"/>
      <c r="CC484" s="10">
        <f t="shared" si="176"/>
        <v>4.2987016394440598</v>
      </c>
      <c r="CD484" s="10">
        <f t="shared" si="177"/>
        <v>237.66235650098579</v>
      </c>
      <c r="CE484" s="10">
        <f t="shared" si="185"/>
        <v>786662.40001826291</v>
      </c>
      <c r="CF484" s="10">
        <f t="shared" si="187"/>
        <v>1</v>
      </c>
      <c r="CG484" s="10">
        <f t="shared" si="171"/>
        <v>1</v>
      </c>
      <c r="CH484" s="10">
        <f t="shared" si="172"/>
        <v>5</v>
      </c>
      <c r="CI484" s="9">
        <f t="shared" si="178"/>
        <v>0</v>
      </c>
      <c r="CJ484" s="10">
        <f t="shared" si="173"/>
        <v>15</v>
      </c>
      <c r="CK484" s="10" t="b">
        <f t="shared" si="179"/>
        <v>1</v>
      </c>
      <c r="CL484" s="10" t="b">
        <f t="shared" si="180"/>
        <v>0</v>
      </c>
      <c r="CM484" s="10" t="b">
        <f t="shared" si="181"/>
        <v>0</v>
      </c>
      <c r="CN484" s="9">
        <f t="shared" si="182"/>
        <v>1</v>
      </c>
      <c r="CO484" s="10">
        <f t="shared" si="186"/>
        <v>14</v>
      </c>
      <c r="CP484" s="10" t="b">
        <f t="shared" si="183"/>
        <v>1</v>
      </c>
      <c r="CQ484" s="10" t="b">
        <f t="shared" si="184"/>
        <v>1</v>
      </c>
      <c r="CR484" s="10" cm="1">
        <f t="array" ref="CR484">_xlfn.IFS(AND($CI484=0, CK484=FALSE), NA(), AND($CI484=1, CK484=FALSE), 0, CK484=TRUE, 1)</f>
        <v>1</v>
      </c>
      <c r="CS484" s="10" t="e" cm="1">
        <f t="array" ref="CS484">_xlfn.IFS(AND($CI484=0, CL484=FALSE), NA(), AND($CI484=1, CL484=FALSE), 0, CL484=TRUE, 1)</f>
        <v>#N/A</v>
      </c>
      <c r="CT484" s="10" t="e" cm="1">
        <f t="array" ref="CT484">_xlfn.IFS(AND($CI484=0, CM484=FALSE), NA(), AND($CI484=1, CM484=FALSE), 0, CM484=TRUE, 1)</f>
        <v>#N/A</v>
      </c>
      <c r="CU484" s="10" cm="1">
        <f t="array" ref="CU484">_xlfn.IFS(AND($CN484=0, CP484=FALSE), NA(), AND($CN484=1, CP484=FALSE), 0, CP484=TRUE, 1)</f>
        <v>1</v>
      </c>
      <c r="CV484" s="10" cm="1">
        <f t="array" ref="CV484">_xlfn.IFS(AND($CN484=0, CQ484=FALSE), NA(), AND($CN484=1, CQ484=FALSE), 0, CQ484=TRUE, 1)</f>
        <v>1</v>
      </c>
    </row>
    <row r="485" spans="1:100" ht="15.75" x14ac:dyDescent="0.25">
      <c r="A485" s="8">
        <v>484</v>
      </c>
      <c r="B485" s="9">
        <v>543</v>
      </c>
      <c r="C485" s="10" t="s">
        <v>34</v>
      </c>
      <c r="D485" s="11" t="s">
        <v>390</v>
      </c>
      <c r="E485" s="12">
        <v>24366</v>
      </c>
      <c r="F485" s="13">
        <v>2</v>
      </c>
      <c r="G485" s="9">
        <v>50.633811950683594</v>
      </c>
      <c r="H485" s="12">
        <v>42860</v>
      </c>
      <c r="I485" s="9">
        <v>1</v>
      </c>
      <c r="J485" s="12">
        <v>42879</v>
      </c>
      <c r="K485" s="9">
        <v>1</v>
      </c>
      <c r="L485" s="9">
        <v>1</v>
      </c>
      <c r="M485" s="10" t="s">
        <v>401</v>
      </c>
      <c r="N485" s="9">
        <v>2</v>
      </c>
      <c r="O485" s="10" t="s">
        <v>411</v>
      </c>
      <c r="P485" s="9">
        <v>2</v>
      </c>
      <c r="Q485" s="10" t="s">
        <v>145</v>
      </c>
      <c r="R485" s="12">
        <v>42860</v>
      </c>
      <c r="S485" s="10" t="s">
        <v>146</v>
      </c>
      <c r="T485" s="9"/>
      <c r="U485" s="10" t="s">
        <v>401</v>
      </c>
      <c r="V485" s="10" t="s">
        <v>401</v>
      </c>
      <c r="W485" s="9"/>
      <c r="X485" s="9"/>
      <c r="Y485" s="9">
        <v>2</v>
      </c>
      <c r="Z485" s="14">
        <v>2</v>
      </c>
      <c r="AA485" s="17">
        <v>12.4</v>
      </c>
      <c r="AB485" s="18">
        <v>100</v>
      </c>
      <c r="AC485" s="18">
        <v>13</v>
      </c>
      <c r="AD485" s="9">
        <v>2</v>
      </c>
      <c r="AE485" s="9">
        <v>2</v>
      </c>
      <c r="AF485" s="9">
        <v>1</v>
      </c>
      <c r="AG485" s="9">
        <v>1</v>
      </c>
      <c r="AH485" s="9">
        <v>1</v>
      </c>
      <c r="AI485" s="9">
        <v>0</v>
      </c>
      <c r="AJ485" s="12">
        <v>43115</v>
      </c>
      <c r="AK485" s="9">
        <v>2</v>
      </c>
      <c r="AL485" s="12">
        <v>43256</v>
      </c>
      <c r="AM485" s="9">
        <v>2</v>
      </c>
      <c r="AN485" s="12">
        <v>43196</v>
      </c>
      <c r="AO485" s="12">
        <v>43259</v>
      </c>
      <c r="AP485" s="12">
        <v>43259</v>
      </c>
      <c r="AQ485" s="9">
        <v>1</v>
      </c>
      <c r="AR485" s="9">
        <f t="shared" si="174"/>
        <v>1</v>
      </c>
      <c r="AS485" s="9">
        <v>1</v>
      </c>
      <c r="AT485" s="9">
        <v>2</v>
      </c>
      <c r="AU485" s="9">
        <v>2</v>
      </c>
      <c r="AV485" s="9">
        <f t="shared" si="175"/>
        <v>1</v>
      </c>
      <c r="AW485" s="12">
        <v>43521</v>
      </c>
      <c r="AX485" s="9">
        <v>5100</v>
      </c>
      <c r="AY485" s="9">
        <v>3640</v>
      </c>
      <c r="AZ485" s="9">
        <v>1300</v>
      </c>
      <c r="BA485" s="9">
        <v>3640</v>
      </c>
      <c r="BB485" s="9">
        <v>1300.000244140625</v>
      </c>
      <c r="BC485" s="9">
        <v>234000</v>
      </c>
      <c r="BD485" s="9"/>
      <c r="BE485" s="9"/>
      <c r="BF485" s="9">
        <v>165</v>
      </c>
      <c r="BG485" s="9">
        <v>7320</v>
      </c>
      <c r="BH485" s="9">
        <v>5140</v>
      </c>
      <c r="BI485" s="9">
        <v>2000</v>
      </c>
      <c r="BJ485" s="9">
        <v>263000</v>
      </c>
      <c r="BK485" s="9"/>
      <c r="BL485" s="9"/>
      <c r="BM485" s="9">
        <v>226</v>
      </c>
      <c r="BN485" s="9">
        <v>5400</v>
      </c>
      <c r="BO485" s="9">
        <v>3450</v>
      </c>
      <c r="BP485" s="9">
        <v>1800</v>
      </c>
      <c r="BQ485" s="9">
        <v>249000</v>
      </c>
      <c r="BR485" s="9"/>
      <c r="BS485" s="9"/>
      <c r="BT485" s="9">
        <v>220</v>
      </c>
      <c r="BU485" s="9">
        <v>5450</v>
      </c>
      <c r="BV485" s="9">
        <v>3370</v>
      </c>
      <c r="BW485" s="9">
        <v>2000</v>
      </c>
      <c r="BX485" s="9">
        <v>202000</v>
      </c>
      <c r="BY485" s="9"/>
      <c r="BZ485" s="10" t="s">
        <v>401</v>
      </c>
      <c r="CA485" s="9"/>
      <c r="CB485" s="9">
        <v>218</v>
      </c>
      <c r="CC485" s="10">
        <f t="shared" si="176"/>
        <v>2.7999994741587524</v>
      </c>
      <c r="CD485" s="10">
        <f t="shared" si="177"/>
        <v>179.9999661959198</v>
      </c>
      <c r="CE485" s="10">
        <f t="shared" si="185"/>
        <v>655199.87695314805</v>
      </c>
      <c r="CF485" s="10">
        <f t="shared" si="187"/>
        <v>1</v>
      </c>
      <c r="CG485" s="10">
        <f t="shared" si="171"/>
        <v>1</v>
      </c>
      <c r="CH485" s="10">
        <f t="shared" si="172"/>
        <v>5</v>
      </c>
      <c r="CI485" s="9">
        <f t="shared" si="178"/>
        <v>1</v>
      </c>
      <c r="CJ485" s="10">
        <f t="shared" si="173"/>
        <v>13</v>
      </c>
      <c r="CK485" s="10" t="b">
        <f t="shared" si="179"/>
        <v>1</v>
      </c>
      <c r="CL485" s="10" t="b">
        <f t="shared" si="180"/>
        <v>0</v>
      </c>
      <c r="CM485" s="10" t="b">
        <f t="shared" si="181"/>
        <v>0</v>
      </c>
      <c r="CN485" s="9">
        <f t="shared" si="182"/>
        <v>1</v>
      </c>
      <c r="CO485" s="10">
        <f t="shared" si="186"/>
        <v>5</v>
      </c>
      <c r="CP485" s="10" t="b">
        <f t="shared" si="183"/>
        <v>1</v>
      </c>
      <c r="CQ485" s="10" t="b">
        <f t="shared" si="184"/>
        <v>0</v>
      </c>
      <c r="CR485" s="10" cm="1">
        <f t="array" ref="CR485">_xlfn.IFS(AND($CI485=0, CK485=FALSE), NA(), AND($CI485=1, CK485=FALSE), 0, CK485=TRUE, 1)</f>
        <v>1</v>
      </c>
      <c r="CS485" s="10" cm="1">
        <f t="array" ref="CS485">_xlfn.IFS(AND($CI485=0, CL485=FALSE), NA(), AND($CI485=1, CL485=FALSE), 0, CL485=TRUE, 1)</f>
        <v>0</v>
      </c>
      <c r="CT485" s="10" cm="1">
        <f t="array" ref="CT485">_xlfn.IFS(AND($CI485=0, CM485=FALSE), NA(), AND($CI485=1, CM485=FALSE), 0, CM485=TRUE, 1)</f>
        <v>0</v>
      </c>
      <c r="CU485" s="10" cm="1">
        <f t="array" ref="CU485">_xlfn.IFS(AND($CN485=0, CP485=FALSE), NA(), AND($CN485=1, CP485=FALSE), 0, CP485=TRUE, 1)</f>
        <v>1</v>
      </c>
      <c r="CV485" s="10" cm="1">
        <f t="array" ref="CV485">_xlfn.IFS(AND($CN485=0, CQ485=FALSE), NA(), AND($CN485=1, CQ485=FALSE), 0, CQ485=TRUE, 1)</f>
        <v>0</v>
      </c>
    </row>
    <row r="486" spans="1:100" x14ac:dyDescent="0.25">
      <c r="A486" s="8">
        <v>485</v>
      </c>
      <c r="B486" s="9">
        <v>107</v>
      </c>
      <c r="C486" s="10" t="s">
        <v>12</v>
      </c>
      <c r="D486" s="11" t="s">
        <v>80</v>
      </c>
      <c r="E486" s="12">
        <v>11725</v>
      </c>
      <c r="F486" s="13">
        <v>1</v>
      </c>
      <c r="G486" s="9">
        <v>85.256675720214844</v>
      </c>
      <c r="H486" s="12">
        <v>42865</v>
      </c>
      <c r="I486" s="9">
        <v>1</v>
      </c>
      <c r="J486" s="12">
        <v>42901</v>
      </c>
      <c r="K486" s="9">
        <v>0</v>
      </c>
      <c r="L486" s="9">
        <v>2</v>
      </c>
      <c r="M486" s="10" t="s">
        <v>401</v>
      </c>
      <c r="N486" s="9">
        <v>2</v>
      </c>
      <c r="O486" s="10" t="s">
        <v>420</v>
      </c>
      <c r="P486" s="9">
        <v>2</v>
      </c>
      <c r="Q486" s="10" t="s">
        <v>420</v>
      </c>
      <c r="R486" s="12">
        <v>43284</v>
      </c>
      <c r="S486" s="10" t="s">
        <v>146</v>
      </c>
      <c r="T486" s="9"/>
      <c r="U486" s="10" t="s">
        <v>401</v>
      </c>
      <c r="V486" s="10" t="s">
        <v>401</v>
      </c>
      <c r="W486" s="9"/>
      <c r="X486" s="9"/>
      <c r="Y486" s="9">
        <v>2</v>
      </c>
      <c r="Z486" s="19">
        <v>2</v>
      </c>
      <c r="AB486" s="9"/>
      <c r="AC486" s="9"/>
      <c r="AD486" s="9">
        <v>2</v>
      </c>
      <c r="AE486" s="9">
        <v>2</v>
      </c>
      <c r="AF486" s="9">
        <v>2</v>
      </c>
      <c r="AG486" s="9">
        <v>1</v>
      </c>
      <c r="AH486" s="9">
        <v>1</v>
      </c>
      <c r="AI486" s="9">
        <v>1</v>
      </c>
      <c r="AJ486" s="12">
        <v>43419</v>
      </c>
      <c r="AK486" s="9">
        <v>2</v>
      </c>
      <c r="AL486" s="12">
        <v>43461</v>
      </c>
      <c r="AM486" s="9">
        <v>4</v>
      </c>
      <c r="AN486" s="12">
        <v>43464</v>
      </c>
      <c r="AO486" s="12">
        <v>43464</v>
      </c>
      <c r="AP486" s="12">
        <v>43464</v>
      </c>
      <c r="AQ486" s="9">
        <v>1</v>
      </c>
      <c r="AR486" s="9">
        <f t="shared" si="174"/>
        <v>1</v>
      </c>
      <c r="AS486" s="9">
        <v>1</v>
      </c>
      <c r="AT486" s="9">
        <v>2</v>
      </c>
      <c r="AU486" s="9">
        <v>2</v>
      </c>
      <c r="AV486" s="9">
        <f t="shared" si="175"/>
        <v>1</v>
      </c>
      <c r="AW486" s="12">
        <v>43473</v>
      </c>
      <c r="AX486" s="9">
        <v>10600</v>
      </c>
      <c r="AY486" s="9">
        <v>7900</v>
      </c>
      <c r="AZ486" s="9">
        <v>1230</v>
      </c>
      <c r="BA486" s="9">
        <v>7900</v>
      </c>
      <c r="BB486" s="9">
        <v>1230</v>
      </c>
      <c r="BC486" s="9">
        <v>475000</v>
      </c>
      <c r="BD486" s="9">
        <v>1310</v>
      </c>
      <c r="BE486" s="9">
        <v>130</v>
      </c>
      <c r="BF486" s="9"/>
      <c r="BG486" s="9">
        <v>15180</v>
      </c>
      <c r="BH486" s="9">
        <v>11410</v>
      </c>
      <c r="BI486" s="9">
        <v>2210</v>
      </c>
      <c r="BJ486" s="9">
        <v>440000</v>
      </c>
      <c r="BK486" s="9">
        <v>1440</v>
      </c>
      <c r="BL486" s="9">
        <v>70</v>
      </c>
      <c r="BM486" s="9"/>
      <c r="BN486" s="9">
        <v>12760</v>
      </c>
      <c r="BO486" s="9">
        <v>9880</v>
      </c>
      <c r="BP486" s="9">
        <v>1710</v>
      </c>
      <c r="BQ486" s="9">
        <v>474000</v>
      </c>
      <c r="BR486" s="9">
        <v>1000</v>
      </c>
      <c r="BS486" s="9">
        <v>120</v>
      </c>
      <c r="BT486" s="9"/>
      <c r="BU486" s="9">
        <v>8400</v>
      </c>
      <c r="BV486" s="9">
        <v>7600</v>
      </c>
      <c r="BW486" s="9">
        <v>320</v>
      </c>
      <c r="BX486" s="9">
        <v>396000</v>
      </c>
      <c r="BY486" s="9">
        <v>460</v>
      </c>
      <c r="BZ486" s="10" t="s">
        <v>297</v>
      </c>
      <c r="CA486" s="9">
        <v>10</v>
      </c>
      <c r="CB486" s="9"/>
      <c r="CC486" s="10">
        <f t="shared" si="176"/>
        <v>6.4227642276422765</v>
      </c>
      <c r="CD486" s="10">
        <f t="shared" si="177"/>
        <v>386.17886178861789</v>
      </c>
      <c r="CE486" s="10">
        <f t="shared" si="185"/>
        <v>3050813.0081300815</v>
      </c>
      <c r="CF486" s="10">
        <f t="shared" si="187"/>
        <v>0</v>
      </c>
      <c r="CG486" s="10">
        <f t="shared" si="171"/>
        <v>0</v>
      </c>
      <c r="CH486" s="10">
        <f t="shared" si="172"/>
        <v>1</v>
      </c>
      <c r="CI486" s="9">
        <f t="shared" si="178"/>
        <v>1</v>
      </c>
      <c r="CJ486" s="10">
        <f t="shared" si="173"/>
        <v>2</v>
      </c>
      <c r="CK486" s="10" t="b">
        <f t="shared" si="179"/>
        <v>0</v>
      </c>
      <c r="CL486" s="10" t="b">
        <f t="shared" si="180"/>
        <v>0</v>
      </c>
      <c r="CM486" s="10" t="b">
        <f t="shared" si="181"/>
        <v>0</v>
      </c>
      <c r="CN486" s="9">
        <f t="shared" si="182"/>
        <v>1</v>
      </c>
      <c r="CO486" s="10">
        <f t="shared" si="186"/>
        <v>1</v>
      </c>
      <c r="CP486" s="10" t="b">
        <f t="shared" si="183"/>
        <v>0</v>
      </c>
      <c r="CQ486" s="10" t="b">
        <f t="shared" si="184"/>
        <v>0</v>
      </c>
      <c r="CR486" s="10" cm="1">
        <f t="array" ref="CR486">_xlfn.IFS(AND($CI486=0, CK486=FALSE), NA(), AND($CI486=1, CK486=FALSE), 0, CK486=TRUE, 1)</f>
        <v>0</v>
      </c>
      <c r="CS486" s="10" cm="1">
        <f t="array" ref="CS486">_xlfn.IFS(AND($CI486=0, CL486=FALSE), NA(), AND($CI486=1, CL486=FALSE), 0, CL486=TRUE, 1)</f>
        <v>0</v>
      </c>
      <c r="CT486" s="10" cm="1">
        <f t="array" ref="CT486">_xlfn.IFS(AND($CI486=0, CM486=FALSE), NA(), AND($CI486=1, CM486=FALSE), 0, CM486=TRUE, 1)</f>
        <v>0</v>
      </c>
      <c r="CU486" s="10" cm="1">
        <f t="array" ref="CU486">_xlfn.IFS(AND($CN486=0, CP486=FALSE), NA(), AND($CN486=1, CP486=FALSE), 0, CP486=TRUE, 1)</f>
        <v>0</v>
      </c>
      <c r="CV486" s="10" cm="1">
        <f t="array" ref="CV486">_xlfn.IFS(AND($CN486=0, CQ486=FALSE), NA(), AND($CN486=1, CQ486=FALSE), 0, CQ486=TRUE, 1)</f>
        <v>0</v>
      </c>
    </row>
    <row r="487" spans="1:100" ht="15.75" x14ac:dyDescent="0.25">
      <c r="A487" s="8">
        <v>486</v>
      </c>
      <c r="B487" s="9">
        <v>566</v>
      </c>
      <c r="C487" s="10" t="s">
        <v>36</v>
      </c>
      <c r="D487" s="11" t="s">
        <v>222</v>
      </c>
      <c r="E487" s="12">
        <v>17817</v>
      </c>
      <c r="F487" s="13">
        <v>1</v>
      </c>
      <c r="G487" s="9">
        <v>68.610542297363281</v>
      </c>
      <c r="H487" s="12">
        <v>42877</v>
      </c>
      <c r="I487" s="9">
        <v>1</v>
      </c>
      <c r="J487" s="12">
        <v>42877</v>
      </c>
      <c r="K487" s="9">
        <v>1</v>
      </c>
      <c r="L487" s="9">
        <v>1</v>
      </c>
      <c r="M487" s="10" t="s">
        <v>401</v>
      </c>
      <c r="N487" s="9">
        <v>2</v>
      </c>
      <c r="O487" s="10" t="s">
        <v>145</v>
      </c>
      <c r="P487" s="9">
        <v>2</v>
      </c>
      <c r="Q487" s="10" t="s">
        <v>145</v>
      </c>
      <c r="R487" s="12">
        <v>42835</v>
      </c>
      <c r="S487" s="10" t="s">
        <v>145</v>
      </c>
      <c r="T487" s="9"/>
      <c r="U487" s="10" t="s">
        <v>401</v>
      </c>
      <c r="V487" s="10" t="s">
        <v>401</v>
      </c>
      <c r="W487" s="9"/>
      <c r="X487" s="9"/>
      <c r="Y487" s="9">
        <v>2</v>
      </c>
      <c r="Z487" s="14">
        <v>1</v>
      </c>
      <c r="AA487" s="17">
        <v>12.3</v>
      </c>
      <c r="AB487" s="18">
        <v>99</v>
      </c>
      <c r="AC487" s="18">
        <v>12</v>
      </c>
      <c r="AD487" s="9">
        <v>2</v>
      </c>
      <c r="AE487" s="9">
        <v>2</v>
      </c>
      <c r="AF487" s="9">
        <v>1</v>
      </c>
      <c r="AG487" s="9">
        <v>0</v>
      </c>
      <c r="AH487" s="9">
        <v>1</v>
      </c>
      <c r="AI487" s="9">
        <v>0</v>
      </c>
      <c r="AJ487" s="12">
        <v>43479</v>
      </c>
      <c r="AK487" s="9">
        <v>2</v>
      </c>
      <c r="AL487" s="12">
        <v>43959</v>
      </c>
      <c r="AM487" s="9">
        <v>3</v>
      </c>
      <c r="AN487" s="12">
        <v>43530</v>
      </c>
      <c r="AO487" s="12">
        <v>43899</v>
      </c>
      <c r="AP487" s="12">
        <v>43997</v>
      </c>
      <c r="AQ487" s="9">
        <v>1</v>
      </c>
      <c r="AR487" s="9">
        <f t="shared" si="174"/>
        <v>1</v>
      </c>
      <c r="AS487" s="9">
        <v>1</v>
      </c>
      <c r="AT487" s="9">
        <v>1</v>
      </c>
      <c r="AU487" s="9">
        <v>2</v>
      </c>
      <c r="AV487" s="9">
        <f t="shared" si="175"/>
        <v>1</v>
      </c>
      <c r="AW487" s="12">
        <v>44027</v>
      </c>
      <c r="AX487" s="9">
        <v>6000</v>
      </c>
      <c r="AY487" s="9">
        <v>4200</v>
      </c>
      <c r="AZ487" s="9">
        <v>1000</v>
      </c>
      <c r="BA487" s="9">
        <v>4200</v>
      </c>
      <c r="BB487" s="9">
        <v>1000.0001220703125</v>
      </c>
      <c r="BC487" s="9">
        <v>206000</v>
      </c>
      <c r="BD487" s="9">
        <v>600</v>
      </c>
      <c r="BE487" s="9">
        <v>100</v>
      </c>
      <c r="BF487" s="9">
        <v>158</v>
      </c>
      <c r="BG487" s="9">
        <v>5600</v>
      </c>
      <c r="BH487" s="9">
        <v>4000</v>
      </c>
      <c r="BI487" s="9">
        <v>800</v>
      </c>
      <c r="BJ487" s="9">
        <v>259000</v>
      </c>
      <c r="BK487" s="9">
        <v>500</v>
      </c>
      <c r="BL487" s="9">
        <v>200</v>
      </c>
      <c r="BM487" s="9">
        <v>150</v>
      </c>
      <c r="BN487" s="9">
        <v>6100</v>
      </c>
      <c r="BO487" s="9">
        <v>3900</v>
      </c>
      <c r="BP487" s="9">
        <v>1200</v>
      </c>
      <c r="BQ487" s="9">
        <v>195000</v>
      </c>
      <c r="BR487" s="9">
        <v>700</v>
      </c>
      <c r="BS487" s="9">
        <v>200</v>
      </c>
      <c r="BT487" s="9">
        <v>139</v>
      </c>
      <c r="BU487" s="9">
        <v>6100</v>
      </c>
      <c r="BV487" s="9">
        <v>3900</v>
      </c>
      <c r="BW487" s="9">
        <v>1200</v>
      </c>
      <c r="BX487" s="9">
        <v>195000</v>
      </c>
      <c r="BY487" s="9">
        <v>700</v>
      </c>
      <c r="BZ487" s="10" t="s">
        <v>524</v>
      </c>
      <c r="CA487" s="9">
        <v>200</v>
      </c>
      <c r="CB487" s="9">
        <v>139</v>
      </c>
      <c r="CC487" s="10">
        <f t="shared" si="176"/>
        <v>4.1999994873047504</v>
      </c>
      <c r="CD487" s="10">
        <f t="shared" si="177"/>
        <v>205.99997485351869</v>
      </c>
      <c r="CE487" s="10">
        <f t="shared" si="185"/>
        <v>865199.89438477857</v>
      </c>
      <c r="CF487" s="10">
        <f t="shared" si="187"/>
        <v>1</v>
      </c>
      <c r="CG487" s="10">
        <f t="shared" si="171"/>
        <v>0</v>
      </c>
      <c r="CH487" s="10">
        <f t="shared" si="172"/>
        <v>16</v>
      </c>
      <c r="CI487" s="9">
        <f t="shared" si="178"/>
        <v>1</v>
      </c>
      <c r="CJ487" s="10">
        <f t="shared" si="173"/>
        <v>18</v>
      </c>
      <c r="CK487" s="10" t="b">
        <f t="shared" si="179"/>
        <v>1</v>
      </c>
      <c r="CL487" s="10" t="b">
        <f t="shared" si="180"/>
        <v>1</v>
      </c>
      <c r="CM487" s="10" t="b">
        <f t="shared" si="181"/>
        <v>0</v>
      </c>
      <c r="CN487" s="9">
        <f t="shared" si="182"/>
        <v>1</v>
      </c>
      <c r="CO487" s="10">
        <f t="shared" si="186"/>
        <v>14</v>
      </c>
      <c r="CP487" s="10" t="b">
        <f t="shared" si="183"/>
        <v>1</v>
      </c>
      <c r="CQ487" s="10" t="b">
        <f t="shared" si="184"/>
        <v>1</v>
      </c>
      <c r="CR487" s="10" cm="1">
        <f t="array" ref="CR487">_xlfn.IFS(AND($CI487=0, CK487=FALSE), NA(), AND($CI487=1, CK487=FALSE), 0, CK487=TRUE, 1)</f>
        <v>1</v>
      </c>
      <c r="CS487" s="10" cm="1">
        <f t="array" ref="CS487">_xlfn.IFS(AND($CI487=0, CL487=FALSE), NA(), AND($CI487=1, CL487=FALSE), 0, CL487=TRUE, 1)</f>
        <v>1</v>
      </c>
      <c r="CT487" s="10" cm="1">
        <f t="array" ref="CT487">_xlfn.IFS(AND($CI487=0, CM487=FALSE), NA(), AND($CI487=1, CM487=FALSE), 0, CM487=TRUE, 1)</f>
        <v>0</v>
      </c>
      <c r="CU487" s="10" cm="1">
        <f t="array" ref="CU487">_xlfn.IFS(AND($CN487=0, CP487=FALSE), NA(), AND($CN487=1, CP487=FALSE), 0, CP487=TRUE, 1)</f>
        <v>1</v>
      </c>
      <c r="CV487" s="10" cm="1">
        <f t="array" ref="CV487">_xlfn.IFS(AND($CN487=0, CQ487=FALSE), NA(), AND($CN487=1, CQ487=FALSE), 0, CQ487=TRUE, 1)</f>
        <v>1</v>
      </c>
    </row>
    <row r="488" spans="1:100" ht="15.75" x14ac:dyDescent="0.25">
      <c r="A488" s="8">
        <v>487</v>
      </c>
      <c r="B488" s="9">
        <v>64</v>
      </c>
      <c r="C488" s="10" t="s">
        <v>8</v>
      </c>
      <c r="D488" s="11" t="s">
        <v>94</v>
      </c>
      <c r="E488" s="12">
        <v>19504</v>
      </c>
      <c r="F488" s="13">
        <v>1</v>
      </c>
      <c r="G488" s="9">
        <v>63.994525909423828</v>
      </c>
      <c r="H488" s="12">
        <v>42878</v>
      </c>
      <c r="I488" s="9">
        <v>1</v>
      </c>
      <c r="J488" s="12">
        <v>42949</v>
      </c>
      <c r="K488" s="9">
        <v>1</v>
      </c>
      <c r="L488" s="9">
        <v>1</v>
      </c>
      <c r="M488" s="10" t="s">
        <v>401</v>
      </c>
      <c r="N488" s="9">
        <v>2</v>
      </c>
      <c r="O488" s="10" t="s">
        <v>145</v>
      </c>
      <c r="P488" s="9">
        <v>1</v>
      </c>
      <c r="Q488" s="10" t="s">
        <v>145</v>
      </c>
      <c r="R488" s="12">
        <v>42889</v>
      </c>
      <c r="S488" s="10" t="s">
        <v>146</v>
      </c>
      <c r="T488" s="9"/>
      <c r="U488" s="10" t="s">
        <v>401</v>
      </c>
      <c r="V488" s="10" t="s">
        <v>401</v>
      </c>
      <c r="W488" s="9"/>
      <c r="X488" s="9"/>
      <c r="Y488" s="9">
        <v>2</v>
      </c>
      <c r="Z488" s="14">
        <v>2</v>
      </c>
      <c r="AA488" s="17">
        <v>14</v>
      </c>
      <c r="AB488" s="9"/>
      <c r="AC488" s="9"/>
      <c r="AD488" s="9">
        <v>2</v>
      </c>
      <c r="AE488" s="9">
        <v>2</v>
      </c>
      <c r="AF488" s="9">
        <v>1</v>
      </c>
      <c r="AG488" s="9">
        <v>0</v>
      </c>
      <c r="AH488" s="9">
        <v>1</v>
      </c>
      <c r="AI488" s="9">
        <v>1</v>
      </c>
      <c r="AJ488" s="12">
        <v>43432</v>
      </c>
      <c r="AK488" s="9">
        <v>2</v>
      </c>
      <c r="AL488" s="12">
        <v>43510</v>
      </c>
      <c r="AM488" s="9">
        <v>4</v>
      </c>
      <c r="AN488" s="12">
        <v>43515</v>
      </c>
      <c r="AO488" s="12">
        <v>43515</v>
      </c>
      <c r="AP488" s="12">
        <v>43515</v>
      </c>
      <c r="AQ488" s="9">
        <v>1</v>
      </c>
      <c r="AR488" s="9">
        <f t="shared" si="174"/>
        <v>1</v>
      </c>
      <c r="AS488" s="9">
        <v>1</v>
      </c>
      <c r="AT488" s="9">
        <v>2</v>
      </c>
      <c r="AU488" s="9">
        <v>2</v>
      </c>
      <c r="AV488" s="9">
        <f t="shared" si="175"/>
        <v>1</v>
      </c>
      <c r="AW488" s="12">
        <v>44420</v>
      </c>
      <c r="AX488" s="9">
        <v>5200</v>
      </c>
      <c r="AY488" s="9">
        <v>1930</v>
      </c>
      <c r="AZ488" s="9"/>
      <c r="BA488" s="9">
        <v>1930</v>
      </c>
      <c r="BB488" s="9">
        <v>1662.0264892578125</v>
      </c>
      <c r="BC488" s="9">
        <v>122000</v>
      </c>
      <c r="BD488" s="9"/>
      <c r="BE488" s="9"/>
      <c r="BF488" s="9"/>
      <c r="BG488" s="9">
        <v>6300</v>
      </c>
      <c r="BH488" s="9">
        <v>3800</v>
      </c>
      <c r="BI488" s="9">
        <v>1780</v>
      </c>
      <c r="BJ488" s="9">
        <v>179000</v>
      </c>
      <c r="BK488" s="9">
        <v>550</v>
      </c>
      <c r="BL488" s="9">
        <v>160</v>
      </c>
      <c r="BM488" s="9"/>
      <c r="BN488" s="9">
        <v>5600</v>
      </c>
      <c r="BO488" s="9">
        <v>5220</v>
      </c>
      <c r="BP488" s="9"/>
      <c r="BQ488" s="9">
        <v>174000</v>
      </c>
      <c r="BR488" s="9">
        <v>650</v>
      </c>
      <c r="BS488" s="9">
        <v>120</v>
      </c>
      <c r="BT488" s="9"/>
      <c r="BU488" s="9"/>
      <c r="BV488" s="9"/>
      <c r="BW488" s="9"/>
      <c r="BX488" s="9"/>
      <c r="BY488" s="9"/>
      <c r="BZ488" s="10" t="s">
        <v>401</v>
      </c>
      <c r="CA488" s="9"/>
      <c r="CB488" s="9"/>
      <c r="CC488" s="10">
        <f t="shared" si="176"/>
        <v>1.1612329962694232</v>
      </c>
      <c r="CD488" s="10">
        <f t="shared" si="177"/>
        <v>73.404365567289972</v>
      </c>
      <c r="CE488" s="10">
        <f t="shared" si="185"/>
        <v>141670.42554486962</v>
      </c>
      <c r="CF488" s="10">
        <f t="shared" si="187"/>
        <v>0</v>
      </c>
      <c r="CG488" s="10">
        <f t="shared" si="171"/>
        <v>0</v>
      </c>
      <c r="CH488" s="10">
        <f t="shared" si="172"/>
        <v>3</v>
      </c>
      <c r="CI488" s="9">
        <f t="shared" si="178"/>
        <v>1</v>
      </c>
      <c r="CJ488" s="10">
        <f t="shared" si="173"/>
        <v>33</v>
      </c>
      <c r="CK488" s="10" t="b">
        <f t="shared" si="179"/>
        <v>1</v>
      </c>
      <c r="CL488" s="10" t="b">
        <f t="shared" si="180"/>
        <v>1</v>
      </c>
      <c r="CM488" s="10" t="b">
        <f t="shared" si="181"/>
        <v>1</v>
      </c>
      <c r="CN488" s="9">
        <f t="shared" si="182"/>
        <v>1</v>
      </c>
      <c r="CO488" s="10">
        <f t="shared" si="186"/>
        <v>3</v>
      </c>
      <c r="CP488" s="10" t="b">
        <f t="shared" si="183"/>
        <v>1</v>
      </c>
      <c r="CQ488" s="10" t="b">
        <f t="shared" si="184"/>
        <v>0</v>
      </c>
      <c r="CR488" s="10" cm="1">
        <f t="array" ref="CR488">_xlfn.IFS(AND($CI488=0, CK488=FALSE), NA(), AND($CI488=1, CK488=FALSE), 0, CK488=TRUE, 1)</f>
        <v>1</v>
      </c>
      <c r="CS488" s="10" cm="1">
        <f t="array" ref="CS488">_xlfn.IFS(AND($CI488=0, CL488=FALSE), NA(), AND($CI488=1, CL488=FALSE), 0, CL488=TRUE, 1)</f>
        <v>1</v>
      </c>
      <c r="CT488" s="10" cm="1">
        <f t="array" ref="CT488">_xlfn.IFS(AND($CI488=0, CM488=FALSE), NA(), AND($CI488=1, CM488=FALSE), 0, CM488=TRUE, 1)</f>
        <v>1</v>
      </c>
      <c r="CU488" s="10" cm="1">
        <f t="array" ref="CU488">_xlfn.IFS(AND($CN488=0, CP488=FALSE), NA(), AND($CN488=1, CP488=FALSE), 0, CP488=TRUE, 1)</f>
        <v>1</v>
      </c>
      <c r="CV488" s="10" cm="1">
        <f t="array" ref="CV488">_xlfn.IFS(AND($CN488=0, CQ488=FALSE), NA(), AND($CN488=1, CQ488=FALSE), 0, CQ488=TRUE, 1)</f>
        <v>0</v>
      </c>
    </row>
    <row r="489" spans="1:100" x14ac:dyDescent="0.25">
      <c r="A489" s="8">
        <v>488</v>
      </c>
      <c r="B489" s="9">
        <v>26</v>
      </c>
      <c r="C489" s="10" t="s">
        <v>5</v>
      </c>
      <c r="D489" s="11" t="s">
        <v>61</v>
      </c>
      <c r="E489" s="12">
        <v>14387</v>
      </c>
      <c r="F489" s="13">
        <v>2</v>
      </c>
      <c r="G489" s="9">
        <v>78.023269653320313</v>
      </c>
      <c r="H489" s="12">
        <v>42885</v>
      </c>
      <c r="I489" s="9">
        <v>1</v>
      </c>
      <c r="J489" s="12">
        <v>42858</v>
      </c>
      <c r="K489" s="9">
        <v>1</v>
      </c>
      <c r="L489" s="9">
        <v>1</v>
      </c>
      <c r="M489" s="10" t="s">
        <v>401</v>
      </c>
      <c r="N489" s="9"/>
      <c r="O489" s="10" t="s">
        <v>401</v>
      </c>
      <c r="P489" s="9"/>
      <c r="Q489" s="10" t="s">
        <v>401</v>
      </c>
      <c r="R489" s="12">
        <v>43005</v>
      </c>
      <c r="S489" s="10" t="s">
        <v>146</v>
      </c>
      <c r="T489" s="9"/>
      <c r="U489" s="10" t="s">
        <v>401</v>
      </c>
      <c r="V489" s="10" t="s">
        <v>401</v>
      </c>
      <c r="W489" s="9"/>
      <c r="X489" s="9"/>
      <c r="Y489" s="9">
        <v>2</v>
      </c>
      <c r="Z489" s="19">
        <v>2</v>
      </c>
      <c r="AB489" s="9"/>
      <c r="AC489" s="9"/>
      <c r="AD489" s="9">
        <v>2</v>
      </c>
      <c r="AE489" s="9">
        <v>2</v>
      </c>
      <c r="AF489" s="9">
        <v>1</v>
      </c>
      <c r="AG489" s="9">
        <v>1</v>
      </c>
      <c r="AH489" s="9">
        <v>1</v>
      </c>
      <c r="AI489" s="9">
        <v>1</v>
      </c>
      <c r="AJ489" s="12">
        <v>43276</v>
      </c>
      <c r="AK489" s="9">
        <v>2</v>
      </c>
      <c r="AL489" s="12">
        <v>43360</v>
      </c>
      <c r="AM489" s="9">
        <v>4</v>
      </c>
      <c r="AN489" s="12">
        <v>43319</v>
      </c>
      <c r="AO489" s="12">
        <v>43319</v>
      </c>
      <c r="AP489" s="12">
        <v>43360</v>
      </c>
      <c r="AQ489" s="9">
        <v>1</v>
      </c>
      <c r="AR489" s="9">
        <f t="shared" si="174"/>
        <v>1</v>
      </c>
      <c r="AS489" s="9">
        <v>1</v>
      </c>
      <c r="AT489" s="9">
        <v>1</v>
      </c>
      <c r="AU489" s="9">
        <v>1</v>
      </c>
      <c r="AV489" s="9">
        <f t="shared" si="175"/>
        <v>0</v>
      </c>
      <c r="AW489" s="12">
        <v>43362</v>
      </c>
      <c r="AX489" s="9">
        <v>4690</v>
      </c>
      <c r="AY489" s="9">
        <v>2750</v>
      </c>
      <c r="AZ489" s="9">
        <v>1470</v>
      </c>
      <c r="BA489" s="9">
        <v>2750</v>
      </c>
      <c r="BB489" s="9">
        <v>1470.000244140625</v>
      </c>
      <c r="BC489" s="9">
        <v>311000</v>
      </c>
      <c r="BD489" s="9">
        <v>330</v>
      </c>
      <c r="BE489" s="9">
        <v>110</v>
      </c>
      <c r="BF489" s="9">
        <v>145</v>
      </c>
      <c r="BG489" s="9"/>
      <c r="BH489" s="9"/>
      <c r="BI489" s="9"/>
      <c r="BJ489" s="9"/>
      <c r="BK489" s="9"/>
      <c r="BL489" s="9"/>
      <c r="BM489" s="9"/>
      <c r="BN489" s="9">
        <v>8360</v>
      </c>
      <c r="BO489" s="9">
        <v>6090</v>
      </c>
      <c r="BP489" s="9">
        <v>1510</v>
      </c>
      <c r="BQ489" s="9">
        <v>657000</v>
      </c>
      <c r="BR489" s="9">
        <v>550</v>
      </c>
      <c r="BS489" s="9">
        <v>160</v>
      </c>
      <c r="BT489" s="9">
        <v>142</v>
      </c>
      <c r="BU489" s="9"/>
      <c r="BV489" s="9"/>
      <c r="BW489" s="9"/>
      <c r="BX489" s="9"/>
      <c r="BY489" s="9"/>
      <c r="BZ489" s="10" t="s">
        <v>401</v>
      </c>
      <c r="CA489" s="9"/>
      <c r="CB489" s="9"/>
      <c r="CC489" s="10">
        <f t="shared" si="176"/>
        <v>1.8707479886220524</v>
      </c>
      <c r="CD489" s="10">
        <f t="shared" si="177"/>
        <v>211.56459071325756</v>
      </c>
      <c r="CE489" s="10">
        <f t="shared" si="185"/>
        <v>581802.6244614583</v>
      </c>
      <c r="CF489" s="10">
        <f t="shared" si="187"/>
        <v>0</v>
      </c>
      <c r="CG489" s="10">
        <f t="shared" si="171"/>
        <v>0</v>
      </c>
      <c r="CH489" s="10">
        <f t="shared" si="172"/>
        <v>3</v>
      </c>
      <c r="CI489" s="9">
        <f t="shared" si="178"/>
        <v>0</v>
      </c>
      <c r="CJ489" s="10">
        <f t="shared" si="173"/>
        <v>3</v>
      </c>
      <c r="CK489" s="10" t="b">
        <f t="shared" si="179"/>
        <v>0</v>
      </c>
      <c r="CL489" s="10" t="b">
        <f t="shared" si="180"/>
        <v>0</v>
      </c>
      <c r="CM489" s="10" t="b">
        <f t="shared" si="181"/>
        <v>0</v>
      </c>
      <c r="CN489" s="9">
        <f t="shared" si="182"/>
        <v>1</v>
      </c>
      <c r="CO489" s="10">
        <f t="shared" si="186"/>
        <v>2</v>
      </c>
      <c r="CP489" s="10" t="b">
        <f t="shared" si="183"/>
        <v>0</v>
      </c>
      <c r="CQ489" s="10" t="b">
        <f t="shared" si="184"/>
        <v>0</v>
      </c>
      <c r="CR489" s="10" t="e" cm="1">
        <f t="array" ref="CR489">_xlfn.IFS(AND($CI489=0, CK489=FALSE), NA(), AND($CI489=1, CK489=FALSE), 0, CK489=TRUE, 1)</f>
        <v>#N/A</v>
      </c>
      <c r="CS489" s="10" t="e" cm="1">
        <f t="array" ref="CS489">_xlfn.IFS(AND($CI489=0, CL489=FALSE), NA(), AND($CI489=1, CL489=FALSE), 0, CL489=TRUE, 1)</f>
        <v>#N/A</v>
      </c>
      <c r="CT489" s="10" t="e" cm="1">
        <f t="array" ref="CT489">_xlfn.IFS(AND($CI489=0, CM489=FALSE), NA(), AND($CI489=1, CM489=FALSE), 0, CM489=TRUE, 1)</f>
        <v>#N/A</v>
      </c>
      <c r="CU489" s="10" cm="1">
        <f t="array" ref="CU489">_xlfn.IFS(AND($CN489=0, CP489=FALSE), NA(), AND($CN489=1, CP489=FALSE), 0, CP489=TRUE, 1)</f>
        <v>0</v>
      </c>
      <c r="CV489" s="10" cm="1">
        <f t="array" ref="CV489">_xlfn.IFS(AND($CN489=0, CQ489=FALSE), NA(), AND($CN489=1, CQ489=FALSE), 0, CQ489=TRUE, 1)</f>
        <v>0</v>
      </c>
    </row>
    <row r="490" spans="1:100" ht="15.75" x14ac:dyDescent="0.25">
      <c r="A490" s="8">
        <v>489</v>
      </c>
      <c r="B490" s="9">
        <v>541</v>
      </c>
      <c r="C490" s="10" t="s">
        <v>34</v>
      </c>
      <c r="D490" s="11" t="s">
        <v>389</v>
      </c>
      <c r="E490" s="12">
        <v>16830</v>
      </c>
      <c r="F490" s="13">
        <v>2</v>
      </c>
      <c r="G490" s="9">
        <v>71.337440490722656</v>
      </c>
      <c r="H490" s="12">
        <v>42886</v>
      </c>
      <c r="I490" s="9">
        <v>0</v>
      </c>
      <c r="J490" s="12"/>
      <c r="K490" s="9">
        <v>1</v>
      </c>
      <c r="L490" s="9">
        <v>1</v>
      </c>
      <c r="M490" s="10" t="s">
        <v>401</v>
      </c>
      <c r="N490" s="9">
        <v>2</v>
      </c>
      <c r="O490" s="10" t="s">
        <v>145</v>
      </c>
      <c r="P490" s="9">
        <v>2</v>
      </c>
      <c r="Q490" s="10" t="s">
        <v>145</v>
      </c>
      <c r="R490" s="12">
        <v>42886</v>
      </c>
      <c r="S490" s="10" t="s">
        <v>146</v>
      </c>
      <c r="T490" s="9">
        <v>4</v>
      </c>
      <c r="U490" s="10" t="s">
        <v>401</v>
      </c>
      <c r="V490" s="10" t="s">
        <v>401</v>
      </c>
      <c r="W490" s="9"/>
      <c r="X490" s="9"/>
      <c r="Y490" s="9">
        <v>3</v>
      </c>
      <c r="Z490" s="14">
        <v>2</v>
      </c>
      <c r="AA490" s="17">
        <v>12.5</v>
      </c>
      <c r="AB490" s="18">
        <v>91</v>
      </c>
      <c r="AC490" s="18">
        <v>15</v>
      </c>
      <c r="AD490" s="9">
        <v>2</v>
      </c>
      <c r="AE490" s="9">
        <v>2</v>
      </c>
      <c r="AF490" s="9">
        <v>2</v>
      </c>
      <c r="AG490" s="9">
        <v>1</v>
      </c>
      <c r="AH490" s="9">
        <v>1</v>
      </c>
      <c r="AI490" s="9">
        <v>1</v>
      </c>
      <c r="AJ490" s="12">
        <v>43679</v>
      </c>
      <c r="AK490" s="9">
        <v>1</v>
      </c>
      <c r="AL490" s="12">
        <v>44930</v>
      </c>
      <c r="AM490" s="9">
        <v>3</v>
      </c>
      <c r="AN490" s="12">
        <v>43748</v>
      </c>
      <c r="AO490" s="12"/>
      <c r="AP490" s="12"/>
      <c r="AQ490" s="9">
        <v>2</v>
      </c>
      <c r="AR490" s="9">
        <f t="shared" si="174"/>
        <v>0</v>
      </c>
      <c r="AS490" s="9">
        <v>2</v>
      </c>
      <c r="AT490" s="9"/>
      <c r="AU490" s="9">
        <v>1</v>
      </c>
      <c r="AV490" s="9">
        <f t="shared" si="175"/>
        <v>0</v>
      </c>
      <c r="AW490" s="12">
        <v>44930</v>
      </c>
      <c r="AX490" s="9">
        <v>4970</v>
      </c>
      <c r="AY490" s="9">
        <v>2910</v>
      </c>
      <c r="AZ490" s="9">
        <v>1580</v>
      </c>
      <c r="BA490" s="9">
        <v>2910</v>
      </c>
      <c r="BB490" s="9">
        <v>1579.9998779296875</v>
      </c>
      <c r="BC490" s="9">
        <v>352000</v>
      </c>
      <c r="BD490" s="9">
        <v>390</v>
      </c>
      <c r="BE490" s="9">
        <v>50</v>
      </c>
      <c r="BF490" s="9">
        <v>170</v>
      </c>
      <c r="BG490" s="9">
        <v>5730</v>
      </c>
      <c r="BH490" s="9">
        <v>3670</v>
      </c>
      <c r="BI490" s="9">
        <v>1320</v>
      </c>
      <c r="BJ490" s="9">
        <v>302000</v>
      </c>
      <c r="BK490" s="9">
        <v>500</v>
      </c>
      <c r="BL490" s="9">
        <v>170</v>
      </c>
      <c r="BM490" s="9"/>
      <c r="BN490" s="9">
        <v>5790</v>
      </c>
      <c r="BO490" s="9">
        <v>3510</v>
      </c>
      <c r="BP490" s="9">
        <v>1480</v>
      </c>
      <c r="BQ490" s="9">
        <v>450000</v>
      </c>
      <c r="BR490" s="9">
        <v>450</v>
      </c>
      <c r="BS490" s="9">
        <v>300</v>
      </c>
      <c r="BT490" s="9"/>
      <c r="BU490" s="9">
        <v>5760</v>
      </c>
      <c r="BV490" s="9">
        <v>2800</v>
      </c>
      <c r="BW490" s="9">
        <v>1350</v>
      </c>
      <c r="BX490" s="9">
        <v>323000</v>
      </c>
      <c r="BY490" s="9">
        <v>430</v>
      </c>
      <c r="BZ490" s="10" t="s">
        <v>532</v>
      </c>
      <c r="CA490" s="9">
        <v>90</v>
      </c>
      <c r="CB490" s="9"/>
      <c r="CC490" s="10">
        <f t="shared" si="176"/>
        <v>1.8417722941934933</v>
      </c>
      <c r="CD490" s="10">
        <f t="shared" si="177"/>
        <v>222.78482733886929</v>
      </c>
      <c r="CE490" s="10">
        <f t="shared" si="185"/>
        <v>648303.84755610966</v>
      </c>
      <c r="CF490" s="10">
        <f t="shared" si="187"/>
        <v>1</v>
      </c>
      <c r="CG490" s="10">
        <f t="shared" si="171"/>
        <v>0</v>
      </c>
      <c r="CH490" s="10">
        <f t="shared" si="172"/>
        <v>41</v>
      </c>
      <c r="CI490" s="9">
        <f t="shared" si="178"/>
        <v>0</v>
      </c>
      <c r="CJ490" s="10">
        <f t="shared" si="173"/>
        <v>41</v>
      </c>
      <c r="CK490" s="10" t="b">
        <f t="shared" si="179"/>
        <v>1</v>
      </c>
      <c r="CL490" s="10" t="b">
        <f t="shared" si="180"/>
        <v>1</v>
      </c>
      <c r="CM490" s="10" t="b">
        <f t="shared" si="181"/>
        <v>1</v>
      </c>
      <c r="CN490" s="9">
        <f t="shared" si="182"/>
        <v>0</v>
      </c>
      <c r="CO490" s="10">
        <f>CJ490</f>
        <v>41</v>
      </c>
      <c r="CP490" s="10" t="b">
        <f t="shared" si="183"/>
        <v>1</v>
      </c>
      <c r="CQ490" s="10" t="b">
        <f t="shared" si="184"/>
        <v>1</v>
      </c>
      <c r="CR490" s="10" cm="1">
        <f t="array" ref="CR490">_xlfn.IFS(AND($CI490=0, CK490=FALSE), NA(), AND($CI490=1, CK490=FALSE), 0, CK490=TRUE, 1)</f>
        <v>1</v>
      </c>
      <c r="CS490" s="10" cm="1">
        <f t="array" ref="CS490">_xlfn.IFS(AND($CI490=0, CL490=FALSE), NA(), AND($CI490=1, CL490=FALSE), 0, CL490=TRUE, 1)</f>
        <v>1</v>
      </c>
      <c r="CT490" s="10" cm="1">
        <f t="array" ref="CT490">_xlfn.IFS(AND($CI490=0, CM490=FALSE), NA(), AND($CI490=1, CM490=FALSE), 0, CM490=TRUE, 1)</f>
        <v>1</v>
      </c>
      <c r="CU490" s="10" cm="1">
        <f t="array" ref="CU490">_xlfn.IFS(AND($CN490=0, CP490=FALSE), NA(), AND($CN490=1, CP490=FALSE), 0, CP490=TRUE, 1)</f>
        <v>1</v>
      </c>
      <c r="CV490" s="10" cm="1">
        <f t="array" ref="CV490">_xlfn.IFS(AND($CN490=0, CQ490=FALSE), NA(), AND($CN490=1, CQ490=FALSE), 0, CQ490=TRUE, 1)</f>
        <v>1</v>
      </c>
    </row>
    <row r="491" spans="1:100" ht="15.75" x14ac:dyDescent="0.25">
      <c r="A491" s="8">
        <v>490</v>
      </c>
      <c r="B491" s="9">
        <v>303</v>
      </c>
      <c r="C491" s="10" t="s">
        <v>23</v>
      </c>
      <c r="D491" s="11" t="s">
        <v>261</v>
      </c>
      <c r="E491" s="12">
        <v>33205</v>
      </c>
      <c r="F491" s="13">
        <v>2</v>
      </c>
      <c r="G491" s="9">
        <v>26.507871627807617</v>
      </c>
      <c r="H491" s="12">
        <v>42887</v>
      </c>
      <c r="I491" s="9">
        <v>1</v>
      </c>
      <c r="J491" s="12">
        <v>42926</v>
      </c>
      <c r="K491" s="9">
        <v>1</v>
      </c>
      <c r="L491" s="9">
        <v>1</v>
      </c>
      <c r="M491" s="10" t="s">
        <v>401</v>
      </c>
      <c r="N491" s="9">
        <v>2</v>
      </c>
      <c r="O491" s="10" t="s">
        <v>409</v>
      </c>
      <c r="P491" s="9">
        <v>3</v>
      </c>
      <c r="Q491" s="10" t="s">
        <v>417</v>
      </c>
      <c r="R491" s="12">
        <v>42888</v>
      </c>
      <c r="S491" s="10" t="s">
        <v>145</v>
      </c>
      <c r="T491" s="9"/>
      <c r="U491" s="10" t="s">
        <v>401</v>
      </c>
      <c r="V491" s="10" t="s">
        <v>401</v>
      </c>
      <c r="W491" s="9"/>
      <c r="X491" s="9"/>
      <c r="Y491" s="9">
        <v>2</v>
      </c>
      <c r="Z491" s="14">
        <v>1</v>
      </c>
      <c r="AA491" s="15">
        <v>10.4</v>
      </c>
      <c r="AB491" s="16">
        <v>92</v>
      </c>
      <c r="AC491" s="16">
        <v>15</v>
      </c>
      <c r="AD491" s="9">
        <v>3</v>
      </c>
      <c r="AE491" s="9">
        <v>2</v>
      </c>
      <c r="AF491" s="9">
        <v>1</v>
      </c>
      <c r="AG491" s="9">
        <v>1</v>
      </c>
      <c r="AH491" s="9">
        <v>1</v>
      </c>
      <c r="AI491" s="9">
        <v>1</v>
      </c>
      <c r="AJ491" s="12">
        <v>43070</v>
      </c>
      <c r="AK491" s="9">
        <v>2</v>
      </c>
      <c r="AL491" s="12">
        <v>43154</v>
      </c>
      <c r="AM491" s="9">
        <v>4</v>
      </c>
      <c r="AN491" s="12">
        <v>43154</v>
      </c>
      <c r="AO491" s="12">
        <v>43154</v>
      </c>
      <c r="AP491" s="12">
        <v>43154</v>
      </c>
      <c r="AQ491" s="9">
        <v>1</v>
      </c>
      <c r="AR491" s="9">
        <f t="shared" si="174"/>
        <v>1</v>
      </c>
      <c r="AS491" s="9">
        <v>1</v>
      </c>
      <c r="AT491" s="9">
        <v>2</v>
      </c>
      <c r="AU491" s="9">
        <v>2</v>
      </c>
      <c r="AV491" s="9">
        <f t="shared" si="175"/>
        <v>1</v>
      </c>
      <c r="AW491" s="12">
        <v>43602</v>
      </c>
      <c r="AX491" s="9">
        <v>4140</v>
      </c>
      <c r="AY491" s="9">
        <v>2000</v>
      </c>
      <c r="AZ491" s="9">
        <v>1700</v>
      </c>
      <c r="BA491" s="9">
        <v>2000</v>
      </c>
      <c r="BB491" s="9">
        <v>1700.0001220703125</v>
      </c>
      <c r="BC491" s="9">
        <v>133000</v>
      </c>
      <c r="BD491" s="9">
        <v>300</v>
      </c>
      <c r="BE491" s="9">
        <v>100</v>
      </c>
      <c r="BF491" s="9">
        <v>161</v>
      </c>
      <c r="BG491" s="9">
        <v>5470</v>
      </c>
      <c r="BH491" s="9">
        <v>3000</v>
      </c>
      <c r="BI491" s="9">
        <v>1900</v>
      </c>
      <c r="BJ491" s="9">
        <v>293000</v>
      </c>
      <c r="BK491" s="9">
        <v>300</v>
      </c>
      <c r="BL491" s="9">
        <v>100</v>
      </c>
      <c r="BM491" s="9">
        <v>223</v>
      </c>
      <c r="BN491" s="9">
        <v>4850</v>
      </c>
      <c r="BO491" s="9">
        <v>3300</v>
      </c>
      <c r="BP491" s="9">
        <v>1100</v>
      </c>
      <c r="BQ491" s="9">
        <v>240000</v>
      </c>
      <c r="BR491" s="9">
        <v>300</v>
      </c>
      <c r="BS491" s="9">
        <v>100</v>
      </c>
      <c r="BT491" s="9">
        <v>224</v>
      </c>
      <c r="BU491" s="9">
        <v>4390</v>
      </c>
      <c r="BV491" s="9">
        <v>2900</v>
      </c>
      <c r="BW491" s="9">
        <v>1000</v>
      </c>
      <c r="BX491" s="9">
        <v>236000</v>
      </c>
      <c r="BY491" s="9">
        <v>300</v>
      </c>
      <c r="BZ491" s="10" t="s">
        <v>525</v>
      </c>
      <c r="CA491" s="9">
        <v>100</v>
      </c>
      <c r="CB491" s="9"/>
      <c r="CC491" s="10">
        <f t="shared" si="176"/>
        <v>1.1764705037575753</v>
      </c>
      <c r="CD491" s="10">
        <f t="shared" si="177"/>
        <v>78.235288499878749</v>
      </c>
      <c r="CE491" s="10">
        <f t="shared" si="185"/>
        <v>156470.57699975753</v>
      </c>
      <c r="CF491" s="10">
        <f t="shared" si="187"/>
        <v>0</v>
      </c>
      <c r="CG491" s="10">
        <f t="shared" si="171"/>
        <v>0</v>
      </c>
      <c r="CH491" s="10">
        <f t="shared" si="172"/>
        <v>2</v>
      </c>
      <c r="CI491" s="9">
        <f t="shared" si="178"/>
        <v>1</v>
      </c>
      <c r="CJ491" s="10">
        <f t="shared" si="173"/>
        <v>17</v>
      </c>
      <c r="CK491" s="10" t="b">
        <f t="shared" si="179"/>
        <v>1</v>
      </c>
      <c r="CL491" s="10" t="b">
        <f t="shared" si="180"/>
        <v>0</v>
      </c>
      <c r="CM491" s="10" t="b">
        <f t="shared" si="181"/>
        <v>0</v>
      </c>
      <c r="CN491" s="9">
        <f t="shared" si="182"/>
        <v>1</v>
      </c>
      <c r="CO491" s="10">
        <f t="shared" ref="CO491:CO498" si="188">(YEAR(AO491)-YEAR(AJ491))*12+MONTH(AO491)-MONTH(AJ491)</f>
        <v>2</v>
      </c>
      <c r="CP491" s="10" t="b">
        <f t="shared" si="183"/>
        <v>0</v>
      </c>
      <c r="CQ491" s="10" t="b">
        <f t="shared" si="184"/>
        <v>0</v>
      </c>
      <c r="CR491" s="10" cm="1">
        <f t="array" ref="CR491">_xlfn.IFS(AND($CI491=0, CK491=FALSE), NA(), AND($CI491=1, CK491=FALSE), 0, CK491=TRUE, 1)</f>
        <v>1</v>
      </c>
      <c r="CS491" s="10" cm="1">
        <f t="array" ref="CS491">_xlfn.IFS(AND($CI491=0, CL491=FALSE), NA(), AND($CI491=1, CL491=FALSE), 0, CL491=TRUE, 1)</f>
        <v>0</v>
      </c>
      <c r="CT491" s="10" cm="1">
        <f t="array" ref="CT491">_xlfn.IFS(AND($CI491=0, CM491=FALSE), NA(), AND($CI491=1, CM491=FALSE), 0, CM491=TRUE, 1)</f>
        <v>0</v>
      </c>
      <c r="CU491" s="10" cm="1">
        <f t="array" ref="CU491">_xlfn.IFS(AND($CN491=0, CP491=FALSE), NA(), AND($CN491=1, CP491=FALSE), 0, CP491=TRUE, 1)</f>
        <v>0</v>
      </c>
      <c r="CV491" s="10" cm="1">
        <f t="array" ref="CV491">_xlfn.IFS(AND($CN491=0, CQ491=FALSE), NA(), AND($CN491=1, CQ491=FALSE), 0, CQ491=TRUE, 1)</f>
        <v>0</v>
      </c>
    </row>
    <row r="492" spans="1:100" x14ac:dyDescent="0.25">
      <c r="A492" s="8">
        <v>491</v>
      </c>
      <c r="B492" s="9">
        <v>83</v>
      </c>
      <c r="C492" s="10" t="s">
        <v>9</v>
      </c>
      <c r="D492" s="11" t="s">
        <v>111</v>
      </c>
      <c r="E492" s="12">
        <v>17574</v>
      </c>
      <c r="F492" s="13">
        <v>1</v>
      </c>
      <c r="G492" s="9">
        <v>69.308692932128906</v>
      </c>
      <c r="H492" s="12">
        <v>42889</v>
      </c>
      <c r="I492" s="9">
        <v>1</v>
      </c>
      <c r="J492" s="12">
        <v>42889</v>
      </c>
      <c r="K492" s="9">
        <v>0</v>
      </c>
      <c r="L492" s="9">
        <v>1</v>
      </c>
      <c r="M492" s="10" t="s">
        <v>401</v>
      </c>
      <c r="N492" s="9">
        <v>2</v>
      </c>
      <c r="O492" s="10" t="s">
        <v>146</v>
      </c>
      <c r="P492" s="9">
        <v>2</v>
      </c>
      <c r="Q492" s="10" t="s">
        <v>146</v>
      </c>
      <c r="R492" s="12">
        <v>43566</v>
      </c>
      <c r="S492" s="10" t="s">
        <v>147</v>
      </c>
      <c r="T492" s="9"/>
      <c r="U492" s="10" t="s">
        <v>401</v>
      </c>
      <c r="V492" s="10" t="s">
        <v>401</v>
      </c>
      <c r="W492" s="9"/>
      <c r="X492" s="9"/>
      <c r="Y492" s="9">
        <v>2</v>
      </c>
      <c r="Z492" s="19"/>
      <c r="AB492" s="9"/>
      <c r="AC492" s="9"/>
      <c r="AD492" s="9">
        <v>2</v>
      </c>
      <c r="AE492" s="9">
        <v>2</v>
      </c>
      <c r="AF492" s="9">
        <v>2</v>
      </c>
      <c r="AG492" s="9">
        <v>0</v>
      </c>
      <c r="AH492" s="9">
        <v>1</v>
      </c>
      <c r="AI492" s="9">
        <v>1</v>
      </c>
      <c r="AJ492" s="12">
        <v>43643</v>
      </c>
      <c r="AK492" s="9">
        <v>2</v>
      </c>
      <c r="AL492" s="12">
        <v>43649</v>
      </c>
      <c r="AM492" s="9">
        <v>4</v>
      </c>
      <c r="AN492" s="12">
        <v>43720</v>
      </c>
      <c r="AO492" s="12">
        <v>43720</v>
      </c>
      <c r="AP492" s="12">
        <v>43720</v>
      </c>
      <c r="AQ492" s="9">
        <v>1</v>
      </c>
      <c r="AR492" s="9">
        <f t="shared" si="174"/>
        <v>1</v>
      </c>
      <c r="AS492" s="9">
        <v>1</v>
      </c>
      <c r="AT492" s="9">
        <v>2</v>
      </c>
      <c r="AU492" s="9">
        <v>2</v>
      </c>
      <c r="AV492" s="9">
        <f t="shared" si="175"/>
        <v>1</v>
      </c>
      <c r="AW492" s="12">
        <v>44844</v>
      </c>
      <c r="AX492" s="9">
        <v>9100</v>
      </c>
      <c r="AY492" s="9">
        <v>6600</v>
      </c>
      <c r="AZ492" s="9">
        <v>1410</v>
      </c>
      <c r="BA492" s="9">
        <v>6600</v>
      </c>
      <c r="BB492" s="9">
        <v>1410.000244140625</v>
      </c>
      <c r="BC492" s="9">
        <v>214000</v>
      </c>
      <c r="BD492" s="9">
        <v>750</v>
      </c>
      <c r="BE492" s="9">
        <v>270</v>
      </c>
      <c r="BF492" s="9"/>
      <c r="BG492" s="9">
        <v>7350</v>
      </c>
      <c r="BH492" s="9">
        <v>5170</v>
      </c>
      <c r="BI492" s="9">
        <v>550</v>
      </c>
      <c r="BJ492" s="9">
        <v>187000</v>
      </c>
      <c r="BK492" s="9">
        <v>550</v>
      </c>
      <c r="BL492" s="9">
        <v>310</v>
      </c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10" t="s">
        <v>401</v>
      </c>
      <c r="CA492" s="9"/>
      <c r="CB492" s="9"/>
      <c r="CC492" s="10">
        <f t="shared" si="176"/>
        <v>4.680850253343471</v>
      </c>
      <c r="CD492" s="10">
        <f t="shared" si="177"/>
        <v>151.77302336598527</v>
      </c>
      <c r="CE492" s="10">
        <f t="shared" si="185"/>
        <v>1001701.9542155028</v>
      </c>
      <c r="CF492" s="10">
        <f t="shared" si="187"/>
        <v>0</v>
      </c>
      <c r="CG492" s="10">
        <f t="shared" si="171"/>
        <v>0</v>
      </c>
      <c r="CH492" s="10">
        <f t="shared" si="172"/>
        <v>1</v>
      </c>
      <c r="CI492" s="9">
        <f t="shared" si="178"/>
        <v>1</v>
      </c>
      <c r="CJ492" s="10">
        <f t="shared" si="173"/>
        <v>40</v>
      </c>
      <c r="CK492" s="10" t="b">
        <f t="shared" si="179"/>
        <v>1</v>
      </c>
      <c r="CL492" s="10" t="b">
        <f t="shared" si="180"/>
        <v>1</v>
      </c>
      <c r="CM492" s="10" t="b">
        <f t="shared" si="181"/>
        <v>1</v>
      </c>
      <c r="CN492" s="9">
        <f t="shared" si="182"/>
        <v>1</v>
      </c>
      <c r="CO492" s="10">
        <f t="shared" si="188"/>
        <v>3</v>
      </c>
      <c r="CP492" s="10" t="b">
        <f t="shared" si="183"/>
        <v>1</v>
      </c>
      <c r="CQ492" s="10" t="b">
        <f t="shared" si="184"/>
        <v>0</v>
      </c>
      <c r="CR492" s="10" cm="1">
        <f t="array" ref="CR492">_xlfn.IFS(AND($CI492=0, CK492=FALSE), NA(), AND($CI492=1, CK492=FALSE), 0, CK492=TRUE, 1)</f>
        <v>1</v>
      </c>
      <c r="CS492" s="10" cm="1">
        <f t="array" ref="CS492">_xlfn.IFS(AND($CI492=0, CL492=FALSE), NA(), AND($CI492=1, CL492=FALSE), 0, CL492=TRUE, 1)</f>
        <v>1</v>
      </c>
      <c r="CT492" s="10" cm="1">
        <f t="array" ref="CT492">_xlfn.IFS(AND($CI492=0, CM492=FALSE), NA(), AND($CI492=1, CM492=FALSE), 0, CM492=TRUE, 1)</f>
        <v>1</v>
      </c>
      <c r="CU492" s="10" cm="1">
        <f t="array" ref="CU492">_xlfn.IFS(AND($CN492=0, CP492=FALSE), NA(), AND($CN492=1, CP492=FALSE), 0, CP492=TRUE, 1)</f>
        <v>1</v>
      </c>
      <c r="CV492" s="10" cm="1">
        <f t="array" ref="CV492">_xlfn.IFS(AND($CN492=0, CQ492=FALSE), NA(), AND($CN492=1, CQ492=FALSE), 0, CQ492=TRUE, 1)</f>
        <v>0</v>
      </c>
    </row>
    <row r="493" spans="1:100" ht="15.75" x14ac:dyDescent="0.25">
      <c r="A493" s="8">
        <v>492</v>
      </c>
      <c r="B493" s="9">
        <v>440</v>
      </c>
      <c r="C493" s="10" t="s">
        <v>30</v>
      </c>
      <c r="D493" s="11" t="s">
        <v>262</v>
      </c>
      <c r="E493" s="12">
        <v>15792</v>
      </c>
      <c r="F493" s="13">
        <v>1</v>
      </c>
      <c r="G493" s="9">
        <v>74.195755004882813</v>
      </c>
      <c r="H493" s="12">
        <v>42892</v>
      </c>
      <c r="I493" s="9">
        <v>1</v>
      </c>
      <c r="J493" s="12">
        <v>42985</v>
      </c>
      <c r="K493" s="9">
        <v>0</v>
      </c>
      <c r="L493" s="9">
        <v>1</v>
      </c>
      <c r="M493" s="10" t="s">
        <v>401</v>
      </c>
      <c r="N493" s="9">
        <v>2</v>
      </c>
      <c r="O493" s="10" t="s">
        <v>145</v>
      </c>
      <c r="P493" s="9">
        <v>2</v>
      </c>
      <c r="Q493" s="10" t="s">
        <v>445</v>
      </c>
      <c r="R493" s="12">
        <v>43286</v>
      </c>
      <c r="S493" s="10" t="s">
        <v>145</v>
      </c>
      <c r="T493" s="9"/>
      <c r="U493" s="10" t="s">
        <v>401</v>
      </c>
      <c r="V493" s="10" t="s">
        <v>401</v>
      </c>
      <c r="W493" s="9"/>
      <c r="X493" s="9"/>
      <c r="Y493" s="9">
        <v>2</v>
      </c>
      <c r="Z493" s="14">
        <v>1</v>
      </c>
      <c r="AA493" s="17">
        <v>12.2</v>
      </c>
      <c r="AB493" s="18">
        <v>92</v>
      </c>
      <c r="AC493" s="18">
        <v>11</v>
      </c>
      <c r="AD493" s="9">
        <v>2</v>
      </c>
      <c r="AE493" s="9">
        <v>2</v>
      </c>
      <c r="AF493" s="9">
        <v>1</v>
      </c>
      <c r="AG493" s="9">
        <v>1</v>
      </c>
      <c r="AH493" s="9">
        <v>1</v>
      </c>
      <c r="AI493" s="9">
        <v>1</v>
      </c>
      <c r="AJ493" s="12">
        <v>43448</v>
      </c>
      <c r="AK493" s="9">
        <v>2</v>
      </c>
      <c r="AL493" s="12">
        <v>43622</v>
      </c>
      <c r="AM493" s="9">
        <v>3</v>
      </c>
      <c r="AN493" s="12">
        <v>43585</v>
      </c>
      <c r="AO493" s="12">
        <v>43675</v>
      </c>
      <c r="AP493" s="12">
        <v>43675</v>
      </c>
      <c r="AQ493" s="9">
        <v>1</v>
      </c>
      <c r="AR493" s="9">
        <f t="shared" si="174"/>
        <v>1</v>
      </c>
      <c r="AS493" s="9">
        <v>1</v>
      </c>
      <c r="AT493" s="9">
        <v>2</v>
      </c>
      <c r="AU493" s="9">
        <v>2</v>
      </c>
      <c r="AV493" s="9">
        <f t="shared" si="175"/>
        <v>1</v>
      </c>
      <c r="AW493" s="12">
        <v>43675</v>
      </c>
      <c r="AX493" s="9">
        <v>9400</v>
      </c>
      <c r="AY493" s="9">
        <v>6260</v>
      </c>
      <c r="AZ493" s="9">
        <v>2240</v>
      </c>
      <c r="BA493" s="9">
        <v>6260</v>
      </c>
      <c r="BB493" s="9">
        <v>2239.999755859375</v>
      </c>
      <c r="BC493" s="9">
        <v>233000</v>
      </c>
      <c r="BD493" s="9">
        <v>1390</v>
      </c>
      <c r="BE493" s="9">
        <v>90</v>
      </c>
      <c r="BF493" s="9">
        <v>220</v>
      </c>
      <c r="BG493" s="9">
        <v>7090</v>
      </c>
      <c r="BH493" s="9">
        <v>4030</v>
      </c>
      <c r="BI493" s="9">
        <v>1860</v>
      </c>
      <c r="BJ493" s="9">
        <v>283000</v>
      </c>
      <c r="BK493" s="9">
        <v>1110</v>
      </c>
      <c r="BL493" s="9">
        <v>80</v>
      </c>
      <c r="BM493" s="9">
        <v>246</v>
      </c>
      <c r="BN493" s="9">
        <v>8650</v>
      </c>
      <c r="BO493" s="9">
        <v>5330</v>
      </c>
      <c r="BP493" s="9">
        <v>2180</v>
      </c>
      <c r="BQ493" s="9">
        <v>263000</v>
      </c>
      <c r="BR493" s="9">
        <v>1040</v>
      </c>
      <c r="BS493" s="9">
        <v>90</v>
      </c>
      <c r="BT493" s="9">
        <v>321</v>
      </c>
      <c r="BU493" s="9">
        <v>8830</v>
      </c>
      <c r="BV493" s="9">
        <v>5250</v>
      </c>
      <c r="BW493" s="9">
        <v>2430</v>
      </c>
      <c r="BX493" s="9">
        <v>215000</v>
      </c>
      <c r="BY493" s="9">
        <v>1060</v>
      </c>
      <c r="BZ493" s="10" t="s">
        <v>558</v>
      </c>
      <c r="CA493" s="9">
        <v>80</v>
      </c>
      <c r="CB493" s="9">
        <v>321</v>
      </c>
      <c r="CC493" s="10">
        <f t="shared" si="176"/>
        <v>2.7946431617347893</v>
      </c>
      <c r="CD493" s="10">
        <f t="shared" si="177"/>
        <v>104.0178684799051</v>
      </c>
      <c r="CE493" s="10">
        <f t="shared" si="185"/>
        <v>651151.85668420594</v>
      </c>
      <c r="CF493" s="10">
        <f t="shared" si="187"/>
        <v>1</v>
      </c>
      <c r="CG493" s="10">
        <f t="shared" si="171"/>
        <v>0</v>
      </c>
      <c r="CH493" s="10">
        <f t="shared" si="172"/>
        <v>6</v>
      </c>
      <c r="CI493" s="9">
        <f t="shared" si="178"/>
        <v>1</v>
      </c>
      <c r="CJ493" s="10">
        <f t="shared" si="173"/>
        <v>7</v>
      </c>
      <c r="CK493" s="10" t="b">
        <f t="shared" si="179"/>
        <v>1</v>
      </c>
      <c r="CL493" s="10" t="b">
        <f t="shared" si="180"/>
        <v>0</v>
      </c>
      <c r="CM493" s="10" t="b">
        <f t="shared" si="181"/>
        <v>0</v>
      </c>
      <c r="CN493" s="9">
        <f t="shared" si="182"/>
        <v>1</v>
      </c>
      <c r="CO493" s="10">
        <f t="shared" si="188"/>
        <v>7</v>
      </c>
      <c r="CP493" s="10" t="b">
        <f t="shared" si="183"/>
        <v>1</v>
      </c>
      <c r="CQ493" s="10" t="b">
        <f t="shared" si="184"/>
        <v>0</v>
      </c>
      <c r="CR493" s="10" cm="1">
        <f t="array" ref="CR493">_xlfn.IFS(AND($CI493=0, CK493=FALSE), NA(), AND($CI493=1, CK493=FALSE), 0, CK493=TRUE, 1)</f>
        <v>1</v>
      </c>
      <c r="CS493" s="10" cm="1">
        <f t="array" ref="CS493">_xlfn.IFS(AND($CI493=0, CL493=FALSE), NA(), AND($CI493=1, CL493=FALSE), 0, CL493=TRUE, 1)</f>
        <v>0</v>
      </c>
      <c r="CT493" s="10" cm="1">
        <f t="array" ref="CT493">_xlfn.IFS(AND($CI493=0, CM493=FALSE), NA(), AND($CI493=1, CM493=FALSE), 0, CM493=TRUE, 1)</f>
        <v>0</v>
      </c>
      <c r="CU493" s="10" cm="1">
        <f t="array" ref="CU493">_xlfn.IFS(AND($CN493=0, CP493=FALSE), NA(), AND($CN493=1, CP493=FALSE), 0, CP493=TRUE, 1)</f>
        <v>1</v>
      </c>
      <c r="CV493" s="10" cm="1">
        <f t="array" ref="CV493">_xlfn.IFS(AND($CN493=0, CQ493=FALSE), NA(), AND($CN493=1, CQ493=FALSE), 0, CQ493=TRUE, 1)</f>
        <v>0</v>
      </c>
    </row>
    <row r="494" spans="1:100" x14ac:dyDescent="0.25">
      <c r="A494" s="8">
        <v>493</v>
      </c>
      <c r="B494" s="9">
        <v>467</v>
      </c>
      <c r="C494" s="10" t="s">
        <v>31</v>
      </c>
      <c r="D494" s="11" t="s">
        <v>354</v>
      </c>
      <c r="E494" s="12"/>
      <c r="F494" s="13">
        <v>2</v>
      </c>
      <c r="G494" s="9">
        <v>73</v>
      </c>
      <c r="H494" s="12">
        <v>42896</v>
      </c>
      <c r="I494" s="9">
        <v>0</v>
      </c>
      <c r="J494" s="12"/>
      <c r="K494" s="9">
        <v>1</v>
      </c>
      <c r="L494" s="9">
        <v>1</v>
      </c>
      <c r="M494" s="10" t="s">
        <v>401</v>
      </c>
      <c r="N494" s="9">
        <v>2</v>
      </c>
      <c r="O494" s="10" t="s">
        <v>409</v>
      </c>
      <c r="P494" s="9">
        <v>3</v>
      </c>
      <c r="Q494" s="10" t="s">
        <v>417</v>
      </c>
      <c r="R494" s="12">
        <v>42907</v>
      </c>
      <c r="S494" s="10" t="s">
        <v>145</v>
      </c>
      <c r="T494" s="9"/>
      <c r="U494" s="10" t="s">
        <v>401</v>
      </c>
      <c r="V494" s="10" t="s">
        <v>401</v>
      </c>
      <c r="W494" s="9"/>
      <c r="X494" s="9"/>
      <c r="Y494" s="9">
        <v>2</v>
      </c>
      <c r="Z494" s="19">
        <v>1</v>
      </c>
      <c r="AB494" s="9"/>
      <c r="AC494" s="9"/>
      <c r="AD494" s="9">
        <v>2</v>
      </c>
      <c r="AE494" s="9">
        <v>3</v>
      </c>
      <c r="AF494" s="9">
        <v>1</v>
      </c>
      <c r="AG494" s="9">
        <v>0</v>
      </c>
      <c r="AH494" s="9">
        <v>1</v>
      </c>
      <c r="AI494" s="9">
        <v>1</v>
      </c>
      <c r="AJ494" s="12">
        <v>43234</v>
      </c>
      <c r="AK494" s="9">
        <v>2</v>
      </c>
      <c r="AL494" s="12">
        <v>43248</v>
      </c>
      <c r="AM494" s="9">
        <v>4</v>
      </c>
      <c r="AN494" s="12">
        <v>43262</v>
      </c>
      <c r="AO494" s="12">
        <v>43262</v>
      </c>
      <c r="AP494" s="12">
        <v>43262</v>
      </c>
      <c r="AQ494" s="9">
        <v>1</v>
      </c>
      <c r="AR494" s="9">
        <f t="shared" si="174"/>
        <v>1</v>
      </c>
      <c r="AS494" s="9">
        <v>1</v>
      </c>
      <c r="AT494" s="9">
        <v>2</v>
      </c>
      <c r="AU494" s="9">
        <v>2</v>
      </c>
      <c r="AV494" s="9">
        <f t="shared" si="175"/>
        <v>1</v>
      </c>
      <c r="AW494" s="12">
        <v>43265</v>
      </c>
      <c r="AX494" s="9">
        <v>5800</v>
      </c>
      <c r="AY494" s="9">
        <v>3900</v>
      </c>
      <c r="AZ494" s="9">
        <v>1700</v>
      </c>
      <c r="BA494" s="9">
        <v>3900</v>
      </c>
      <c r="BB494" s="9">
        <v>1700.0001220703125</v>
      </c>
      <c r="BC494" s="9">
        <v>362000</v>
      </c>
      <c r="BD494" s="9">
        <v>300</v>
      </c>
      <c r="BE494" s="9">
        <v>0</v>
      </c>
      <c r="BF494" s="9"/>
      <c r="BG494" s="9">
        <v>6100</v>
      </c>
      <c r="BH494" s="9">
        <v>4300</v>
      </c>
      <c r="BI494" s="9">
        <v>1200</v>
      </c>
      <c r="BJ494" s="9">
        <v>181000</v>
      </c>
      <c r="BK494" s="9">
        <v>700</v>
      </c>
      <c r="BL494" s="9">
        <v>0</v>
      </c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10" t="s">
        <v>401</v>
      </c>
      <c r="CA494" s="9"/>
      <c r="CB494" s="9"/>
      <c r="CC494" s="10">
        <f t="shared" si="176"/>
        <v>2.2941174823272719</v>
      </c>
      <c r="CD494" s="10">
        <f t="shared" si="177"/>
        <v>212.94116118012113</v>
      </c>
      <c r="CE494" s="10">
        <f t="shared" si="185"/>
        <v>830470.52860247239</v>
      </c>
      <c r="CF494" s="10">
        <f t="shared" si="187"/>
        <v>0</v>
      </c>
      <c r="CG494" s="10">
        <f t="shared" si="171"/>
        <v>0</v>
      </c>
      <c r="CH494" s="10">
        <f t="shared" si="172"/>
        <v>0</v>
      </c>
      <c r="CI494" s="9">
        <f t="shared" si="178"/>
        <v>1</v>
      </c>
      <c r="CJ494" s="10">
        <f t="shared" si="173"/>
        <v>1</v>
      </c>
      <c r="CK494" s="10" t="b">
        <f t="shared" si="179"/>
        <v>0</v>
      </c>
      <c r="CL494" s="10" t="b">
        <f t="shared" si="180"/>
        <v>0</v>
      </c>
      <c r="CM494" s="10" t="b">
        <f t="shared" si="181"/>
        <v>0</v>
      </c>
      <c r="CN494" s="9">
        <f t="shared" si="182"/>
        <v>1</v>
      </c>
      <c r="CO494" s="10">
        <f t="shared" si="188"/>
        <v>1</v>
      </c>
      <c r="CP494" s="10" t="b">
        <f t="shared" si="183"/>
        <v>0</v>
      </c>
      <c r="CQ494" s="10" t="b">
        <f t="shared" si="184"/>
        <v>0</v>
      </c>
      <c r="CR494" s="10" cm="1">
        <f t="array" ref="CR494">_xlfn.IFS(AND($CI494=0, CK494=FALSE), NA(), AND($CI494=1, CK494=FALSE), 0, CK494=TRUE, 1)</f>
        <v>0</v>
      </c>
      <c r="CS494" s="10" cm="1">
        <f t="array" ref="CS494">_xlfn.IFS(AND($CI494=0, CL494=FALSE), NA(), AND($CI494=1, CL494=FALSE), 0, CL494=TRUE, 1)</f>
        <v>0</v>
      </c>
      <c r="CT494" s="10" cm="1">
        <f t="array" ref="CT494">_xlfn.IFS(AND($CI494=0, CM494=FALSE), NA(), AND($CI494=1, CM494=FALSE), 0, CM494=TRUE, 1)</f>
        <v>0</v>
      </c>
      <c r="CU494" s="10" cm="1">
        <f t="array" ref="CU494">_xlfn.IFS(AND($CN494=0, CP494=FALSE), NA(), AND($CN494=1, CP494=FALSE), 0, CP494=TRUE, 1)</f>
        <v>0</v>
      </c>
      <c r="CV494" s="10" cm="1">
        <f t="array" ref="CV494">_xlfn.IFS(AND($CN494=0, CQ494=FALSE), NA(), AND($CN494=1, CQ494=FALSE), 0, CQ494=TRUE, 1)</f>
        <v>0</v>
      </c>
    </row>
    <row r="495" spans="1:100" x14ac:dyDescent="0.25">
      <c r="A495" s="8">
        <v>494</v>
      </c>
      <c r="B495" s="9">
        <v>485</v>
      </c>
      <c r="C495" s="10" t="s">
        <v>31</v>
      </c>
      <c r="D495" s="11" t="s">
        <v>360</v>
      </c>
      <c r="E495" s="12"/>
      <c r="F495" s="13">
        <v>1</v>
      </c>
      <c r="G495" s="9">
        <v>50</v>
      </c>
      <c r="H495" s="12">
        <v>42898</v>
      </c>
      <c r="I495" s="9">
        <v>1</v>
      </c>
      <c r="J495" s="12">
        <v>42898</v>
      </c>
      <c r="K495" s="9">
        <v>1</v>
      </c>
      <c r="L495" s="9">
        <v>4</v>
      </c>
      <c r="M495" s="10" t="s">
        <v>404</v>
      </c>
      <c r="N495" s="9">
        <v>2</v>
      </c>
      <c r="O495" s="10" t="s">
        <v>409</v>
      </c>
      <c r="P495" s="9">
        <v>2</v>
      </c>
      <c r="Q495" s="10" t="s">
        <v>409</v>
      </c>
      <c r="R495" s="12">
        <v>42822</v>
      </c>
      <c r="S495" s="10" t="s">
        <v>145</v>
      </c>
      <c r="T495" s="9"/>
      <c r="U495" s="10" t="s">
        <v>401</v>
      </c>
      <c r="V495" s="10" t="s">
        <v>401</v>
      </c>
      <c r="W495" s="9"/>
      <c r="X495" s="9"/>
      <c r="Y495" s="9">
        <v>2</v>
      </c>
      <c r="Z495" s="19">
        <v>1</v>
      </c>
      <c r="AB495" s="9"/>
      <c r="AC495" s="9"/>
      <c r="AD495" s="9">
        <v>2</v>
      </c>
      <c r="AE495" s="9">
        <v>2</v>
      </c>
      <c r="AF495" s="9">
        <v>2</v>
      </c>
      <c r="AG495" s="9">
        <v>1</v>
      </c>
      <c r="AH495" s="9">
        <v>1</v>
      </c>
      <c r="AI495" s="9">
        <v>0</v>
      </c>
      <c r="AJ495" s="12">
        <v>43024</v>
      </c>
      <c r="AK495" s="9">
        <v>2</v>
      </c>
      <c r="AL495" s="12">
        <v>43133</v>
      </c>
      <c r="AM495" s="9">
        <v>4</v>
      </c>
      <c r="AN495" s="12">
        <v>43138</v>
      </c>
      <c r="AO495" s="12">
        <v>43138</v>
      </c>
      <c r="AP495" s="12">
        <v>43138</v>
      </c>
      <c r="AQ495" s="9">
        <v>1</v>
      </c>
      <c r="AR495" s="9">
        <f t="shared" si="174"/>
        <v>1</v>
      </c>
      <c r="AS495" s="9">
        <v>1</v>
      </c>
      <c r="AT495" s="9">
        <v>2</v>
      </c>
      <c r="AU495" s="9">
        <v>2</v>
      </c>
      <c r="AV495" s="9">
        <f t="shared" si="175"/>
        <v>1</v>
      </c>
      <c r="AW495" s="12">
        <v>43170</v>
      </c>
      <c r="AX495" s="9">
        <v>3560</v>
      </c>
      <c r="AY495" s="9">
        <v>1550</v>
      </c>
      <c r="AZ495" s="9">
        <v>980</v>
      </c>
      <c r="BA495" s="9">
        <v>1550</v>
      </c>
      <c r="BB495" s="9">
        <v>980.00018310546875</v>
      </c>
      <c r="BC495" s="9">
        <v>295000</v>
      </c>
      <c r="BD495" s="9">
        <v>870</v>
      </c>
      <c r="BE495" s="9">
        <v>120</v>
      </c>
      <c r="BF495" s="9">
        <v>555</v>
      </c>
      <c r="BG495" s="9">
        <v>2800</v>
      </c>
      <c r="BH495" s="9"/>
      <c r="BI495" s="9"/>
      <c r="BJ495" s="9">
        <v>235000</v>
      </c>
      <c r="BK495" s="9"/>
      <c r="BL495" s="9"/>
      <c r="BM495" s="9"/>
      <c r="BN495" s="9">
        <v>4910</v>
      </c>
      <c r="BO495" s="9">
        <v>3690</v>
      </c>
      <c r="BP495" s="9">
        <v>570</v>
      </c>
      <c r="BQ495" s="9">
        <v>288000</v>
      </c>
      <c r="BR495" s="9">
        <v>620</v>
      </c>
      <c r="BS495" s="9">
        <v>0</v>
      </c>
      <c r="BT495" s="9"/>
      <c r="BU495" s="9">
        <v>11040</v>
      </c>
      <c r="BV495" s="9">
        <v>8820</v>
      </c>
      <c r="BW495" s="9">
        <v>1330</v>
      </c>
      <c r="BX495" s="9">
        <v>224000</v>
      </c>
      <c r="BY495" s="9">
        <v>830</v>
      </c>
      <c r="BZ495" s="10" t="s">
        <v>317</v>
      </c>
      <c r="CA495" s="9">
        <v>30</v>
      </c>
      <c r="CB495" s="9"/>
      <c r="CC495" s="10">
        <f t="shared" si="176"/>
        <v>1.5816323575453732</v>
      </c>
      <c r="CD495" s="10">
        <f t="shared" si="177"/>
        <v>301.02035191992587</v>
      </c>
      <c r="CE495" s="10">
        <f t="shared" si="185"/>
        <v>466581.5454758851</v>
      </c>
      <c r="CF495" s="10">
        <f t="shared" si="187"/>
        <v>0</v>
      </c>
      <c r="CG495" s="10">
        <f t="shared" si="171"/>
        <v>0</v>
      </c>
      <c r="CH495" s="10">
        <f t="shared" si="172"/>
        <v>4</v>
      </c>
      <c r="CI495" s="9">
        <f t="shared" si="178"/>
        <v>1</v>
      </c>
      <c r="CJ495" s="10">
        <f t="shared" si="173"/>
        <v>5</v>
      </c>
      <c r="CK495" s="10" t="b">
        <f t="shared" si="179"/>
        <v>0</v>
      </c>
      <c r="CL495" s="10" t="b">
        <f t="shared" si="180"/>
        <v>0</v>
      </c>
      <c r="CM495" s="10" t="b">
        <f t="shared" si="181"/>
        <v>0</v>
      </c>
      <c r="CN495" s="9">
        <f t="shared" si="182"/>
        <v>1</v>
      </c>
      <c r="CO495" s="10">
        <f t="shared" si="188"/>
        <v>4</v>
      </c>
      <c r="CP495" s="10" t="b">
        <f t="shared" si="183"/>
        <v>1</v>
      </c>
      <c r="CQ495" s="10" t="b">
        <f t="shared" si="184"/>
        <v>0</v>
      </c>
      <c r="CR495" s="10" cm="1">
        <f t="array" ref="CR495">_xlfn.IFS(AND($CI495=0, CK495=FALSE), NA(), AND($CI495=1, CK495=FALSE), 0, CK495=TRUE, 1)</f>
        <v>0</v>
      </c>
      <c r="CS495" s="10" cm="1">
        <f t="array" ref="CS495">_xlfn.IFS(AND($CI495=0, CL495=FALSE), NA(), AND($CI495=1, CL495=FALSE), 0, CL495=TRUE, 1)</f>
        <v>0</v>
      </c>
      <c r="CT495" s="10" cm="1">
        <f t="array" ref="CT495">_xlfn.IFS(AND($CI495=0, CM495=FALSE), NA(), AND($CI495=1, CM495=FALSE), 0, CM495=TRUE, 1)</f>
        <v>0</v>
      </c>
      <c r="CU495" s="10" cm="1">
        <f t="array" ref="CU495">_xlfn.IFS(AND($CN495=0, CP495=FALSE), NA(), AND($CN495=1, CP495=FALSE), 0, CP495=TRUE, 1)</f>
        <v>1</v>
      </c>
      <c r="CV495" s="10" cm="1">
        <f t="array" ref="CV495">_xlfn.IFS(AND($CN495=0, CQ495=FALSE), NA(), AND($CN495=1, CQ495=FALSE), 0, CQ495=TRUE, 1)</f>
        <v>0</v>
      </c>
    </row>
    <row r="496" spans="1:100" ht="15.75" x14ac:dyDescent="0.25">
      <c r="A496" s="8">
        <v>495</v>
      </c>
      <c r="B496" s="9">
        <v>499</v>
      </c>
      <c r="C496" s="10" t="s">
        <v>33</v>
      </c>
      <c r="D496" s="11" t="s">
        <v>70</v>
      </c>
      <c r="E496" s="12">
        <v>21245</v>
      </c>
      <c r="F496" s="13">
        <v>1</v>
      </c>
      <c r="G496" s="9">
        <v>59.285419464111328</v>
      </c>
      <c r="H496" s="12">
        <v>42899</v>
      </c>
      <c r="I496" s="9">
        <v>1</v>
      </c>
      <c r="J496" s="12">
        <v>42559</v>
      </c>
      <c r="K496" s="9">
        <v>1</v>
      </c>
      <c r="L496" s="9">
        <v>1</v>
      </c>
      <c r="M496" s="10" t="s">
        <v>401</v>
      </c>
      <c r="N496" s="9"/>
      <c r="O496" s="10" t="s">
        <v>401</v>
      </c>
      <c r="P496" s="9"/>
      <c r="Q496" s="10" t="s">
        <v>401</v>
      </c>
      <c r="R496" s="12">
        <v>42858</v>
      </c>
      <c r="S496" s="10" t="s">
        <v>145</v>
      </c>
      <c r="T496" s="9"/>
      <c r="U496" s="10" t="s">
        <v>401</v>
      </c>
      <c r="V496" s="10" t="s">
        <v>401</v>
      </c>
      <c r="W496" s="9"/>
      <c r="X496" s="9"/>
      <c r="Y496" s="9">
        <v>2</v>
      </c>
      <c r="Z496" s="14">
        <v>1</v>
      </c>
      <c r="AA496" s="17">
        <v>9.3000000000000007</v>
      </c>
      <c r="AB496" s="18">
        <v>95</v>
      </c>
      <c r="AC496" s="18">
        <v>17</v>
      </c>
      <c r="AD496" s="9"/>
      <c r="AE496" s="9"/>
      <c r="AF496" s="9"/>
      <c r="AG496" s="9">
        <v>1</v>
      </c>
      <c r="AH496" s="9">
        <v>1</v>
      </c>
      <c r="AI496" s="9">
        <v>0</v>
      </c>
      <c r="AJ496" s="12">
        <v>43480</v>
      </c>
      <c r="AK496" s="9">
        <v>2</v>
      </c>
      <c r="AL496" s="12">
        <v>43480</v>
      </c>
      <c r="AM496" s="9">
        <v>4</v>
      </c>
      <c r="AN496" s="12">
        <v>43500</v>
      </c>
      <c r="AO496" s="12">
        <v>43500</v>
      </c>
      <c r="AP496" s="12">
        <v>43500</v>
      </c>
      <c r="AQ496" s="9">
        <v>1</v>
      </c>
      <c r="AR496" s="9">
        <f t="shared" si="174"/>
        <v>1</v>
      </c>
      <c r="AS496" s="9">
        <v>1</v>
      </c>
      <c r="AT496" s="9">
        <v>2</v>
      </c>
      <c r="AU496" s="9">
        <v>2</v>
      </c>
      <c r="AV496" s="9">
        <f t="shared" si="175"/>
        <v>1</v>
      </c>
      <c r="AW496" s="12">
        <v>43678</v>
      </c>
      <c r="AX496" s="9"/>
      <c r="AY496" s="9"/>
      <c r="AZ496" s="9"/>
      <c r="BA496" s="9">
        <v>3086.200439453125</v>
      </c>
      <c r="BB496" s="9">
        <v>1476.8568115234375</v>
      </c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10" t="s">
        <v>401</v>
      </c>
      <c r="CA496" s="9"/>
      <c r="CB496" s="9"/>
      <c r="CC496" s="10">
        <f t="shared" si="176"/>
        <v>2.0897086402503602</v>
      </c>
      <c r="CF496" s="10">
        <f t="shared" si="187"/>
        <v>0</v>
      </c>
      <c r="CG496" s="10">
        <f t="shared" si="171"/>
        <v>0</v>
      </c>
      <c r="CH496" s="10">
        <f t="shared" si="172"/>
        <v>0</v>
      </c>
      <c r="CI496" s="9">
        <f t="shared" si="178"/>
        <v>1</v>
      </c>
      <c r="CJ496" s="10">
        <f t="shared" si="173"/>
        <v>7</v>
      </c>
      <c r="CK496" s="10" t="b">
        <f t="shared" si="179"/>
        <v>1</v>
      </c>
      <c r="CL496" s="10" t="b">
        <f t="shared" si="180"/>
        <v>0</v>
      </c>
      <c r="CM496" s="10" t="b">
        <f t="shared" si="181"/>
        <v>0</v>
      </c>
      <c r="CN496" s="9">
        <f t="shared" si="182"/>
        <v>1</v>
      </c>
      <c r="CO496" s="10">
        <f t="shared" si="188"/>
        <v>1</v>
      </c>
      <c r="CP496" s="10" t="b">
        <f t="shared" si="183"/>
        <v>0</v>
      </c>
      <c r="CQ496" s="10" t="b">
        <f t="shared" si="184"/>
        <v>0</v>
      </c>
      <c r="CR496" s="10" cm="1">
        <f t="array" ref="CR496">_xlfn.IFS(AND($CI496=0, CK496=FALSE), NA(), AND($CI496=1, CK496=FALSE), 0, CK496=TRUE, 1)</f>
        <v>1</v>
      </c>
      <c r="CS496" s="10" cm="1">
        <f t="array" ref="CS496">_xlfn.IFS(AND($CI496=0, CL496=FALSE), NA(), AND($CI496=1, CL496=FALSE), 0, CL496=TRUE, 1)</f>
        <v>0</v>
      </c>
      <c r="CT496" s="10" cm="1">
        <f t="array" ref="CT496">_xlfn.IFS(AND($CI496=0, CM496=FALSE), NA(), AND($CI496=1, CM496=FALSE), 0, CM496=TRUE, 1)</f>
        <v>0</v>
      </c>
      <c r="CU496" s="10" cm="1">
        <f t="array" ref="CU496">_xlfn.IFS(AND($CN496=0, CP496=FALSE), NA(), AND($CN496=1, CP496=FALSE), 0, CP496=TRUE, 1)</f>
        <v>0</v>
      </c>
      <c r="CV496" s="10" cm="1">
        <f t="array" ref="CV496">_xlfn.IFS(AND($CN496=0, CQ496=FALSE), NA(), AND($CN496=1, CQ496=FALSE), 0, CQ496=TRUE, 1)</f>
        <v>0</v>
      </c>
    </row>
    <row r="497" spans="1:100" ht="15.75" x14ac:dyDescent="0.25">
      <c r="A497" s="8">
        <v>496</v>
      </c>
      <c r="B497" s="9">
        <v>33</v>
      </c>
      <c r="C497" s="10" t="s">
        <v>6</v>
      </c>
      <c r="D497" s="11" t="s">
        <v>69</v>
      </c>
      <c r="E497" s="12">
        <v>16613</v>
      </c>
      <c r="F497" s="13">
        <v>1</v>
      </c>
      <c r="G497" s="9">
        <v>71.986312866210938</v>
      </c>
      <c r="H497" s="12">
        <v>42906</v>
      </c>
      <c r="I497" s="9">
        <v>1</v>
      </c>
      <c r="J497" s="12">
        <v>42906</v>
      </c>
      <c r="K497" s="9">
        <v>1</v>
      </c>
      <c r="L497" s="9">
        <v>1</v>
      </c>
      <c r="M497" s="10" t="s">
        <v>401</v>
      </c>
      <c r="N497" s="9">
        <v>3</v>
      </c>
      <c r="O497" s="10" t="s">
        <v>413</v>
      </c>
      <c r="P497" s="9">
        <v>3</v>
      </c>
      <c r="Q497" s="10" t="s">
        <v>413</v>
      </c>
      <c r="R497" s="12">
        <v>42906</v>
      </c>
      <c r="S497" s="10" t="s">
        <v>146</v>
      </c>
      <c r="T497" s="9"/>
      <c r="U497" s="10" t="s">
        <v>401</v>
      </c>
      <c r="V497" s="10" t="s">
        <v>401</v>
      </c>
      <c r="W497" s="9"/>
      <c r="X497" s="9"/>
      <c r="Y497" s="9">
        <v>2</v>
      </c>
      <c r="Z497" s="14">
        <v>2</v>
      </c>
      <c r="AA497" s="17">
        <v>10.1</v>
      </c>
      <c r="AB497" s="18" t="s">
        <v>464</v>
      </c>
      <c r="AC497" s="18">
        <v>13</v>
      </c>
      <c r="AD497" s="9">
        <v>2</v>
      </c>
      <c r="AE497" s="9">
        <v>2</v>
      </c>
      <c r="AF497" s="9">
        <v>1</v>
      </c>
      <c r="AG497" s="9">
        <v>0</v>
      </c>
      <c r="AH497" s="9">
        <v>1</v>
      </c>
      <c r="AI497" s="9">
        <v>1</v>
      </c>
      <c r="AJ497" s="12">
        <v>43504</v>
      </c>
      <c r="AK497" s="9">
        <v>2</v>
      </c>
      <c r="AL497" s="12">
        <v>43714</v>
      </c>
      <c r="AM497" s="9">
        <v>2</v>
      </c>
      <c r="AN497" s="12">
        <v>43579</v>
      </c>
      <c r="AO497" s="12">
        <v>43962</v>
      </c>
      <c r="AP497" s="12">
        <v>43962</v>
      </c>
      <c r="AQ497" s="9">
        <v>1</v>
      </c>
      <c r="AR497" s="9">
        <f t="shared" si="174"/>
        <v>1</v>
      </c>
      <c r="AS497" s="9">
        <v>1</v>
      </c>
      <c r="AT497" s="9">
        <v>2</v>
      </c>
      <c r="AU497" s="9">
        <v>2</v>
      </c>
      <c r="AV497" s="9">
        <f t="shared" si="175"/>
        <v>1</v>
      </c>
      <c r="AW497" s="12">
        <v>43962</v>
      </c>
      <c r="AX497" s="9">
        <v>7200</v>
      </c>
      <c r="AY497" s="9">
        <v>5090</v>
      </c>
      <c r="AZ497" s="9">
        <v>910</v>
      </c>
      <c r="BA497" s="9">
        <v>5090</v>
      </c>
      <c r="BB497" s="9">
        <v>910</v>
      </c>
      <c r="BC497" s="9">
        <v>144000</v>
      </c>
      <c r="BD497" s="9">
        <v>730</v>
      </c>
      <c r="BE497" s="9">
        <v>440</v>
      </c>
      <c r="BF497" s="9">
        <v>397</v>
      </c>
      <c r="BG497" s="9">
        <v>6540</v>
      </c>
      <c r="BH497" s="9">
        <v>4300</v>
      </c>
      <c r="BI497" s="9">
        <v>1150</v>
      </c>
      <c r="BJ497" s="9">
        <v>184000</v>
      </c>
      <c r="BK497" s="9"/>
      <c r="BL497" s="9"/>
      <c r="BM497" s="9">
        <v>301</v>
      </c>
      <c r="BN497" s="9">
        <v>5500</v>
      </c>
      <c r="BO497" s="9">
        <v>3500</v>
      </c>
      <c r="BP497" s="9">
        <v>1700</v>
      </c>
      <c r="BQ497" s="9">
        <v>170000</v>
      </c>
      <c r="BR497" s="9"/>
      <c r="BS497" s="9"/>
      <c r="BT497" s="9">
        <v>322</v>
      </c>
      <c r="BU497" s="9">
        <v>7400</v>
      </c>
      <c r="BV497" s="9">
        <v>4500</v>
      </c>
      <c r="BW497" s="9">
        <v>1600</v>
      </c>
      <c r="BX497" s="9">
        <v>187000</v>
      </c>
      <c r="BY497" s="9"/>
      <c r="BZ497" s="10" t="s">
        <v>401</v>
      </c>
      <c r="CA497" s="9"/>
      <c r="CB497" s="9">
        <v>355</v>
      </c>
      <c r="CC497" s="10">
        <f t="shared" si="176"/>
        <v>5.5934065934065931</v>
      </c>
      <c r="CD497" s="10">
        <f t="shared" si="177"/>
        <v>158.24175824175825</v>
      </c>
      <c r="CE497" s="10">
        <f t="shared" ref="CE497:CE536" si="189">BC497*CC497</f>
        <v>805450.54945054941</v>
      </c>
      <c r="CF497" s="10">
        <f t="shared" si="187"/>
        <v>1</v>
      </c>
      <c r="CG497" s="10">
        <f t="shared" si="171"/>
        <v>1</v>
      </c>
      <c r="CH497" s="10">
        <f t="shared" si="172"/>
        <v>7</v>
      </c>
      <c r="CI497" s="9">
        <f t="shared" si="178"/>
        <v>1</v>
      </c>
      <c r="CJ497" s="10">
        <f t="shared" si="173"/>
        <v>15</v>
      </c>
      <c r="CK497" s="10" t="b">
        <f t="shared" si="179"/>
        <v>1</v>
      </c>
      <c r="CL497" s="10" t="b">
        <f t="shared" si="180"/>
        <v>0</v>
      </c>
      <c r="CM497" s="10" t="b">
        <f t="shared" si="181"/>
        <v>0</v>
      </c>
      <c r="CN497" s="9">
        <f t="shared" si="182"/>
        <v>1</v>
      </c>
      <c r="CO497" s="10">
        <f t="shared" si="188"/>
        <v>15</v>
      </c>
      <c r="CP497" s="10" t="b">
        <f t="shared" si="183"/>
        <v>1</v>
      </c>
      <c r="CQ497" s="10" t="b">
        <f t="shared" si="184"/>
        <v>1</v>
      </c>
      <c r="CR497" s="10" cm="1">
        <f t="array" ref="CR497">_xlfn.IFS(AND($CI497=0, CK497=FALSE), NA(), AND($CI497=1, CK497=FALSE), 0, CK497=TRUE, 1)</f>
        <v>1</v>
      </c>
      <c r="CS497" s="10" cm="1">
        <f t="array" ref="CS497">_xlfn.IFS(AND($CI497=0, CL497=FALSE), NA(), AND($CI497=1, CL497=FALSE), 0, CL497=TRUE, 1)</f>
        <v>0</v>
      </c>
      <c r="CT497" s="10" cm="1">
        <f t="array" ref="CT497">_xlfn.IFS(AND($CI497=0, CM497=FALSE), NA(), AND($CI497=1, CM497=FALSE), 0, CM497=TRUE, 1)</f>
        <v>0</v>
      </c>
      <c r="CU497" s="10" cm="1">
        <f t="array" ref="CU497">_xlfn.IFS(AND($CN497=0, CP497=FALSE), NA(), AND($CN497=1, CP497=FALSE), 0, CP497=TRUE, 1)</f>
        <v>1</v>
      </c>
      <c r="CV497" s="10" cm="1">
        <f t="array" ref="CV497">_xlfn.IFS(AND($CN497=0, CQ497=FALSE), NA(), AND($CN497=1, CQ497=FALSE), 0, CQ497=TRUE, 1)</f>
        <v>1</v>
      </c>
    </row>
    <row r="498" spans="1:100" ht="15.75" x14ac:dyDescent="0.25">
      <c r="A498" s="8">
        <v>497</v>
      </c>
      <c r="B498" s="9">
        <v>161</v>
      </c>
      <c r="C498" s="10" t="s">
        <v>15</v>
      </c>
      <c r="D498" s="11" t="s">
        <v>156</v>
      </c>
      <c r="E498" s="12">
        <v>16167</v>
      </c>
      <c r="F498" s="13">
        <v>1</v>
      </c>
      <c r="G498" s="9">
        <v>73.229293823242188</v>
      </c>
      <c r="H498" s="12">
        <v>42914</v>
      </c>
      <c r="I498" s="9">
        <v>1</v>
      </c>
      <c r="J498" s="12">
        <v>42923</v>
      </c>
      <c r="K498" s="9">
        <v>1</v>
      </c>
      <c r="L498" s="9">
        <v>1</v>
      </c>
      <c r="M498" s="10" t="s">
        <v>401</v>
      </c>
      <c r="N498" s="9">
        <v>3</v>
      </c>
      <c r="O498" s="10" t="s">
        <v>419</v>
      </c>
      <c r="P498" s="9">
        <v>3</v>
      </c>
      <c r="Q498" s="10" t="s">
        <v>419</v>
      </c>
      <c r="R498" s="12">
        <v>42914</v>
      </c>
      <c r="S498" s="10" t="s">
        <v>145</v>
      </c>
      <c r="T498" s="9"/>
      <c r="U498" s="10" t="s">
        <v>401</v>
      </c>
      <c r="V498" s="10" t="s">
        <v>401</v>
      </c>
      <c r="W498" s="9"/>
      <c r="X498" s="9"/>
      <c r="Y498" s="9">
        <v>2</v>
      </c>
      <c r="Z498" s="14">
        <v>1</v>
      </c>
      <c r="AA498" s="17">
        <v>9</v>
      </c>
      <c r="AB498" s="18">
        <v>107</v>
      </c>
      <c r="AC498" s="18">
        <v>14</v>
      </c>
      <c r="AD498" s="9">
        <v>3</v>
      </c>
      <c r="AE498" s="9">
        <v>3</v>
      </c>
      <c r="AF498" s="9">
        <v>2</v>
      </c>
      <c r="AG498" s="9">
        <v>1</v>
      </c>
      <c r="AH498" s="9">
        <v>1</v>
      </c>
      <c r="AI498" s="9">
        <v>1</v>
      </c>
      <c r="AJ498" s="12">
        <v>43089</v>
      </c>
      <c r="AK498" s="9">
        <v>2</v>
      </c>
      <c r="AL498" s="12">
        <v>43182</v>
      </c>
      <c r="AM498" s="9">
        <v>2</v>
      </c>
      <c r="AN498" s="12">
        <v>43151</v>
      </c>
      <c r="AO498" s="12">
        <v>43191</v>
      </c>
      <c r="AP498" s="12">
        <v>43191</v>
      </c>
      <c r="AQ498" s="9">
        <v>1</v>
      </c>
      <c r="AR498" s="9">
        <f t="shared" si="174"/>
        <v>1</v>
      </c>
      <c r="AS498" s="9">
        <v>1</v>
      </c>
      <c r="AT498" s="9">
        <v>2</v>
      </c>
      <c r="AU498" s="9">
        <v>2</v>
      </c>
      <c r="AV498" s="9">
        <f t="shared" si="175"/>
        <v>1</v>
      </c>
      <c r="AW498" s="12">
        <v>43221</v>
      </c>
      <c r="AX498" s="9">
        <v>3150</v>
      </c>
      <c r="AY498" s="9">
        <v>1930</v>
      </c>
      <c r="AZ498" s="9">
        <v>670</v>
      </c>
      <c r="BA498" s="9">
        <v>1930</v>
      </c>
      <c r="BB498" s="9">
        <v>669.9998779296875</v>
      </c>
      <c r="BC498" s="9">
        <v>293000</v>
      </c>
      <c r="BD498" s="9">
        <v>380</v>
      </c>
      <c r="BE498" s="9">
        <v>70</v>
      </c>
      <c r="BF498" s="9"/>
      <c r="BG498" s="9">
        <v>6150</v>
      </c>
      <c r="BH498" s="9">
        <v>4000</v>
      </c>
      <c r="BI498" s="9"/>
      <c r="BJ498" s="9">
        <v>321000</v>
      </c>
      <c r="BK498" s="9"/>
      <c r="BL498" s="9"/>
      <c r="BM498" s="9">
        <v>465</v>
      </c>
      <c r="BN498" s="9">
        <v>5460</v>
      </c>
      <c r="BO498" s="9">
        <v>3800</v>
      </c>
      <c r="BP498" s="9"/>
      <c r="BQ498" s="9">
        <v>312000</v>
      </c>
      <c r="BR498" s="9"/>
      <c r="BS498" s="9"/>
      <c r="BT498" s="9">
        <v>260</v>
      </c>
      <c r="BU498" s="9">
        <v>5540</v>
      </c>
      <c r="BV498" s="9">
        <v>3600</v>
      </c>
      <c r="BW498" s="9"/>
      <c r="BX498" s="9">
        <v>238000</v>
      </c>
      <c r="BY498" s="9"/>
      <c r="BZ498" s="10" t="s">
        <v>401</v>
      </c>
      <c r="CA498" s="9"/>
      <c r="CB498" s="9">
        <v>222</v>
      </c>
      <c r="CC498" s="10">
        <f t="shared" si="176"/>
        <v>2.8805975397543908</v>
      </c>
      <c r="CD498" s="10">
        <f t="shared" si="177"/>
        <v>437.31351251193604</v>
      </c>
      <c r="CE498" s="10">
        <f t="shared" si="189"/>
        <v>844015.07914803654</v>
      </c>
      <c r="CF498" s="10">
        <f t="shared" si="187"/>
        <v>1</v>
      </c>
      <c r="CG498" s="10">
        <f t="shared" si="171"/>
        <v>1</v>
      </c>
      <c r="CH498" s="10">
        <f t="shared" si="172"/>
        <v>3</v>
      </c>
      <c r="CI498" s="9">
        <f t="shared" si="178"/>
        <v>1</v>
      </c>
      <c r="CJ498" s="10">
        <f t="shared" si="173"/>
        <v>5</v>
      </c>
      <c r="CK498" s="10" t="b">
        <f t="shared" si="179"/>
        <v>0</v>
      </c>
      <c r="CL498" s="10" t="b">
        <f t="shared" si="180"/>
        <v>0</v>
      </c>
      <c r="CM498" s="10" t="b">
        <f t="shared" si="181"/>
        <v>0</v>
      </c>
      <c r="CN498" s="9">
        <f t="shared" si="182"/>
        <v>1</v>
      </c>
      <c r="CO498" s="10">
        <f t="shared" si="188"/>
        <v>4</v>
      </c>
      <c r="CP498" s="10" t="b">
        <f t="shared" si="183"/>
        <v>1</v>
      </c>
      <c r="CQ498" s="10" t="b">
        <f t="shared" si="184"/>
        <v>0</v>
      </c>
      <c r="CR498" s="10" cm="1">
        <f t="array" ref="CR498">_xlfn.IFS(AND($CI498=0, CK498=FALSE), NA(), AND($CI498=1, CK498=FALSE), 0, CK498=TRUE, 1)</f>
        <v>0</v>
      </c>
      <c r="CS498" s="10" cm="1">
        <f t="array" ref="CS498">_xlfn.IFS(AND($CI498=0, CL498=FALSE), NA(), AND($CI498=1, CL498=FALSE), 0, CL498=TRUE, 1)</f>
        <v>0</v>
      </c>
      <c r="CT498" s="10" cm="1">
        <f t="array" ref="CT498">_xlfn.IFS(AND($CI498=0, CM498=FALSE), NA(), AND($CI498=1, CM498=FALSE), 0, CM498=TRUE, 1)</f>
        <v>0</v>
      </c>
      <c r="CU498" s="10" cm="1">
        <f t="array" ref="CU498">_xlfn.IFS(AND($CN498=0, CP498=FALSE), NA(), AND($CN498=1, CP498=FALSE), 0, CP498=TRUE, 1)</f>
        <v>1</v>
      </c>
      <c r="CV498" s="10" cm="1">
        <f t="array" ref="CV498">_xlfn.IFS(AND($CN498=0, CQ498=FALSE), NA(), AND($CN498=1, CQ498=FALSE), 0, CQ498=TRUE, 1)</f>
        <v>0</v>
      </c>
    </row>
    <row r="499" spans="1:100" x14ac:dyDescent="0.25">
      <c r="A499" s="8">
        <v>498</v>
      </c>
      <c r="B499" s="9">
        <v>93</v>
      </c>
      <c r="C499" s="10" t="s">
        <v>10</v>
      </c>
      <c r="D499" s="11" t="s">
        <v>120</v>
      </c>
      <c r="E499" s="12">
        <v>18839</v>
      </c>
      <c r="F499" s="13">
        <v>1</v>
      </c>
      <c r="G499" s="9">
        <v>65.91375732421875</v>
      </c>
      <c r="H499" s="12">
        <v>42914</v>
      </c>
      <c r="I499" s="9">
        <v>1</v>
      </c>
      <c r="J499" s="12">
        <v>42914</v>
      </c>
      <c r="K499" s="9">
        <v>0</v>
      </c>
      <c r="L499" s="9">
        <v>4</v>
      </c>
      <c r="M499" s="10" t="s">
        <v>404</v>
      </c>
      <c r="N499" s="9">
        <v>2</v>
      </c>
      <c r="O499" s="10" t="s">
        <v>147</v>
      </c>
      <c r="P499" s="9">
        <v>2</v>
      </c>
      <c r="Q499" s="10" t="s">
        <v>147</v>
      </c>
      <c r="R499" s="12">
        <v>43023</v>
      </c>
      <c r="S499" s="10" t="s">
        <v>145</v>
      </c>
      <c r="T499" s="9"/>
      <c r="U499" s="10" t="s">
        <v>401</v>
      </c>
      <c r="V499" s="10" t="s">
        <v>401</v>
      </c>
      <c r="W499" s="9"/>
      <c r="X499" s="9"/>
      <c r="Y499" s="9">
        <v>2</v>
      </c>
      <c r="Z499" s="19">
        <v>1</v>
      </c>
      <c r="AB499" s="9"/>
      <c r="AC499" s="9"/>
      <c r="AD499" s="9">
        <v>2</v>
      </c>
      <c r="AE499" s="9">
        <v>2</v>
      </c>
      <c r="AF499" s="9">
        <v>1</v>
      </c>
      <c r="AG499" s="9">
        <v>0</v>
      </c>
      <c r="AH499" s="9">
        <v>1</v>
      </c>
      <c r="AI499" s="9">
        <v>0</v>
      </c>
      <c r="AJ499" s="12">
        <v>43221</v>
      </c>
      <c r="AK499" s="9">
        <v>2</v>
      </c>
      <c r="AL499" s="12">
        <v>43221</v>
      </c>
      <c r="AM499" s="9"/>
      <c r="AN499" s="12"/>
      <c r="AO499" s="12"/>
      <c r="AP499" s="12"/>
      <c r="AQ499" s="9">
        <v>2</v>
      </c>
      <c r="AR499" s="9">
        <f t="shared" si="174"/>
        <v>0</v>
      </c>
      <c r="AS499" s="9">
        <v>2</v>
      </c>
      <c r="AT499" s="9"/>
      <c r="AU499" s="9">
        <v>1</v>
      </c>
      <c r="AV499" s="9">
        <f t="shared" si="175"/>
        <v>0</v>
      </c>
      <c r="AW499" s="12">
        <v>43943</v>
      </c>
      <c r="AX499" s="9">
        <v>5900</v>
      </c>
      <c r="AY499" s="9">
        <v>4050</v>
      </c>
      <c r="AZ499" s="9">
        <v>1310</v>
      </c>
      <c r="BA499" s="9">
        <v>4050</v>
      </c>
      <c r="BB499" s="9">
        <v>1310.0001220703125</v>
      </c>
      <c r="BC499" s="9">
        <v>363000</v>
      </c>
      <c r="BD499" s="9">
        <v>430</v>
      </c>
      <c r="BE499" s="9">
        <v>50</v>
      </c>
      <c r="BF499" s="9">
        <v>232</v>
      </c>
      <c r="BG499" s="9">
        <v>4800</v>
      </c>
      <c r="BH499" s="9">
        <v>2290</v>
      </c>
      <c r="BI499" s="9">
        <v>1570</v>
      </c>
      <c r="BJ499" s="9">
        <v>236000</v>
      </c>
      <c r="BK499" s="9">
        <v>540</v>
      </c>
      <c r="BL499" s="9">
        <v>340</v>
      </c>
      <c r="BM499" s="9">
        <v>346</v>
      </c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10" t="s">
        <v>401</v>
      </c>
      <c r="CA499" s="9"/>
      <c r="CB499" s="9"/>
      <c r="CC499" s="10">
        <f t="shared" si="176"/>
        <v>3.0916027653489193</v>
      </c>
      <c r="CD499" s="10">
        <f t="shared" si="177"/>
        <v>277.0992108201624</v>
      </c>
      <c r="CE499" s="10">
        <f t="shared" si="189"/>
        <v>1122251.8038216578</v>
      </c>
      <c r="CG499" s="10">
        <f t="shared" si="171"/>
        <v>1</v>
      </c>
      <c r="CH499" s="10">
        <f t="shared" si="172"/>
        <v>0</v>
      </c>
      <c r="CI499" s="9">
        <f t="shared" si="178"/>
        <v>0</v>
      </c>
      <c r="CJ499" s="10">
        <f t="shared" si="173"/>
        <v>23</v>
      </c>
      <c r="CK499" s="10" t="b">
        <f t="shared" si="179"/>
        <v>1</v>
      </c>
      <c r="CL499" s="10" t="b">
        <f t="shared" si="180"/>
        <v>1</v>
      </c>
      <c r="CM499" s="10" t="b">
        <f t="shared" si="181"/>
        <v>0</v>
      </c>
      <c r="CN499" s="9">
        <f t="shared" si="182"/>
        <v>0</v>
      </c>
      <c r="CO499" s="10">
        <f>CJ499</f>
        <v>23</v>
      </c>
      <c r="CP499" s="10" t="b">
        <f t="shared" si="183"/>
        <v>1</v>
      </c>
      <c r="CQ499" s="10" t="b">
        <f t="shared" si="184"/>
        <v>1</v>
      </c>
      <c r="CR499" s="10" cm="1">
        <f t="array" ref="CR499">_xlfn.IFS(AND($CI499=0, CK499=FALSE), NA(), AND($CI499=1, CK499=FALSE), 0, CK499=TRUE, 1)</f>
        <v>1</v>
      </c>
      <c r="CS499" s="10" cm="1">
        <f t="array" ref="CS499">_xlfn.IFS(AND($CI499=0, CL499=FALSE), NA(), AND($CI499=1, CL499=FALSE), 0, CL499=TRUE, 1)</f>
        <v>1</v>
      </c>
      <c r="CT499" s="10" t="e" cm="1">
        <f t="array" ref="CT499">_xlfn.IFS(AND($CI499=0, CM499=FALSE), NA(), AND($CI499=1, CM499=FALSE), 0, CM499=TRUE, 1)</f>
        <v>#N/A</v>
      </c>
      <c r="CU499" s="10" cm="1">
        <f t="array" ref="CU499">_xlfn.IFS(AND($CN499=0, CP499=FALSE), NA(), AND($CN499=1, CP499=FALSE), 0, CP499=TRUE, 1)</f>
        <v>1</v>
      </c>
      <c r="CV499" s="10" cm="1">
        <f t="array" ref="CV499">_xlfn.IFS(AND($CN499=0, CQ499=FALSE), NA(), AND($CN499=1, CQ499=FALSE), 0, CQ499=TRUE, 1)</f>
        <v>1</v>
      </c>
    </row>
    <row r="500" spans="1:100" ht="15.75" x14ac:dyDescent="0.25">
      <c r="A500" s="8">
        <v>499</v>
      </c>
      <c r="B500" s="9">
        <v>561</v>
      </c>
      <c r="C500" s="10" t="s">
        <v>36</v>
      </c>
      <c r="D500" s="11" t="s">
        <v>60</v>
      </c>
      <c r="E500" s="12">
        <v>17866</v>
      </c>
      <c r="F500" s="13">
        <v>1</v>
      </c>
      <c r="G500" s="9">
        <v>68.585899353027344</v>
      </c>
      <c r="H500" s="12">
        <v>42917</v>
      </c>
      <c r="I500" s="9">
        <v>1</v>
      </c>
      <c r="J500" s="12">
        <v>42965</v>
      </c>
      <c r="K500" s="9">
        <v>1</v>
      </c>
      <c r="L500" s="9">
        <v>1</v>
      </c>
      <c r="M500" s="10" t="s">
        <v>401</v>
      </c>
      <c r="N500" s="9">
        <v>2</v>
      </c>
      <c r="O500" s="10" t="s">
        <v>145</v>
      </c>
      <c r="P500" s="9">
        <v>2</v>
      </c>
      <c r="Q500" s="10" t="s">
        <v>145</v>
      </c>
      <c r="R500" s="12">
        <v>42917</v>
      </c>
      <c r="S500" s="10" t="s">
        <v>145</v>
      </c>
      <c r="T500" s="9"/>
      <c r="U500" s="10" t="s">
        <v>401</v>
      </c>
      <c r="V500" s="10" t="s">
        <v>401</v>
      </c>
      <c r="W500" s="9"/>
      <c r="X500" s="9"/>
      <c r="Y500" s="9">
        <v>2</v>
      </c>
      <c r="Z500" s="14">
        <v>1</v>
      </c>
      <c r="AA500" s="17">
        <v>11.8</v>
      </c>
      <c r="AB500" s="18">
        <v>108</v>
      </c>
      <c r="AC500" s="18">
        <v>17</v>
      </c>
      <c r="AD500" s="9">
        <v>2</v>
      </c>
      <c r="AE500" s="9">
        <v>2</v>
      </c>
      <c r="AF500" s="9">
        <v>1</v>
      </c>
      <c r="AG500" s="9">
        <v>1</v>
      </c>
      <c r="AH500" s="9">
        <v>1</v>
      </c>
      <c r="AI500" s="9">
        <v>0</v>
      </c>
      <c r="AJ500" s="12">
        <v>43444</v>
      </c>
      <c r="AK500" s="9">
        <v>2</v>
      </c>
      <c r="AL500" s="12">
        <v>43570</v>
      </c>
      <c r="AM500" s="9">
        <v>3</v>
      </c>
      <c r="AN500" s="12">
        <v>43493</v>
      </c>
      <c r="AO500" s="12">
        <v>43572</v>
      </c>
      <c r="AP500" s="12">
        <v>43572</v>
      </c>
      <c r="AQ500" s="9">
        <v>1</v>
      </c>
      <c r="AR500" s="9">
        <f t="shared" si="174"/>
        <v>1</v>
      </c>
      <c r="AS500" s="9">
        <v>1</v>
      </c>
      <c r="AT500" s="9">
        <v>2</v>
      </c>
      <c r="AU500" s="9">
        <v>2</v>
      </c>
      <c r="AV500" s="9">
        <f t="shared" si="175"/>
        <v>1</v>
      </c>
      <c r="AW500" s="12">
        <v>44325</v>
      </c>
      <c r="AX500" s="9">
        <v>4900</v>
      </c>
      <c r="AY500" s="9">
        <v>3100</v>
      </c>
      <c r="AZ500" s="9">
        <v>1100</v>
      </c>
      <c r="BA500" s="9">
        <v>3100</v>
      </c>
      <c r="BB500" s="9">
        <v>1100.0001220703125</v>
      </c>
      <c r="BC500" s="9">
        <v>267000</v>
      </c>
      <c r="BD500" s="9">
        <v>600</v>
      </c>
      <c r="BE500" s="9">
        <v>100</v>
      </c>
      <c r="BF500" s="9">
        <v>182</v>
      </c>
      <c r="BG500" s="9">
        <v>4500</v>
      </c>
      <c r="BH500" s="9">
        <v>2900</v>
      </c>
      <c r="BI500" s="9">
        <v>800</v>
      </c>
      <c r="BJ500" s="9">
        <v>207000</v>
      </c>
      <c r="BK500" s="9">
        <v>300</v>
      </c>
      <c r="BL500" s="9">
        <v>500</v>
      </c>
      <c r="BM500" s="9">
        <v>183</v>
      </c>
      <c r="BN500" s="9">
        <v>4500</v>
      </c>
      <c r="BO500" s="9">
        <v>2900</v>
      </c>
      <c r="BP500" s="9">
        <v>1000</v>
      </c>
      <c r="BQ500" s="9">
        <v>201000</v>
      </c>
      <c r="BR500" s="9">
        <v>400</v>
      </c>
      <c r="BS500" s="9">
        <v>200</v>
      </c>
      <c r="BT500" s="9">
        <v>163</v>
      </c>
      <c r="BU500" s="9">
        <v>4900</v>
      </c>
      <c r="BV500" s="9">
        <v>3200</v>
      </c>
      <c r="BW500" s="9">
        <v>1100</v>
      </c>
      <c r="BX500" s="9">
        <v>196000</v>
      </c>
      <c r="BY500" s="9">
        <v>400</v>
      </c>
      <c r="BZ500" s="10" t="s">
        <v>524</v>
      </c>
      <c r="CA500" s="9">
        <v>200</v>
      </c>
      <c r="CB500" s="9">
        <v>192</v>
      </c>
      <c r="CC500" s="10">
        <f t="shared" si="176"/>
        <v>2.8181815054397301</v>
      </c>
      <c r="CD500" s="10">
        <f t="shared" si="177"/>
        <v>242.72724579109934</v>
      </c>
      <c r="CE500" s="10">
        <f t="shared" si="189"/>
        <v>752454.46195240796</v>
      </c>
      <c r="CF500" s="10">
        <f t="shared" ref="CF500:CF531" si="190">IF(AM500=4, 0,1)</f>
        <v>1</v>
      </c>
      <c r="CG500" s="10">
        <f t="shared" si="171"/>
        <v>0</v>
      </c>
      <c r="CH500" s="10">
        <f t="shared" si="172"/>
        <v>4</v>
      </c>
      <c r="CI500" s="9">
        <f t="shared" si="178"/>
        <v>1</v>
      </c>
      <c r="CJ500" s="10">
        <f t="shared" si="173"/>
        <v>29</v>
      </c>
      <c r="CK500" s="10" t="b">
        <f t="shared" si="179"/>
        <v>1</v>
      </c>
      <c r="CL500" s="10" t="b">
        <f t="shared" si="180"/>
        <v>1</v>
      </c>
      <c r="CM500" s="10" t="b">
        <f t="shared" si="181"/>
        <v>1</v>
      </c>
      <c r="CN500" s="9">
        <f t="shared" si="182"/>
        <v>1</v>
      </c>
      <c r="CO500" s="10">
        <f>(YEAR(AO500)-YEAR(AJ500))*12+MONTH(AO500)-MONTH(AJ500)</f>
        <v>4</v>
      </c>
      <c r="CP500" s="10" t="b">
        <f t="shared" si="183"/>
        <v>1</v>
      </c>
      <c r="CQ500" s="10" t="b">
        <f t="shared" si="184"/>
        <v>0</v>
      </c>
      <c r="CR500" s="10" cm="1">
        <f t="array" ref="CR500">_xlfn.IFS(AND($CI500=0, CK500=FALSE), NA(), AND($CI500=1, CK500=FALSE), 0, CK500=TRUE, 1)</f>
        <v>1</v>
      </c>
      <c r="CS500" s="10" cm="1">
        <f t="array" ref="CS500">_xlfn.IFS(AND($CI500=0, CL500=FALSE), NA(), AND($CI500=1, CL500=FALSE), 0, CL500=TRUE, 1)</f>
        <v>1</v>
      </c>
      <c r="CT500" s="10" cm="1">
        <f t="array" ref="CT500">_xlfn.IFS(AND($CI500=0, CM500=FALSE), NA(), AND($CI500=1, CM500=FALSE), 0, CM500=TRUE, 1)</f>
        <v>1</v>
      </c>
      <c r="CU500" s="10" cm="1">
        <f t="array" ref="CU500">_xlfn.IFS(AND($CN500=0, CP500=FALSE), NA(), AND($CN500=1, CP500=FALSE), 0, CP500=TRUE, 1)</f>
        <v>1</v>
      </c>
      <c r="CV500" s="10" cm="1">
        <f t="array" ref="CV500">_xlfn.IFS(AND($CN500=0, CQ500=FALSE), NA(), AND($CN500=1, CQ500=FALSE), 0, CQ500=TRUE, 1)</f>
        <v>0</v>
      </c>
    </row>
    <row r="501" spans="1:100" ht="15.75" x14ac:dyDescent="0.25">
      <c r="A501" s="8">
        <v>500</v>
      </c>
      <c r="B501" s="9">
        <v>344</v>
      </c>
      <c r="C501" s="10" t="s">
        <v>27</v>
      </c>
      <c r="D501" s="11" t="s">
        <v>280</v>
      </c>
      <c r="E501" s="12">
        <v>17069</v>
      </c>
      <c r="F501" s="13">
        <v>1</v>
      </c>
      <c r="G501" s="9">
        <v>70.79534912109375</v>
      </c>
      <c r="H501" s="12">
        <v>42927</v>
      </c>
      <c r="I501" s="9">
        <v>1</v>
      </c>
      <c r="J501" s="12">
        <v>42927</v>
      </c>
      <c r="K501" s="9">
        <v>1</v>
      </c>
      <c r="L501" s="9">
        <v>4</v>
      </c>
      <c r="M501" s="10" t="s">
        <v>405</v>
      </c>
      <c r="N501" s="9">
        <v>3</v>
      </c>
      <c r="O501" s="10" t="s">
        <v>424</v>
      </c>
      <c r="P501" s="9">
        <v>2</v>
      </c>
      <c r="Q501" s="10" t="s">
        <v>409</v>
      </c>
      <c r="R501" s="12">
        <v>42927</v>
      </c>
      <c r="S501" s="10" t="s">
        <v>146</v>
      </c>
      <c r="T501" s="9"/>
      <c r="U501" s="10" t="s">
        <v>401</v>
      </c>
      <c r="V501" s="10" t="s">
        <v>401</v>
      </c>
      <c r="W501" s="9"/>
      <c r="X501" s="9"/>
      <c r="Y501" s="9">
        <v>2</v>
      </c>
      <c r="Z501" s="14">
        <v>2</v>
      </c>
      <c r="AA501" s="21"/>
      <c r="AB501" s="22"/>
      <c r="AC501" s="22"/>
      <c r="AD501" s="9">
        <v>3</v>
      </c>
      <c r="AE501" s="9">
        <v>2</v>
      </c>
      <c r="AF501" s="9">
        <v>1</v>
      </c>
      <c r="AG501" s="9">
        <v>1</v>
      </c>
      <c r="AH501" s="9">
        <v>0</v>
      </c>
      <c r="AI501" s="9">
        <v>0</v>
      </c>
      <c r="AJ501" s="12">
        <v>43055</v>
      </c>
      <c r="AK501" s="9">
        <v>2</v>
      </c>
      <c r="AL501" s="12">
        <v>43944</v>
      </c>
      <c r="AM501" s="9">
        <v>1</v>
      </c>
      <c r="AN501" s="12">
        <v>44938</v>
      </c>
      <c r="AO501" s="12"/>
      <c r="AP501" s="12"/>
      <c r="AQ501" s="9">
        <v>2</v>
      </c>
      <c r="AR501" s="9">
        <f t="shared" si="174"/>
        <v>0</v>
      </c>
      <c r="AS501" s="9">
        <v>2</v>
      </c>
      <c r="AT501" s="9"/>
      <c r="AU501" s="9">
        <v>1</v>
      </c>
      <c r="AV501" s="9">
        <f t="shared" si="175"/>
        <v>0</v>
      </c>
      <c r="AW501" s="12">
        <v>44882</v>
      </c>
      <c r="AX501" s="9">
        <v>5120</v>
      </c>
      <c r="AY501" s="9">
        <v>3400</v>
      </c>
      <c r="AZ501" s="9">
        <v>1100</v>
      </c>
      <c r="BA501" s="9">
        <v>3400</v>
      </c>
      <c r="BB501" s="9">
        <v>1100.0001220703125</v>
      </c>
      <c r="BC501" s="9">
        <v>368000</v>
      </c>
      <c r="BD501" s="9">
        <v>400</v>
      </c>
      <c r="BE501" s="9">
        <v>100</v>
      </c>
      <c r="BF501" s="9">
        <v>121</v>
      </c>
      <c r="BG501" s="9">
        <v>6350</v>
      </c>
      <c r="BH501" s="9">
        <v>4300</v>
      </c>
      <c r="BI501" s="9">
        <v>1500</v>
      </c>
      <c r="BJ501" s="9">
        <v>533000</v>
      </c>
      <c r="BK501" s="9">
        <v>300</v>
      </c>
      <c r="BL501" s="9">
        <v>100</v>
      </c>
      <c r="BM501" s="9">
        <v>132</v>
      </c>
      <c r="BN501" s="9">
        <v>5860</v>
      </c>
      <c r="BO501" s="9">
        <v>3700</v>
      </c>
      <c r="BP501" s="9">
        <v>1400</v>
      </c>
      <c r="BQ501" s="9">
        <v>252000</v>
      </c>
      <c r="BR501" s="9">
        <v>400</v>
      </c>
      <c r="BS501" s="9">
        <v>200</v>
      </c>
      <c r="BT501" s="9">
        <v>177</v>
      </c>
      <c r="BU501" s="9">
        <v>7720</v>
      </c>
      <c r="BV501" s="9">
        <v>4400</v>
      </c>
      <c r="BW501" s="9">
        <v>1200</v>
      </c>
      <c r="BX501" s="9">
        <v>222000</v>
      </c>
      <c r="BY501" s="9">
        <v>400</v>
      </c>
      <c r="BZ501" s="10" t="s">
        <v>525</v>
      </c>
      <c r="CA501" s="9">
        <v>100</v>
      </c>
      <c r="CB501" s="9">
        <v>196</v>
      </c>
      <c r="CC501" s="10">
        <f t="shared" si="176"/>
        <v>3.0909087479016395</v>
      </c>
      <c r="CD501" s="10">
        <f t="shared" si="177"/>
        <v>334.54541741994211</v>
      </c>
      <c r="CE501" s="10">
        <f t="shared" si="189"/>
        <v>1137454.4192278034</v>
      </c>
      <c r="CF501" s="10">
        <f t="shared" si="190"/>
        <v>1</v>
      </c>
      <c r="CG501" s="10">
        <f t="shared" si="171"/>
        <v>1</v>
      </c>
      <c r="CH501" s="10">
        <f t="shared" si="172"/>
        <v>29</v>
      </c>
      <c r="CI501" s="9">
        <f t="shared" si="178"/>
        <v>0</v>
      </c>
      <c r="CJ501" s="10">
        <f t="shared" si="173"/>
        <v>60</v>
      </c>
      <c r="CK501" s="10" t="b">
        <f t="shared" si="179"/>
        <v>1</v>
      </c>
      <c r="CL501" s="10" t="b">
        <f t="shared" si="180"/>
        <v>1</v>
      </c>
      <c r="CM501" s="10" t="b">
        <f t="shared" si="181"/>
        <v>1</v>
      </c>
      <c r="CN501" s="9">
        <f t="shared" si="182"/>
        <v>0</v>
      </c>
      <c r="CO501" s="10">
        <f>CJ501</f>
        <v>60</v>
      </c>
      <c r="CP501" s="10" t="b">
        <f t="shared" si="183"/>
        <v>1</v>
      </c>
      <c r="CQ501" s="10" t="b">
        <f t="shared" si="184"/>
        <v>1</v>
      </c>
      <c r="CR501" s="10" cm="1">
        <f t="array" ref="CR501">_xlfn.IFS(AND($CI501=0, CK501=FALSE), NA(), AND($CI501=1, CK501=FALSE), 0, CK501=TRUE, 1)</f>
        <v>1</v>
      </c>
      <c r="CS501" s="10" cm="1">
        <f t="array" ref="CS501">_xlfn.IFS(AND($CI501=0, CL501=FALSE), NA(), AND($CI501=1, CL501=FALSE), 0, CL501=TRUE, 1)</f>
        <v>1</v>
      </c>
      <c r="CT501" s="10" cm="1">
        <f t="array" ref="CT501">_xlfn.IFS(AND($CI501=0, CM501=FALSE), NA(), AND($CI501=1, CM501=FALSE), 0, CM501=TRUE, 1)</f>
        <v>1</v>
      </c>
      <c r="CU501" s="10" cm="1">
        <f t="array" ref="CU501">_xlfn.IFS(AND($CN501=0, CP501=FALSE), NA(), AND($CN501=1, CP501=FALSE), 0, CP501=TRUE, 1)</f>
        <v>1</v>
      </c>
      <c r="CV501" s="10" cm="1">
        <f t="array" ref="CV501">_xlfn.IFS(AND($CN501=0, CQ501=FALSE), NA(), AND($CN501=1, CQ501=FALSE), 0, CQ501=TRUE, 1)</f>
        <v>1</v>
      </c>
    </row>
    <row r="502" spans="1:100" x14ac:dyDescent="0.25">
      <c r="A502" s="8">
        <v>501</v>
      </c>
      <c r="B502" s="9">
        <v>234</v>
      </c>
      <c r="C502" s="10" t="s">
        <v>20</v>
      </c>
      <c r="D502" s="11" t="s">
        <v>169</v>
      </c>
      <c r="E502" s="12">
        <v>27307</v>
      </c>
      <c r="F502" s="13">
        <v>2</v>
      </c>
      <c r="G502" s="9">
        <v>42.776180267333984</v>
      </c>
      <c r="H502" s="12">
        <v>42931</v>
      </c>
      <c r="I502" s="9">
        <v>1</v>
      </c>
      <c r="J502" s="12">
        <v>42931</v>
      </c>
      <c r="K502" s="9">
        <v>0</v>
      </c>
      <c r="L502" s="9">
        <v>4</v>
      </c>
      <c r="M502" s="10" t="s">
        <v>402</v>
      </c>
      <c r="N502" s="9">
        <v>2</v>
      </c>
      <c r="O502" s="10" t="s">
        <v>145</v>
      </c>
      <c r="P502" s="9">
        <v>2</v>
      </c>
      <c r="Q502" s="10" t="s">
        <v>145</v>
      </c>
      <c r="R502" s="12">
        <v>43014</v>
      </c>
      <c r="S502" s="10" t="s">
        <v>145</v>
      </c>
      <c r="T502" s="9"/>
      <c r="U502" s="10" t="s">
        <v>401</v>
      </c>
      <c r="V502" s="10" t="s">
        <v>401</v>
      </c>
      <c r="W502" s="9"/>
      <c r="X502" s="9"/>
      <c r="Y502" s="9">
        <v>2</v>
      </c>
      <c r="Z502" s="19">
        <v>1</v>
      </c>
      <c r="AB502" s="9"/>
      <c r="AC502" s="9"/>
      <c r="AD502" s="9">
        <v>2</v>
      </c>
      <c r="AE502" s="9">
        <v>2</v>
      </c>
      <c r="AF502" s="9">
        <v>2</v>
      </c>
      <c r="AG502" s="9">
        <v>1</v>
      </c>
      <c r="AH502" s="9">
        <v>0</v>
      </c>
      <c r="AI502" s="9">
        <v>0</v>
      </c>
      <c r="AJ502" s="12">
        <v>43186</v>
      </c>
      <c r="AK502" s="9">
        <v>2</v>
      </c>
      <c r="AL502" s="12">
        <v>43217</v>
      </c>
      <c r="AM502" s="9">
        <v>4</v>
      </c>
      <c r="AN502" s="12">
        <v>43234</v>
      </c>
      <c r="AO502" s="12">
        <v>43234</v>
      </c>
      <c r="AP502" s="12">
        <v>43234</v>
      </c>
      <c r="AQ502" s="9">
        <v>1</v>
      </c>
      <c r="AR502" s="9">
        <f t="shared" si="174"/>
        <v>1</v>
      </c>
      <c r="AS502" s="9">
        <v>1</v>
      </c>
      <c r="AT502" s="9">
        <v>2</v>
      </c>
      <c r="AU502" s="9">
        <v>2</v>
      </c>
      <c r="AV502" s="9">
        <f t="shared" si="175"/>
        <v>1</v>
      </c>
      <c r="AW502" s="12">
        <v>43270</v>
      </c>
      <c r="AX502" s="9">
        <v>4270</v>
      </c>
      <c r="AY502" s="9"/>
      <c r="AZ502" s="9"/>
      <c r="BA502" s="9">
        <v>2489.77197265625</v>
      </c>
      <c r="BB502" s="9">
        <v>1232.293701171875</v>
      </c>
      <c r="BC502" s="9">
        <v>227000</v>
      </c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10" t="s">
        <v>401</v>
      </c>
      <c r="CA502" s="9"/>
      <c r="CB502" s="9"/>
      <c r="CC502" s="10">
        <f t="shared" si="176"/>
        <v>2.0204371492677033</v>
      </c>
      <c r="CD502" s="10">
        <f t="shared" si="177"/>
        <v>184.20933238896677</v>
      </c>
      <c r="CE502" s="10">
        <f t="shared" si="189"/>
        <v>458639.23288376868</v>
      </c>
      <c r="CF502" s="10">
        <f t="shared" si="190"/>
        <v>0</v>
      </c>
      <c r="CG502" s="10">
        <f t="shared" si="171"/>
        <v>0</v>
      </c>
      <c r="CH502" s="10">
        <f t="shared" si="172"/>
        <v>1</v>
      </c>
      <c r="CI502" s="9">
        <f t="shared" si="178"/>
        <v>1</v>
      </c>
      <c r="CJ502" s="10">
        <f t="shared" si="173"/>
        <v>3</v>
      </c>
      <c r="CK502" s="10" t="b">
        <f t="shared" si="179"/>
        <v>0</v>
      </c>
      <c r="CL502" s="10" t="b">
        <f t="shared" si="180"/>
        <v>0</v>
      </c>
      <c r="CM502" s="10" t="b">
        <f t="shared" si="181"/>
        <v>0</v>
      </c>
      <c r="CN502" s="9">
        <f t="shared" si="182"/>
        <v>1</v>
      </c>
      <c r="CO502" s="10">
        <f t="shared" ref="CO502:CO512" si="191">(YEAR(AO502)-YEAR(AJ502))*12+MONTH(AO502)-MONTH(AJ502)</f>
        <v>2</v>
      </c>
      <c r="CP502" s="10" t="b">
        <f t="shared" si="183"/>
        <v>0</v>
      </c>
      <c r="CQ502" s="10" t="b">
        <f t="shared" si="184"/>
        <v>0</v>
      </c>
      <c r="CR502" s="10" cm="1">
        <f t="array" ref="CR502">_xlfn.IFS(AND($CI502=0, CK502=FALSE), NA(), AND($CI502=1, CK502=FALSE), 0, CK502=TRUE, 1)</f>
        <v>0</v>
      </c>
      <c r="CS502" s="10" cm="1">
        <f t="array" ref="CS502">_xlfn.IFS(AND($CI502=0, CL502=FALSE), NA(), AND($CI502=1, CL502=FALSE), 0, CL502=TRUE, 1)</f>
        <v>0</v>
      </c>
      <c r="CT502" s="10" cm="1">
        <f t="array" ref="CT502">_xlfn.IFS(AND($CI502=0, CM502=FALSE), NA(), AND($CI502=1, CM502=FALSE), 0, CM502=TRUE, 1)</f>
        <v>0</v>
      </c>
      <c r="CU502" s="10" cm="1">
        <f t="array" ref="CU502">_xlfn.IFS(AND($CN502=0, CP502=FALSE), NA(), AND($CN502=1, CP502=FALSE), 0, CP502=TRUE, 1)</f>
        <v>0</v>
      </c>
      <c r="CV502" s="10" cm="1">
        <f t="array" ref="CV502">_xlfn.IFS(AND($CN502=0, CQ502=FALSE), NA(), AND($CN502=1, CQ502=FALSE), 0, CQ502=TRUE, 1)</f>
        <v>0</v>
      </c>
    </row>
    <row r="503" spans="1:100" x14ac:dyDescent="0.25">
      <c r="A503" s="8">
        <v>502</v>
      </c>
      <c r="B503" s="9">
        <v>471</v>
      </c>
      <c r="C503" s="10" t="s">
        <v>31</v>
      </c>
      <c r="D503" s="11" t="s">
        <v>361</v>
      </c>
      <c r="E503" s="12"/>
      <c r="F503" s="13">
        <v>1</v>
      </c>
      <c r="G503" s="9">
        <v>58</v>
      </c>
      <c r="H503" s="12">
        <v>42933</v>
      </c>
      <c r="I503" s="9">
        <v>0</v>
      </c>
      <c r="J503" s="12"/>
      <c r="K503" s="9">
        <v>1</v>
      </c>
      <c r="L503" s="9">
        <v>1</v>
      </c>
      <c r="M503" s="10" t="s">
        <v>401</v>
      </c>
      <c r="N503" s="9">
        <v>3</v>
      </c>
      <c r="O503" s="10" t="s">
        <v>435</v>
      </c>
      <c r="P503" s="9">
        <v>3</v>
      </c>
      <c r="Q503" s="10" t="s">
        <v>435</v>
      </c>
      <c r="R503" s="12">
        <v>42933</v>
      </c>
      <c r="S503" s="10" t="s">
        <v>145</v>
      </c>
      <c r="T503" s="9"/>
      <c r="U503" s="10" t="s">
        <v>401</v>
      </c>
      <c r="V503" s="10" t="s">
        <v>401</v>
      </c>
      <c r="W503" s="9"/>
      <c r="X503" s="9"/>
      <c r="Y503" s="9">
        <v>2</v>
      </c>
      <c r="Z503" s="19">
        <v>1</v>
      </c>
      <c r="AB503" s="9"/>
      <c r="AC503" s="9"/>
      <c r="AD503" s="9">
        <v>3</v>
      </c>
      <c r="AE503" s="9">
        <v>3</v>
      </c>
      <c r="AF503" s="9">
        <v>1</v>
      </c>
      <c r="AG503" s="9">
        <v>0</v>
      </c>
      <c r="AH503" s="9">
        <v>1</v>
      </c>
      <c r="AI503" s="9">
        <v>1</v>
      </c>
      <c r="AJ503" s="12">
        <v>43157</v>
      </c>
      <c r="AK503" s="9">
        <v>2</v>
      </c>
      <c r="AL503" s="12">
        <v>43229</v>
      </c>
      <c r="AM503" s="9">
        <v>4</v>
      </c>
      <c r="AN503" s="12">
        <v>43243</v>
      </c>
      <c r="AO503" s="12">
        <v>43243</v>
      </c>
      <c r="AP503" s="12">
        <v>43243</v>
      </c>
      <c r="AQ503" s="9">
        <v>1</v>
      </c>
      <c r="AR503" s="9">
        <f t="shared" si="174"/>
        <v>1</v>
      </c>
      <c r="AS503" s="9">
        <v>1</v>
      </c>
      <c r="AT503" s="9">
        <v>2</v>
      </c>
      <c r="AU503" s="9">
        <v>2</v>
      </c>
      <c r="AV503" s="9">
        <f t="shared" si="175"/>
        <v>1</v>
      </c>
      <c r="AW503" s="12">
        <v>43728</v>
      </c>
      <c r="AX503" s="9">
        <v>4320</v>
      </c>
      <c r="AY503" s="9">
        <v>3030</v>
      </c>
      <c r="AZ503" s="9">
        <v>860</v>
      </c>
      <c r="BA503" s="9">
        <v>3030</v>
      </c>
      <c r="BB503" s="9">
        <v>859.9998779296875</v>
      </c>
      <c r="BC503" s="9">
        <v>309000</v>
      </c>
      <c r="BD503" s="9">
        <v>390</v>
      </c>
      <c r="BE503" s="9">
        <v>10</v>
      </c>
      <c r="BF503" s="9">
        <v>276</v>
      </c>
      <c r="BG503" s="9">
        <v>4190</v>
      </c>
      <c r="BH503" s="9">
        <v>3180</v>
      </c>
      <c r="BI503" s="9">
        <v>630</v>
      </c>
      <c r="BJ503" s="9">
        <v>289000</v>
      </c>
      <c r="BK503" s="9">
        <v>350</v>
      </c>
      <c r="BL503" s="9">
        <v>10</v>
      </c>
      <c r="BM503" s="9">
        <v>290</v>
      </c>
      <c r="BN503" s="9">
        <v>3300</v>
      </c>
      <c r="BO503" s="9">
        <v>2220</v>
      </c>
      <c r="BP503" s="9">
        <v>710</v>
      </c>
      <c r="BQ503" s="9">
        <v>260000</v>
      </c>
      <c r="BR503" s="9">
        <v>300</v>
      </c>
      <c r="BS503" s="9">
        <v>30</v>
      </c>
      <c r="BT503" s="9">
        <v>465</v>
      </c>
      <c r="BU503" s="9">
        <v>4170</v>
      </c>
      <c r="BV503" s="9">
        <v>3060</v>
      </c>
      <c r="BW503" s="9">
        <v>700</v>
      </c>
      <c r="BX503" s="9">
        <v>271000</v>
      </c>
      <c r="BY503" s="9">
        <v>350</v>
      </c>
      <c r="BZ503" s="10" t="s">
        <v>327</v>
      </c>
      <c r="CA503" s="9">
        <v>40</v>
      </c>
      <c r="CB503" s="9">
        <v>199</v>
      </c>
      <c r="CC503" s="10">
        <f t="shared" si="176"/>
        <v>3.5232563140523245</v>
      </c>
      <c r="CD503" s="10">
        <f t="shared" si="177"/>
        <v>359.3023765815737</v>
      </c>
      <c r="CE503" s="10">
        <f t="shared" si="189"/>
        <v>1088686.2010421683</v>
      </c>
      <c r="CF503" s="10">
        <f t="shared" si="190"/>
        <v>0</v>
      </c>
      <c r="CG503" s="10">
        <f t="shared" si="171"/>
        <v>0</v>
      </c>
      <c r="CH503" s="10">
        <f t="shared" si="172"/>
        <v>3</v>
      </c>
      <c r="CI503" s="9">
        <f t="shared" si="178"/>
        <v>1</v>
      </c>
      <c r="CJ503" s="10">
        <f t="shared" si="173"/>
        <v>19</v>
      </c>
      <c r="CK503" s="10" t="b">
        <f t="shared" si="179"/>
        <v>1</v>
      </c>
      <c r="CL503" s="10" t="b">
        <f t="shared" si="180"/>
        <v>1</v>
      </c>
      <c r="CM503" s="10" t="b">
        <f t="shared" si="181"/>
        <v>0</v>
      </c>
      <c r="CN503" s="9">
        <f t="shared" si="182"/>
        <v>1</v>
      </c>
      <c r="CO503" s="10">
        <f t="shared" si="191"/>
        <v>3</v>
      </c>
      <c r="CP503" s="10" t="b">
        <f t="shared" si="183"/>
        <v>1</v>
      </c>
      <c r="CQ503" s="10" t="b">
        <f t="shared" si="184"/>
        <v>0</v>
      </c>
      <c r="CR503" s="10" cm="1">
        <f t="array" ref="CR503">_xlfn.IFS(AND($CI503=0, CK503=FALSE), NA(), AND($CI503=1, CK503=FALSE), 0, CK503=TRUE, 1)</f>
        <v>1</v>
      </c>
      <c r="CS503" s="10" cm="1">
        <f t="array" ref="CS503">_xlfn.IFS(AND($CI503=0, CL503=FALSE), NA(), AND($CI503=1, CL503=FALSE), 0, CL503=TRUE, 1)</f>
        <v>1</v>
      </c>
      <c r="CT503" s="10" cm="1">
        <f t="array" ref="CT503">_xlfn.IFS(AND($CI503=0, CM503=FALSE), NA(), AND($CI503=1, CM503=FALSE), 0, CM503=TRUE, 1)</f>
        <v>0</v>
      </c>
      <c r="CU503" s="10" cm="1">
        <f t="array" ref="CU503">_xlfn.IFS(AND($CN503=0, CP503=FALSE), NA(), AND($CN503=1, CP503=FALSE), 0, CP503=TRUE, 1)</f>
        <v>1</v>
      </c>
      <c r="CV503" s="10" cm="1">
        <f t="array" ref="CV503">_xlfn.IFS(AND($CN503=0, CQ503=FALSE), NA(), AND($CN503=1, CQ503=FALSE), 0, CQ503=TRUE, 1)</f>
        <v>0</v>
      </c>
    </row>
    <row r="504" spans="1:100" ht="15.75" x14ac:dyDescent="0.25">
      <c r="A504" s="8">
        <v>503</v>
      </c>
      <c r="B504" s="9">
        <v>545</v>
      </c>
      <c r="C504" s="10" t="s">
        <v>34</v>
      </c>
      <c r="D504" s="11" t="s">
        <v>92</v>
      </c>
      <c r="E504" s="12">
        <v>20310</v>
      </c>
      <c r="F504" s="13">
        <v>1</v>
      </c>
      <c r="G504" s="9">
        <v>61.941135406494141</v>
      </c>
      <c r="H504" s="12">
        <v>42934</v>
      </c>
      <c r="I504" s="9">
        <v>0</v>
      </c>
      <c r="J504" s="12"/>
      <c r="K504" s="9">
        <v>1</v>
      </c>
      <c r="L504" s="9">
        <v>2</v>
      </c>
      <c r="M504" s="10" t="s">
        <v>401</v>
      </c>
      <c r="N504" s="9">
        <v>3</v>
      </c>
      <c r="O504" s="10" t="s">
        <v>419</v>
      </c>
      <c r="P504" s="9">
        <v>3</v>
      </c>
      <c r="Q504" s="10" t="s">
        <v>419</v>
      </c>
      <c r="R504" s="12">
        <v>42934</v>
      </c>
      <c r="S504" s="10" t="s">
        <v>145</v>
      </c>
      <c r="T504" s="9">
        <v>4</v>
      </c>
      <c r="U504" s="10" t="s">
        <v>401</v>
      </c>
      <c r="V504" s="10" t="s">
        <v>401</v>
      </c>
      <c r="W504" s="9"/>
      <c r="X504" s="9"/>
      <c r="Y504" s="9">
        <v>3</v>
      </c>
      <c r="Z504" s="14">
        <v>1</v>
      </c>
      <c r="AA504" s="15"/>
      <c r="AB504" s="16"/>
      <c r="AC504" s="16"/>
      <c r="AD504" s="9">
        <v>3</v>
      </c>
      <c r="AE504" s="9">
        <v>3</v>
      </c>
      <c r="AF504" s="9">
        <v>2</v>
      </c>
      <c r="AG504" s="9">
        <v>1</v>
      </c>
      <c r="AH504" s="9">
        <v>1</v>
      </c>
      <c r="AI504" s="9">
        <v>1</v>
      </c>
      <c r="AJ504" s="12">
        <v>43502</v>
      </c>
      <c r="AK504" s="9">
        <v>2</v>
      </c>
      <c r="AL504" s="12">
        <v>43561</v>
      </c>
      <c r="AM504" s="9">
        <v>4</v>
      </c>
      <c r="AN504" s="12">
        <v>43574</v>
      </c>
      <c r="AO504" s="12">
        <v>43574</v>
      </c>
      <c r="AP504" s="12">
        <v>43574</v>
      </c>
      <c r="AQ504" s="9">
        <v>1</v>
      </c>
      <c r="AR504" s="9">
        <f t="shared" si="174"/>
        <v>1</v>
      </c>
      <c r="AS504" s="9">
        <v>1</v>
      </c>
      <c r="AT504" s="9">
        <v>2</v>
      </c>
      <c r="AU504" s="9">
        <v>2</v>
      </c>
      <c r="AV504" s="9">
        <f t="shared" si="175"/>
        <v>1</v>
      </c>
      <c r="AW504" s="12">
        <v>43595</v>
      </c>
      <c r="AX504" s="9">
        <v>6550</v>
      </c>
      <c r="AY504" s="9">
        <v>4980</v>
      </c>
      <c r="AZ504" s="9">
        <v>580</v>
      </c>
      <c r="BA504" s="9">
        <v>4980</v>
      </c>
      <c r="BB504" s="9">
        <v>579.99993896484375</v>
      </c>
      <c r="BC504" s="9">
        <v>456000</v>
      </c>
      <c r="BD504" s="9">
        <v>660</v>
      </c>
      <c r="BE504" s="9">
        <v>240</v>
      </c>
      <c r="BF504" s="9">
        <v>1089</v>
      </c>
      <c r="BG504" s="9">
        <v>8540</v>
      </c>
      <c r="BH504" s="9">
        <v>7040</v>
      </c>
      <c r="BI504" s="9">
        <v>510</v>
      </c>
      <c r="BJ504" s="9">
        <v>478000</v>
      </c>
      <c r="BK504" s="9">
        <v>760</v>
      </c>
      <c r="BL504" s="9">
        <v>130</v>
      </c>
      <c r="BM504" s="9">
        <v>1570</v>
      </c>
      <c r="BN504" s="9">
        <v>6950</v>
      </c>
      <c r="BO504" s="9">
        <v>5310</v>
      </c>
      <c r="BP504" s="9">
        <v>560</v>
      </c>
      <c r="BQ504" s="9">
        <v>290000</v>
      </c>
      <c r="BR504" s="9">
        <v>630</v>
      </c>
      <c r="BS504" s="9">
        <v>360</v>
      </c>
      <c r="BT504" s="9">
        <v>1359</v>
      </c>
      <c r="BU504" s="9">
        <v>6200</v>
      </c>
      <c r="BV504" s="9">
        <v>4730</v>
      </c>
      <c r="BW504" s="9">
        <v>4800</v>
      </c>
      <c r="BX504" s="9">
        <v>366000</v>
      </c>
      <c r="BY504" s="9">
        <v>600</v>
      </c>
      <c r="BZ504" s="10" t="s">
        <v>529</v>
      </c>
      <c r="CA504" s="9">
        <v>310</v>
      </c>
      <c r="CB504" s="9">
        <v>1731</v>
      </c>
      <c r="CC504" s="10">
        <f t="shared" si="176"/>
        <v>8.5862078001043702</v>
      </c>
      <c r="CD504" s="10">
        <f t="shared" si="177"/>
        <v>786.20697928666527</v>
      </c>
      <c r="CE504" s="10">
        <f t="shared" si="189"/>
        <v>3915310.756847593</v>
      </c>
      <c r="CF504" s="10">
        <f t="shared" si="190"/>
        <v>0</v>
      </c>
      <c r="CG504" s="10">
        <f t="shared" si="171"/>
        <v>0</v>
      </c>
      <c r="CH504" s="10">
        <f t="shared" si="172"/>
        <v>2</v>
      </c>
      <c r="CI504" s="9">
        <f t="shared" si="178"/>
        <v>1</v>
      </c>
      <c r="CJ504" s="10">
        <f t="shared" si="173"/>
        <v>3</v>
      </c>
      <c r="CK504" s="10" t="b">
        <f t="shared" si="179"/>
        <v>0</v>
      </c>
      <c r="CL504" s="10" t="b">
        <f t="shared" si="180"/>
        <v>0</v>
      </c>
      <c r="CM504" s="10" t="b">
        <f t="shared" si="181"/>
        <v>0</v>
      </c>
      <c r="CN504" s="9">
        <f t="shared" si="182"/>
        <v>1</v>
      </c>
      <c r="CO504" s="10">
        <f t="shared" si="191"/>
        <v>2</v>
      </c>
      <c r="CP504" s="10" t="b">
        <f t="shared" si="183"/>
        <v>0</v>
      </c>
      <c r="CQ504" s="10" t="b">
        <f t="shared" si="184"/>
        <v>0</v>
      </c>
      <c r="CR504" s="10" cm="1">
        <f t="array" ref="CR504">_xlfn.IFS(AND($CI504=0, CK504=FALSE), NA(), AND($CI504=1, CK504=FALSE), 0, CK504=TRUE, 1)</f>
        <v>0</v>
      </c>
      <c r="CS504" s="10" cm="1">
        <f t="array" ref="CS504">_xlfn.IFS(AND($CI504=0, CL504=FALSE), NA(), AND($CI504=1, CL504=FALSE), 0, CL504=TRUE, 1)</f>
        <v>0</v>
      </c>
      <c r="CT504" s="10" cm="1">
        <f t="array" ref="CT504">_xlfn.IFS(AND($CI504=0, CM504=FALSE), NA(), AND($CI504=1, CM504=FALSE), 0, CM504=TRUE, 1)</f>
        <v>0</v>
      </c>
      <c r="CU504" s="10" cm="1">
        <f t="array" ref="CU504">_xlfn.IFS(AND($CN504=0, CP504=FALSE), NA(), AND($CN504=1, CP504=FALSE), 0, CP504=TRUE, 1)</f>
        <v>0</v>
      </c>
      <c r="CV504" s="10" cm="1">
        <f t="array" ref="CV504">_xlfn.IFS(AND($CN504=0, CQ504=FALSE), NA(), AND($CN504=1, CQ504=FALSE), 0, CQ504=TRUE, 1)</f>
        <v>0</v>
      </c>
    </row>
    <row r="505" spans="1:100" ht="15.75" x14ac:dyDescent="0.25">
      <c r="A505" s="8">
        <v>504</v>
      </c>
      <c r="B505" s="9">
        <v>32</v>
      </c>
      <c r="C505" s="10" t="s">
        <v>6</v>
      </c>
      <c r="D505" s="11" t="s">
        <v>68</v>
      </c>
      <c r="E505" s="12">
        <v>24155</v>
      </c>
      <c r="F505" s="13">
        <v>2</v>
      </c>
      <c r="G505" s="9">
        <v>51.436004638671875</v>
      </c>
      <c r="H505" s="12">
        <v>42942</v>
      </c>
      <c r="I505" s="9">
        <v>1</v>
      </c>
      <c r="J505" s="12">
        <v>42942</v>
      </c>
      <c r="K505" s="9">
        <v>1</v>
      </c>
      <c r="L505" s="9">
        <v>1</v>
      </c>
      <c r="M505" s="10" t="s">
        <v>401</v>
      </c>
      <c r="N505" s="9">
        <v>2</v>
      </c>
      <c r="O505" s="10" t="s">
        <v>412</v>
      </c>
      <c r="P505" s="9">
        <v>2</v>
      </c>
      <c r="Q505" s="10" t="s">
        <v>412</v>
      </c>
      <c r="R505" s="12">
        <v>42942</v>
      </c>
      <c r="S505" s="10" t="s">
        <v>145</v>
      </c>
      <c r="T505" s="9">
        <v>4</v>
      </c>
      <c r="U505" s="10" t="s">
        <v>401</v>
      </c>
      <c r="V505" s="10" t="s">
        <v>401</v>
      </c>
      <c r="W505" s="9"/>
      <c r="X505" s="9"/>
      <c r="Y505" s="9">
        <v>3</v>
      </c>
      <c r="Z505" s="14">
        <v>1</v>
      </c>
      <c r="AA505" s="17">
        <v>10.9</v>
      </c>
      <c r="AB505" s="18" t="s">
        <v>468</v>
      </c>
      <c r="AC505" s="18">
        <v>14</v>
      </c>
      <c r="AD505" s="9">
        <v>2</v>
      </c>
      <c r="AE505" s="9">
        <v>2</v>
      </c>
      <c r="AF505" s="9">
        <v>1</v>
      </c>
      <c r="AG505" s="9">
        <v>0</v>
      </c>
      <c r="AH505" s="9">
        <v>1</v>
      </c>
      <c r="AI505" s="9">
        <v>0</v>
      </c>
      <c r="AJ505" s="12">
        <v>43665</v>
      </c>
      <c r="AK505" s="9">
        <v>2</v>
      </c>
      <c r="AL505" s="12">
        <v>44197</v>
      </c>
      <c r="AM505" s="9">
        <v>3</v>
      </c>
      <c r="AN505" s="12">
        <v>43710</v>
      </c>
      <c r="AO505" s="12">
        <v>43745</v>
      </c>
      <c r="AP505" s="12">
        <v>44538</v>
      </c>
      <c r="AQ505" s="9">
        <v>1</v>
      </c>
      <c r="AR505" s="9">
        <f t="shared" si="174"/>
        <v>1</v>
      </c>
      <c r="AS505" s="9">
        <v>1</v>
      </c>
      <c r="AT505" s="9">
        <v>1</v>
      </c>
      <c r="AU505" s="9">
        <v>2</v>
      </c>
      <c r="AV505" s="9">
        <f t="shared" si="175"/>
        <v>1</v>
      </c>
      <c r="AW505" s="12">
        <v>44538</v>
      </c>
      <c r="AX505" s="9">
        <v>6030</v>
      </c>
      <c r="AY505" s="9">
        <v>3220</v>
      </c>
      <c r="AZ505" s="9">
        <v>2450</v>
      </c>
      <c r="BA505" s="9">
        <v>3220</v>
      </c>
      <c r="BB505" s="9">
        <v>2450.00048828125</v>
      </c>
      <c r="BC505" s="9">
        <v>667000</v>
      </c>
      <c r="BD505" s="9"/>
      <c r="BE505" s="9"/>
      <c r="BF505" s="9">
        <v>225</v>
      </c>
      <c r="BG505" s="9">
        <v>5780</v>
      </c>
      <c r="BH505" s="9">
        <v>3100</v>
      </c>
      <c r="BI505" s="9">
        <v>1900</v>
      </c>
      <c r="BJ505" s="9">
        <v>698000</v>
      </c>
      <c r="BK505" s="9"/>
      <c r="BL505" s="9"/>
      <c r="BM505" s="9">
        <v>251</v>
      </c>
      <c r="BN505" s="9">
        <v>6150</v>
      </c>
      <c r="BO505" s="9">
        <v>3220</v>
      </c>
      <c r="BP505" s="9">
        <v>2180</v>
      </c>
      <c r="BQ505" s="9">
        <v>769000</v>
      </c>
      <c r="BR505" s="9"/>
      <c r="BS505" s="9"/>
      <c r="BT505" s="9">
        <v>275</v>
      </c>
      <c r="BU505" s="9">
        <v>7450</v>
      </c>
      <c r="BV505" s="9">
        <v>4180</v>
      </c>
      <c r="BW505" s="9">
        <v>2710</v>
      </c>
      <c r="BX505" s="9">
        <v>953000</v>
      </c>
      <c r="BY505" s="9"/>
      <c r="BZ505" s="10" t="s">
        <v>401</v>
      </c>
      <c r="CA505" s="9"/>
      <c r="CB505" s="9">
        <v>301</v>
      </c>
      <c r="CC505" s="10">
        <f t="shared" si="176"/>
        <v>1.3142854523506353</v>
      </c>
      <c r="CD505" s="10">
        <f t="shared" si="177"/>
        <v>272.24484370120302</v>
      </c>
      <c r="CE505" s="10">
        <f t="shared" si="189"/>
        <v>876628.39671787375</v>
      </c>
      <c r="CF505" s="10">
        <f t="shared" si="190"/>
        <v>1</v>
      </c>
      <c r="CG505" s="10">
        <f t="shared" si="171"/>
        <v>0</v>
      </c>
      <c r="CH505" s="10">
        <f t="shared" si="172"/>
        <v>18</v>
      </c>
      <c r="CI505" s="9">
        <f t="shared" si="178"/>
        <v>1</v>
      </c>
      <c r="CJ505" s="10">
        <f t="shared" si="173"/>
        <v>29</v>
      </c>
      <c r="CK505" s="10" t="b">
        <f t="shared" si="179"/>
        <v>1</v>
      </c>
      <c r="CL505" s="10" t="b">
        <f t="shared" si="180"/>
        <v>1</v>
      </c>
      <c r="CM505" s="10" t="b">
        <f t="shared" si="181"/>
        <v>1</v>
      </c>
      <c r="CN505" s="9">
        <f t="shared" si="182"/>
        <v>1</v>
      </c>
      <c r="CO505" s="10">
        <f t="shared" si="191"/>
        <v>3</v>
      </c>
      <c r="CP505" s="10" t="b">
        <f t="shared" si="183"/>
        <v>1</v>
      </c>
      <c r="CQ505" s="10" t="b">
        <f t="shared" si="184"/>
        <v>0</v>
      </c>
      <c r="CR505" s="10" cm="1">
        <f t="array" ref="CR505">_xlfn.IFS(AND($CI505=0, CK505=FALSE), NA(), AND($CI505=1, CK505=FALSE), 0, CK505=TRUE, 1)</f>
        <v>1</v>
      </c>
      <c r="CS505" s="10" cm="1">
        <f t="array" ref="CS505">_xlfn.IFS(AND($CI505=0, CL505=FALSE), NA(), AND($CI505=1, CL505=FALSE), 0, CL505=TRUE, 1)</f>
        <v>1</v>
      </c>
      <c r="CT505" s="10" cm="1">
        <f t="array" ref="CT505">_xlfn.IFS(AND($CI505=0, CM505=FALSE), NA(), AND($CI505=1, CM505=FALSE), 0, CM505=TRUE, 1)</f>
        <v>1</v>
      </c>
      <c r="CU505" s="10" cm="1">
        <f t="array" ref="CU505">_xlfn.IFS(AND($CN505=0, CP505=FALSE), NA(), AND($CN505=1, CP505=FALSE), 0, CP505=TRUE, 1)</f>
        <v>1</v>
      </c>
      <c r="CV505" s="10" cm="1">
        <f t="array" ref="CV505">_xlfn.IFS(AND($CN505=0, CQ505=FALSE), NA(), AND($CN505=1, CQ505=FALSE), 0, CQ505=TRUE, 1)</f>
        <v>0</v>
      </c>
    </row>
    <row r="506" spans="1:100" ht="15.75" x14ac:dyDescent="0.25">
      <c r="A506" s="8">
        <v>505</v>
      </c>
      <c r="B506" s="9">
        <v>326</v>
      </c>
      <c r="C506" s="10" t="s">
        <v>25</v>
      </c>
      <c r="D506" s="11" t="s">
        <v>272</v>
      </c>
      <c r="E506" s="12">
        <v>20685</v>
      </c>
      <c r="F506" s="13">
        <v>2</v>
      </c>
      <c r="G506" s="9">
        <v>60.939083099365234</v>
      </c>
      <c r="H506" s="12">
        <v>42943</v>
      </c>
      <c r="I506" s="9">
        <v>0</v>
      </c>
      <c r="J506" s="12"/>
      <c r="K506" s="9">
        <v>1</v>
      </c>
      <c r="L506" s="9">
        <v>1</v>
      </c>
      <c r="M506" s="10" t="s">
        <v>401</v>
      </c>
      <c r="N506" s="9">
        <v>2</v>
      </c>
      <c r="O506" s="10" t="s">
        <v>421</v>
      </c>
      <c r="P506" s="9">
        <v>2</v>
      </c>
      <c r="Q506" s="10" t="s">
        <v>421</v>
      </c>
      <c r="R506" s="12">
        <v>43166</v>
      </c>
      <c r="S506" s="10" t="s">
        <v>145</v>
      </c>
      <c r="T506" s="9"/>
      <c r="U506" s="10" t="s">
        <v>401</v>
      </c>
      <c r="V506" s="10" t="s">
        <v>401</v>
      </c>
      <c r="W506" s="9"/>
      <c r="X506" s="9"/>
      <c r="Y506" s="9">
        <v>2</v>
      </c>
      <c r="Z506" s="14">
        <v>1</v>
      </c>
      <c r="AA506" s="15"/>
      <c r="AB506" s="16"/>
      <c r="AC506" s="16"/>
      <c r="AD506" s="9">
        <v>2</v>
      </c>
      <c r="AE506" s="9">
        <v>2</v>
      </c>
      <c r="AF506" s="9">
        <v>1</v>
      </c>
      <c r="AG506" s="9">
        <v>1</v>
      </c>
      <c r="AH506" s="9">
        <v>1</v>
      </c>
      <c r="AI506" s="9">
        <v>1</v>
      </c>
      <c r="AJ506" s="12">
        <v>43188</v>
      </c>
      <c r="AK506" s="9">
        <v>2</v>
      </c>
      <c r="AL506" s="12">
        <v>43299</v>
      </c>
      <c r="AM506" s="9">
        <v>3</v>
      </c>
      <c r="AN506" s="12">
        <v>43235</v>
      </c>
      <c r="AO506" s="12">
        <v>43308</v>
      </c>
      <c r="AP506" s="12">
        <v>43308</v>
      </c>
      <c r="AQ506" s="9">
        <v>1</v>
      </c>
      <c r="AR506" s="9">
        <f t="shared" si="174"/>
        <v>1</v>
      </c>
      <c r="AS506" s="9">
        <v>1</v>
      </c>
      <c r="AT506" s="9">
        <v>2</v>
      </c>
      <c r="AU506" s="9">
        <v>2</v>
      </c>
      <c r="AV506" s="9">
        <f t="shared" si="175"/>
        <v>1</v>
      </c>
      <c r="AW506" s="12">
        <v>43342</v>
      </c>
      <c r="AX506" s="9">
        <v>8990</v>
      </c>
      <c r="AY506" s="9">
        <v>6400</v>
      </c>
      <c r="AZ506" s="9">
        <v>1300</v>
      </c>
      <c r="BA506" s="9">
        <v>6400</v>
      </c>
      <c r="BB506" s="9">
        <v>1300.000244140625</v>
      </c>
      <c r="BC506" s="9">
        <v>404000</v>
      </c>
      <c r="BD506" s="9">
        <v>800</v>
      </c>
      <c r="BE506" s="9">
        <v>200</v>
      </c>
      <c r="BF506" s="9">
        <v>184</v>
      </c>
      <c r="BG506" s="9">
        <v>13090</v>
      </c>
      <c r="BH506" s="9">
        <v>9900</v>
      </c>
      <c r="BI506" s="9">
        <v>1500</v>
      </c>
      <c r="BJ506" s="9">
        <v>428000</v>
      </c>
      <c r="BK506" s="9">
        <v>110</v>
      </c>
      <c r="BL506" s="9">
        <v>300</v>
      </c>
      <c r="BM506" s="9">
        <v>153</v>
      </c>
      <c r="BN506" s="9">
        <v>10810</v>
      </c>
      <c r="BO506" s="9">
        <v>6900</v>
      </c>
      <c r="BP506" s="9">
        <v>1000</v>
      </c>
      <c r="BQ506" s="9">
        <v>414000</v>
      </c>
      <c r="BR506" s="9">
        <v>100</v>
      </c>
      <c r="BS506" s="9">
        <v>400</v>
      </c>
      <c r="BT506" s="9"/>
      <c r="BU506" s="9">
        <v>11630</v>
      </c>
      <c r="BV506" s="9">
        <v>7400</v>
      </c>
      <c r="BW506" s="9">
        <v>2400</v>
      </c>
      <c r="BX506" s="9">
        <v>430000</v>
      </c>
      <c r="BY506" s="9">
        <v>100</v>
      </c>
      <c r="BZ506" s="10" t="s">
        <v>565</v>
      </c>
      <c r="CA506" s="9">
        <v>600</v>
      </c>
      <c r="CB506" s="9">
        <v>148</v>
      </c>
      <c r="CC506" s="10">
        <f t="shared" si="176"/>
        <v>4.9230759985208836</v>
      </c>
      <c r="CD506" s="10">
        <f t="shared" si="177"/>
        <v>310.76917240663079</v>
      </c>
      <c r="CE506" s="10">
        <f t="shared" si="189"/>
        <v>1988922.703402437</v>
      </c>
      <c r="CF506" s="10">
        <f t="shared" si="190"/>
        <v>1</v>
      </c>
      <c r="CG506" s="10">
        <f t="shared" si="171"/>
        <v>0</v>
      </c>
      <c r="CH506" s="10">
        <f t="shared" si="172"/>
        <v>4</v>
      </c>
      <c r="CI506" s="9">
        <f t="shared" si="178"/>
        <v>1</v>
      </c>
      <c r="CJ506" s="10">
        <f t="shared" si="173"/>
        <v>5</v>
      </c>
      <c r="CK506" s="10" t="b">
        <f t="shared" si="179"/>
        <v>0</v>
      </c>
      <c r="CL506" s="10" t="b">
        <f t="shared" si="180"/>
        <v>0</v>
      </c>
      <c r="CM506" s="10" t="b">
        <f t="shared" si="181"/>
        <v>0</v>
      </c>
      <c r="CN506" s="9">
        <f t="shared" si="182"/>
        <v>1</v>
      </c>
      <c r="CO506" s="10">
        <f t="shared" si="191"/>
        <v>4</v>
      </c>
      <c r="CP506" s="10" t="b">
        <f t="shared" si="183"/>
        <v>1</v>
      </c>
      <c r="CQ506" s="10" t="b">
        <f t="shared" si="184"/>
        <v>0</v>
      </c>
      <c r="CR506" s="10" cm="1">
        <f t="array" ref="CR506">_xlfn.IFS(AND($CI506=0, CK506=FALSE), NA(), AND($CI506=1, CK506=FALSE), 0, CK506=TRUE, 1)</f>
        <v>0</v>
      </c>
      <c r="CS506" s="10" cm="1">
        <f t="array" ref="CS506">_xlfn.IFS(AND($CI506=0, CL506=FALSE), NA(), AND($CI506=1, CL506=FALSE), 0, CL506=TRUE, 1)</f>
        <v>0</v>
      </c>
      <c r="CT506" s="10" cm="1">
        <f t="array" ref="CT506">_xlfn.IFS(AND($CI506=0, CM506=FALSE), NA(), AND($CI506=1, CM506=FALSE), 0, CM506=TRUE, 1)</f>
        <v>0</v>
      </c>
      <c r="CU506" s="10" cm="1">
        <f t="array" ref="CU506">_xlfn.IFS(AND($CN506=0, CP506=FALSE), NA(), AND($CN506=1, CP506=FALSE), 0, CP506=TRUE, 1)</f>
        <v>1</v>
      </c>
      <c r="CV506" s="10" cm="1">
        <f t="array" ref="CV506">_xlfn.IFS(AND($CN506=0, CQ506=FALSE), NA(), AND($CN506=1, CQ506=FALSE), 0, CQ506=TRUE, 1)</f>
        <v>0</v>
      </c>
    </row>
    <row r="507" spans="1:100" ht="15.75" x14ac:dyDescent="0.25">
      <c r="A507" s="8">
        <v>506</v>
      </c>
      <c r="B507" s="9">
        <v>328</v>
      </c>
      <c r="C507" s="10" t="s">
        <v>26</v>
      </c>
      <c r="D507" s="11" t="s">
        <v>274</v>
      </c>
      <c r="E507" s="12">
        <v>25202</v>
      </c>
      <c r="F507" s="13">
        <v>1</v>
      </c>
      <c r="G507" s="9">
        <v>48.585899353027344</v>
      </c>
      <c r="H507" s="12">
        <v>42948</v>
      </c>
      <c r="I507" s="9">
        <v>1</v>
      </c>
      <c r="J507" s="12">
        <v>42954</v>
      </c>
      <c r="K507" s="9">
        <v>1</v>
      </c>
      <c r="L507" s="9">
        <v>1</v>
      </c>
      <c r="M507" s="10" t="s">
        <v>401</v>
      </c>
      <c r="N507" s="9">
        <v>2</v>
      </c>
      <c r="O507" s="10" t="s">
        <v>145</v>
      </c>
      <c r="P507" s="9">
        <v>2</v>
      </c>
      <c r="Q507" s="10" t="s">
        <v>145</v>
      </c>
      <c r="R507" s="12">
        <v>42948</v>
      </c>
      <c r="S507" s="10" t="s">
        <v>145</v>
      </c>
      <c r="T507" s="9"/>
      <c r="U507" s="10" t="s">
        <v>401</v>
      </c>
      <c r="V507" s="10" t="s">
        <v>401</v>
      </c>
      <c r="W507" s="9"/>
      <c r="X507" s="9"/>
      <c r="Y507" s="9">
        <v>2</v>
      </c>
      <c r="Z507" s="14">
        <v>1</v>
      </c>
      <c r="AA507" s="15">
        <v>13</v>
      </c>
      <c r="AB507" s="16" t="s">
        <v>482</v>
      </c>
      <c r="AC507" s="16" t="s">
        <v>483</v>
      </c>
      <c r="AD507" s="9">
        <v>2</v>
      </c>
      <c r="AE507" s="9">
        <v>2</v>
      </c>
      <c r="AF507" s="9">
        <v>1</v>
      </c>
      <c r="AG507" s="9">
        <v>1</v>
      </c>
      <c r="AH507" s="9">
        <v>1</v>
      </c>
      <c r="AI507" s="9">
        <v>0</v>
      </c>
      <c r="AJ507" s="12">
        <v>43426</v>
      </c>
      <c r="AK507" s="9">
        <v>2</v>
      </c>
      <c r="AL507" s="12">
        <v>43539</v>
      </c>
      <c r="AM507" s="9">
        <v>4</v>
      </c>
      <c r="AN507" s="12">
        <v>43507</v>
      </c>
      <c r="AO507" s="12">
        <v>43551</v>
      </c>
      <c r="AP507" s="12">
        <v>43551</v>
      </c>
      <c r="AQ507" s="9">
        <v>1</v>
      </c>
      <c r="AR507" s="9">
        <f t="shared" si="174"/>
        <v>1</v>
      </c>
      <c r="AS507" s="9">
        <v>1</v>
      </c>
      <c r="AT507" s="9">
        <v>2</v>
      </c>
      <c r="AU507" s="9">
        <v>1</v>
      </c>
      <c r="AV507" s="9">
        <f t="shared" si="175"/>
        <v>0</v>
      </c>
      <c r="AW507" s="12">
        <v>43915</v>
      </c>
      <c r="AX507" s="9">
        <v>5270</v>
      </c>
      <c r="AY507" s="9">
        <v>2380</v>
      </c>
      <c r="AZ507" s="9">
        <v>1930</v>
      </c>
      <c r="BA507" s="9">
        <v>2380</v>
      </c>
      <c r="BB507" s="9">
        <v>1929.9998779296875</v>
      </c>
      <c r="BC507" s="9">
        <v>269000</v>
      </c>
      <c r="BD507" s="9">
        <v>630</v>
      </c>
      <c r="BE507" s="9">
        <v>280</v>
      </c>
      <c r="BF507" s="9">
        <v>223</v>
      </c>
      <c r="BG507" s="9">
        <v>7300</v>
      </c>
      <c r="BH507" s="9">
        <v>3890</v>
      </c>
      <c r="BI507" s="9">
        <v>2120</v>
      </c>
      <c r="BJ507" s="9">
        <v>333000</v>
      </c>
      <c r="BK507" s="9">
        <v>600</v>
      </c>
      <c r="BL507" s="9">
        <v>520</v>
      </c>
      <c r="BM507" s="9"/>
      <c r="BN507" s="9">
        <v>9330</v>
      </c>
      <c r="BO507" s="9">
        <v>5540</v>
      </c>
      <c r="BP507" s="9">
        <v>2100</v>
      </c>
      <c r="BQ507" s="9">
        <v>384000</v>
      </c>
      <c r="BR507" s="9">
        <v>1030</v>
      </c>
      <c r="BS507" s="9">
        <v>480</v>
      </c>
      <c r="BT507" s="9"/>
      <c r="BU507" s="9">
        <v>10150</v>
      </c>
      <c r="BV507" s="9">
        <v>5810</v>
      </c>
      <c r="BW507" s="9">
        <v>2760</v>
      </c>
      <c r="BX507" s="9">
        <v>428000</v>
      </c>
      <c r="BY507" s="9">
        <v>870</v>
      </c>
      <c r="BZ507" s="10" t="s">
        <v>541</v>
      </c>
      <c r="CA507" s="9">
        <v>530</v>
      </c>
      <c r="CB507" s="9"/>
      <c r="CC507" s="10">
        <f t="shared" si="176"/>
        <v>1.2331606997576745</v>
      </c>
      <c r="CD507" s="10">
        <f t="shared" si="177"/>
        <v>139.37824715748508</v>
      </c>
      <c r="CE507" s="10">
        <f t="shared" si="189"/>
        <v>331720.22823481442</v>
      </c>
      <c r="CF507" s="10">
        <f t="shared" si="190"/>
        <v>0</v>
      </c>
      <c r="CG507" s="10">
        <f t="shared" si="171"/>
        <v>0</v>
      </c>
      <c r="CH507" s="10">
        <f t="shared" si="172"/>
        <v>4</v>
      </c>
      <c r="CI507" s="9">
        <f t="shared" si="178"/>
        <v>0</v>
      </c>
      <c r="CJ507" s="10">
        <f t="shared" si="173"/>
        <v>16</v>
      </c>
      <c r="CK507" s="10" t="b">
        <f t="shared" si="179"/>
        <v>1</v>
      </c>
      <c r="CL507" s="10" t="b">
        <f t="shared" si="180"/>
        <v>0</v>
      </c>
      <c r="CM507" s="10" t="b">
        <f t="shared" si="181"/>
        <v>0</v>
      </c>
      <c r="CN507" s="9">
        <f t="shared" si="182"/>
        <v>1</v>
      </c>
      <c r="CO507" s="10">
        <f t="shared" si="191"/>
        <v>4</v>
      </c>
      <c r="CP507" s="10" t="b">
        <f t="shared" si="183"/>
        <v>1</v>
      </c>
      <c r="CQ507" s="10" t="b">
        <f t="shared" si="184"/>
        <v>0</v>
      </c>
      <c r="CR507" s="10" cm="1">
        <f t="array" ref="CR507">_xlfn.IFS(AND($CI507=0, CK507=FALSE), NA(), AND($CI507=1, CK507=FALSE), 0, CK507=TRUE, 1)</f>
        <v>1</v>
      </c>
      <c r="CS507" s="10" t="e" cm="1">
        <f t="array" ref="CS507">_xlfn.IFS(AND($CI507=0, CL507=FALSE), NA(), AND($CI507=1, CL507=FALSE), 0, CL507=TRUE, 1)</f>
        <v>#N/A</v>
      </c>
      <c r="CT507" s="10" t="e" cm="1">
        <f t="array" ref="CT507">_xlfn.IFS(AND($CI507=0, CM507=FALSE), NA(), AND($CI507=1, CM507=FALSE), 0, CM507=TRUE, 1)</f>
        <v>#N/A</v>
      </c>
      <c r="CU507" s="10" cm="1">
        <f t="array" ref="CU507">_xlfn.IFS(AND($CN507=0, CP507=FALSE), NA(), AND($CN507=1, CP507=FALSE), 0, CP507=TRUE, 1)</f>
        <v>1</v>
      </c>
      <c r="CV507" s="10" cm="1">
        <f t="array" ref="CV507">_xlfn.IFS(AND($CN507=0, CQ507=FALSE), NA(), AND($CN507=1, CQ507=FALSE), 0, CQ507=TRUE, 1)</f>
        <v>0</v>
      </c>
    </row>
    <row r="508" spans="1:100" ht="15.75" x14ac:dyDescent="0.25">
      <c r="A508" s="8">
        <v>507</v>
      </c>
      <c r="B508" s="9">
        <v>539</v>
      </c>
      <c r="C508" s="10" t="s">
        <v>34</v>
      </c>
      <c r="D508" s="11" t="s">
        <v>388</v>
      </c>
      <c r="E508" s="12">
        <v>17125</v>
      </c>
      <c r="F508" s="13">
        <v>1</v>
      </c>
      <c r="G508" s="9">
        <v>70.702255249023438</v>
      </c>
      <c r="H508" s="12">
        <v>42949</v>
      </c>
      <c r="I508" s="9">
        <v>1</v>
      </c>
      <c r="J508" s="12">
        <v>42990</v>
      </c>
      <c r="K508" s="9">
        <v>1</v>
      </c>
      <c r="L508" s="9">
        <v>1</v>
      </c>
      <c r="M508" s="10" t="s">
        <v>401</v>
      </c>
      <c r="N508" s="9">
        <v>2</v>
      </c>
      <c r="O508" s="10" t="s">
        <v>409</v>
      </c>
      <c r="P508" s="9">
        <v>2</v>
      </c>
      <c r="Q508" s="10" t="s">
        <v>409</v>
      </c>
      <c r="R508" s="12">
        <v>43025</v>
      </c>
      <c r="S508" s="10" t="s">
        <v>146</v>
      </c>
      <c r="T508" s="9"/>
      <c r="U508" s="10" t="s">
        <v>401</v>
      </c>
      <c r="V508" s="10" t="s">
        <v>401</v>
      </c>
      <c r="W508" s="9"/>
      <c r="X508" s="9"/>
      <c r="Y508" s="9">
        <v>2</v>
      </c>
      <c r="Z508" s="14">
        <v>2</v>
      </c>
      <c r="AA508" s="17">
        <v>10.199999999999999</v>
      </c>
      <c r="AB508" s="18">
        <v>67</v>
      </c>
      <c r="AC508" s="18">
        <v>19</v>
      </c>
      <c r="AD508" s="9">
        <v>3</v>
      </c>
      <c r="AE508" s="9">
        <v>3</v>
      </c>
      <c r="AF508" s="9">
        <v>2</v>
      </c>
      <c r="AG508" s="9">
        <v>1</v>
      </c>
      <c r="AH508" s="9">
        <v>1</v>
      </c>
      <c r="AI508" s="9">
        <v>0</v>
      </c>
      <c r="AJ508" s="12">
        <v>43315</v>
      </c>
      <c r="AK508" s="9">
        <v>2</v>
      </c>
      <c r="AL508" s="12">
        <v>43371</v>
      </c>
      <c r="AM508" s="9">
        <v>4</v>
      </c>
      <c r="AN508" s="12">
        <v>43381</v>
      </c>
      <c r="AO508" s="12">
        <v>43381</v>
      </c>
      <c r="AP508" s="12">
        <v>43381</v>
      </c>
      <c r="AQ508" s="9">
        <v>1</v>
      </c>
      <c r="AR508" s="9">
        <f t="shared" si="174"/>
        <v>1</v>
      </c>
      <c r="AS508" s="9">
        <v>1</v>
      </c>
      <c r="AT508" s="9">
        <v>2</v>
      </c>
      <c r="AU508" s="9">
        <v>2</v>
      </c>
      <c r="AV508" s="9">
        <f t="shared" si="175"/>
        <v>1</v>
      </c>
      <c r="AW508" s="12">
        <v>43628</v>
      </c>
      <c r="AX508" s="9">
        <v>6270</v>
      </c>
      <c r="AY508" s="9">
        <v>4780</v>
      </c>
      <c r="AZ508" s="9">
        <v>820</v>
      </c>
      <c r="BA508" s="9">
        <v>4780</v>
      </c>
      <c r="BB508" s="9">
        <v>820</v>
      </c>
      <c r="BC508" s="9">
        <v>151000</v>
      </c>
      <c r="BD508" s="9">
        <v>620</v>
      </c>
      <c r="BE508" s="9">
        <v>30</v>
      </c>
      <c r="BF508" s="9">
        <v>188</v>
      </c>
      <c r="BG508" s="9">
        <v>7880</v>
      </c>
      <c r="BH508" s="9">
        <v>6170</v>
      </c>
      <c r="BI508" s="9">
        <v>900</v>
      </c>
      <c r="BJ508" s="9">
        <v>195000</v>
      </c>
      <c r="BK508" s="9">
        <v>730</v>
      </c>
      <c r="BL508" s="9">
        <v>40</v>
      </c>
      <c r="BM508" s="9">
        <v>198</v>
      </c>
      <c r="BN508" s="9">
        <v>8660</v>
      </c>
      <c r="BO508" s="9">
        <v>6700</v>
      </c>
      <c r="BP508" s="9">
        <v>1240</v>
      </c>
      <c r="BQ508" s="9">
        <v>163000</v>
      </c>
      <c r="BR508" s="9">
        <v>650</v>
      </c>
      <c r="BS508" s="9">
        <v>40</v>
      </c>
      <c r="BT508" s="9">
        <v>202</v>
      </c>
      <c r="BU508" s="9">
        <v>9120</v>
      </c>
      <c r="BV508" s="9">
        <v>6870</v>
      </c>
      <c r="BW508" s="9">
        <v>1350</v>
      </c>
      <c r="BX508" s="9">
        <v>147000</v>
      </c>
      <c r="BY508" s="9">
        <v>790</v>
      </c>
      <c r="BZ508" s="10" t="s">
        <v>544</v>
      </c>
      <c r="CA508" s="9">
        <v>60</v>
      </c>
      <c r="CB508" s="9">
        <v>225</v>
      </c>
      <c r="CC508" s="10">
        <f t="shared" si="176"/>
        <v>5.8292682926829267</v>
      </c>
      <c r="CD508" s="10">
        <f t="shared" si="177"/>
        <v>184.14634146341464</v>
      </c>
      <c r="CE508" s="10">
        <f t="shared" si="189"/>
        <v>880219.51219512196</v>
      </c>
      <c r="CF508" s="10">
        <f t="shared" si="190"/>
        <v>0</v>
      </c>
      <c r="CG508" s="10">
        <f t="shared" si="171"/>
        <v>0</v>
      </c>
      <c r="CH508" s="10">
        <f t="shared" si="172"/>
        <v>1</v>
      </c>
      <c r="CI508" s="9">
        <f t="shared" si="178"/>
        <v>1</v>
      </c>
      <c r="CJ508" s="10">
        <f t="shared" si="173"/>
        <v>10</v>
      </c>
      <c r="CK508" s="10" t="b">
        <f t="shared" si="179"/>
        <v>1</v>
      </c>
      <c r="CL508" s="10" t="b">
        <f t="shared" si="180"/>
        <v>0</v>
      </c>
      <c r="CM508" s="10" t="b">
        <f t="shared" si="181"/>
        <v>0</v>
      </c>
      <c r="CN508" s="9">
        <f t="shared" si="182"/>
        <v>1</v>
      </c>
      <c r="CO508" s="10">
        <f t="shared" si="191"/>
        <v>2</v>
      </c>
      <c r="CP508" s="10" t="b">
        <f t="shared" si="183"/>
        <v>0</v>
      </c>
      <c r="CQ508" s="10" t="b">
        <f t="shared" si="184"/>
        <v>0</v>
      </c>
      <c r="CR508" s="10" cm="1">
        <f t="array" ref="CR508">_xlfn.IFS(AND($CI508=0, CK508=FALSE), NA(), AND($CI508=1, CK508=FALSE), 0, CK508=TRUE, 1)</f>
        <v>1</v>
      </c>
      <c r="CS508" s="10" cm="1">
        <f t="array" ref="CS508">_xlfn.IFS(AND($CI508=0, CL508=FALSE), NA(), AND($CI508=1, CL508=FALSE), 0, CL508=TRUE, 1)</f>
        <v>0</v>
      </c>
      <c r="CT508" s="10" cm="1">
        <f t="array" ref="CT508">_xlfn.IFS(AND($CI508=0, CM508=FALSE), NA(), AND($CI508=1, CM508=FALSE), 0, CM508=TRUE, 1)</f>
        <v>0</v>
      </c>
      <c r="CU508" s="10" cm="1">
        <f t="array" ref="CU508">_xlfn.IFS(AND($CN508=0, CP508=FALSE), NA(), AND($CN508=1, CP508=FALSE), 0, CP508=TRUE, 1)</f>
        <v>0</v>
      </c>
      <c r="CV508" s="10" cm="1">
        <f t="array" ref="CV508">_xlfn.IFS(AND($CN508=0, CQ508=FALSE), NA(), AND($CN508=1, CQ508=FALSE), 0, CQ508=TRUE, 1)</f>
        <v>0</v>
      </c>
    </row>
    <row r="509" spans="1:100" ht="15.75" x14ac:dyDescent="0.25">
      <c r="A509" s="8">
        <v>508</v>
      </c>
      <c r="B509" s="9">
        <v>168</v>
      </c>
      <c r="C509" s="10" t="s">
        <v>15</v>
      </c>
      <c r="D509" s="11" t="s">
        <v>161</v>
      </c>
      <c r="E509" s="12">
        <v>21800</v>
      </c>
      <c r="F509" s="13">
        <v>2</v>
      </c>
      <c r="G509" s="9">
        <v>57.938396453857422</v>
      </c>
      <c r="H509" s="12">
        <v>42962</v>
      </c>
      <c r="I509" s="9">
        <v>1</v>
      </c>
      <c r="J509" s="12">
        <v>42999</v>
      </c>
      <c r="K509" s="9">
        <v>1</v>
      </c>
      <c r="L509" s="9">
        <v>1</v>
      </c>
      <c r="M509" s="10" t="s">
        <v>401</v>
      </c>
      <c r="N509" s="9">
        <v>3</v>
      </c>
      <c r="O509" s="10" t="s">
        <v>424</v>
      </c>
      <c r="P509" s="9">
        <v>2</v>
      </c>
      <c r="Q509" s="10" t="s">
        <v>409</v>
      </c>
      <c r="R509" s="12">
        <v>43029</v>
      </c>
      <c r="S509" s="10" t="s">
        <v>146</v>
      </c>
      <c r="T509" s="9"/>
      <c r="U509" s="10" t="s">
        <v>401</v>
      </c>
      <c r="V509" s="10" t="s">
        <v>401</v>
      </c>
      <c r="W509" s="9"/>
      <c r="X509" s="9"/>
      <c r="Y509" s="9">
        <v>2</v>
      </c>
      <c r="Z509" s="14">
        <v>2</v>
      </c>
      <c r="AA509" s="17">
        <v>13.2</v>
      </c>
      <c r="AB509" s="18">
        <v>90</v>
      </c>
      <c r="AC509" s="18">
        <v>13</v>
      </c>
      <c r="AD509" s="9">
        <v>2</v>
      </c>
      <c r="AE509" s="9">
        <v>2</v>
      </c>
      <c r="AF509" s="9">
        <v>1</v>
      </c>
      <c r="AG509" s="9">
        <v>0</v>
      </c>
      <c r="AH509" s="9">
        <v>1</v>
      </c>
      <c r="AI509" s="9">
        <v>0</v>
      </c>
      <c r="AJ509" s="12">
        <v>43294</v>
      </c>
      <c r="AK509" s="9">
        <v>2</v>
      </c>
      <c r="AL509" s="12">
        <v>43565</v>
      </c>
      <c r="AM509" s="9">
        <v>2</v>
      </c>
      <c r="AN509" s="12">
        <v>43451</v>
      </c>
      <c r="AO509" s="12">
        <v>43620</v>
      </c>
      <c r="AP509" s="12">
        <v>43620</v>
      </c>
      <c r="AQ509" s="9">
        <v>1</v>
      </c>
      <c r="AR509" s="9">
        <f t="shared" si="174"/>
        <v>1</v>
      </c>
      <c r="AS509" s="9">
        <v>1</v>
      </c>
      <c r="AT509" s="9">
        <v>2</v>
      </c>
      <c r="AU509" s="9">
        <v>1</v>
      </c>
      <c r="AV509" s="9">
        <f t="shared" si="175"/>
        <v>0</v>
      </c>
      <c r="AW509" s="12">
        <v>44957</v>
      </c>
      <c r="AX509" s="9">
        <v>8040</v>
      </c>
      <c r="AY509" s="9">
        <v>5500</v>
      </c>
      <c r="AZ509" s="9"/>
      <c r="BA509" s="9">
        <v>5500</v>
      </c>
      <c r="BB509" s="9">
        <v>1481.5225830078125</v>
      </c>
      <c r="BC509" s="9">
        <v>212000</v>
      </c>
      <c r="BD509" s="9"/>
      <c r="BE509" s="9"/>
      <c r="BF509" s="9">
        <v>178</v>
      </c>
      <c r="BG509" s="9">
        <v>7380</v>
      </c>
      <c r="BH509" s="9">
        <v>4700</v>
      </c>
      <c r="BI509" s="9"/>
      <c r="BJ509" s="9">
        <v>169000</v>
      </c>
      <c r="BK509" s="9"/>
      <c r="BL509" s="9"/>
      <c r="BM509" s="9"/>
      <c r="BN509" s="9">
        <v>8380</v>
      </c>
      <c r="BO509" s="9">
        <v>5400</v>
      </c>
      <c r="BP509" s="9"/>
      <c r="BQ509" s="9">
        <v>200000</v>
      </c>
      <c r="BR509" s="9"/>
      <c r="BS509" s="9"/>
      <c r="BT509" s="9">
        <v>182</v>
      </c>
      <c r="BU509" s="9">
        <v>7840</v>
      </c>
      <c r="BV509" s="9">
        <v>4600</v>
      </c>
      <c r="BW509" s="9"/>
      <c r="BX509" s="9">
        <v>205000</v>
      </c>
      <c r="BY509" s="9"/>
      <c r="BZ509" s="10" t="s">
        <v>401</v>
      </c>
      <c r="CA509" s="9"/>
      <c r="CB509" s="9"/>
      <c r="CC509" s="10">
        <f t="shared" si="176"/>
        <v>3.7123970050013049</v>
      </c>
      <c r="CD509" s="10">
        <f t="shared" si="177"/>
        <v>143.0960300109594</v>
      </c>
      <c r="CE509" s="10">
        <f t="shared" si="189"/>
        <v>787028.16506027663</v>
      </c>
      <c r="CF509" s="10">
        <f t="shared" si="190"/>
        <v>1</v>
      </c>
      <c r="CG509" s="10">
        <f t="shared" si="171"/>
        <v>1</v>
      </c>
      <c r="CH509" s="10">
        <f t="shared" si="172"/>
        <v>9</v>
      </c>
      <c r="CI509" s="9">
        <f t="shared" si="178"/>
        <v>0</v>
      </c>
      <c r="CJ509" s="10">
        <f t="shared" si="173"/>
        <v>54</v>
      </c>
      <c r="CK509" s="10" t="b">
        <f t="shared" si="179"/>
        <v>1</v>
      </c>
      <c r="CL509" s="10" t="b">
        <f t="shared" si="180"/>
        <v>1</v>
      </c>
      <c r="CM509" s="10" t="b">
        <f t="shared" si="181"/>
        <v>1</v>
      </c>
      <c r="CN509" s="9">
        <f t="shared" si="182"/>
        <v>1</v>
      </c>
      <c r="CO509" s="10">
        <f t="shared" si="191"/>
        <v>11</v>
      </c>
      <c r="CP509" s="10" t="b">
        <f t="shared" si="183"/>
        <v>1</v>
      </c>
      <c r="CQ509" s="10" t="b">
        <f t="shared" si="184"/>
        <v>1</v>
      </c>
      <c r="CR509" s="10" cm="1">
        <f t="array" ref="CR509">_xlfn.IFS(AND($CI509=0, CK509=FALSE), NA(), AND($CI509=1, CK509=FALSE), 0, CK509=TRUE, 1)</f>
        <v>1</v>
      </c>
      <c r="CS509" s="10" cm="1">
        <f t="array" ref="CS509">_xlfn.IFS(AND($CI509=0, CL509=FALSE), NA(), AND($CI509=1, CL509=FALSE), 0, CL509=TRUE, 1)</f>
        <v>1</v>
      </c>
      <c r="CT509" s="10" cm="1">
        <f t="array" ref="CT509">_xlfn.IFS(AND($CI509=0, CM509=FALSE), NA(), AND($CI509=1, CM509=FALSE), 0, CM509=TRUE, 1)</f>
        <v>1</v>
      </c>
      <c r="CU509" s="10" cm="1">
        <f t="array" ref="CU509">_xlfn.IFS(AND($CN509=0, CP509=FALSE), NA(), AND($CN509=1, CP509=FALSE), 0, CP509=TRUE, 1)</f>
        <v>1</v>
      </c>
      <c r="CV509" s="10" cm="1">
        <f t="array" ref="CV509">_xlfn.IFS(AND($CN509=0, CQ509=FALSE), NA(), AND($CN509=1, CQ509=FALSE), 0, CQ509=TRUE, 1)</f>
        <v>1</v>
      </c>
    </row>
    <row r="510" spans="1:100" ht="15.75" x14ac:dyDescent="0.25">
      <c r="A510" s="8">
        <v>509</v>
      </c>
      <c r="B510" s="9">
        <v>491</v>
      </c>
      <c r="C510" s="10" t="s">
        <v>32</v>
      </c>
      <c r="D510" s="11" t="s">
        <v>59</v>
      </c>
      <c r="E510" s="12">
        <v>25620</v>
      </c>
      <c r="F510" s="13">
        <v>1</v>
      </c>
      <c r="G510" s="9">
        <v>47.520877838134766</v>
      </c>
      <c r="H510" s="12">
        <v>42977</v>
      </c>
      <c r="I510" s="9">
        <v>1</v>
      </c>
      <c r="J510" s="12">
        <v>42979</v>
      </c>
      <c r="K510" s="9">
        <v>1</v>
      </c>
      <c r="L510" s="9">
        <v>2</v>
      </c>
      <c r="M510" s="10" t="s">
        <v>401</v>
      </c>
      <c r="N510" s="9">
        <v>3</v>
      </c>
      <c r="O510" s="10" t="s">
        <v>419</v>
      </c>
      <c r="P510" s="9">
        <v>3</v>
      </c>
      <c r="Q510" s="10" t="s">
        <v>419</v>
      </c>
      <c r="R510" s="12">
        <v>42977</v>
      </c>
      <c r="S510" s="10" t="s">
        <v>145</v>
      </c>
      <c r="T510" s="9"/>
      <c r="U510" s="10" t="s">
        <v>401</v>
      </c>
      <c r="V510" s="10" t="s">
        <v>401</v>
      </c>
      <c r="W510" s="9"/>
      <c r="X510" s="9"/>
      <c r="Y510" s="9">
        <v>2</v>
      </c>
      <c r="Z510" s="14">
        <v>1</v>
      </c>
      <c r="AA510" s="17">
        <v>10.9</v>
      </c>
      <c r="AB510" s="18">
        <v>96</v>
      </c>
      <c r="AC510" s="18">
        <v>19</v>
      </c>
      <c r="AD510" s="9">
        <v>3</v>
      </c>
      <c r="AE510" s="9">
        <v>3</v>
      </c>
      <c r="AF510" s="9">
        <v>2</v>
      </c>
      <c r="AG510" s="9">
        <v>1</v>
      </c>
      <c r="AH510" s="9">
        <v>1</v>
      </c>
      <c r="AI510" s="9">
        <v>0</v>
      </c>
      <c r="AJ510" s="12">
        <v>43235</v>
      </c>
      <c r="AK510" s="9">
        <v>2</v>
      </c>
      <c r="AL510" s="12">
        <v>43291</v>
      </c>
      <c r="AM510" s="9">
        <v>4</v>
      </c>
      <c r="AN510" s="12">
        <v>43299</v>
      </c>
      <c r="AO510" s="12">
        <v>43299</v>
      </c>
      <c r="AP510" s="12">
        <v>43299</v>
      </c>
      <c r="AQ510" s="9">
        <v>1</v>
      </c>
      <c r="AR510" s="9">
        <f t="shared" si="174"/>
        <v>1</v>
      </c>
      <c r="AS510" s="9">
        <v>1</v>
      </c>
      <c r="AT510" s="9">
        <v>2</v>
      </c>
      <c r="AU510" s="9">
        <v>2</v>
      </c>
      <c r="AV510" s="9">
        <f t="shared" si="175"/>
        <v>1</v>
      </c>
      <c r="AW510" s="12">
        <v>43320</v>
      </c>
      <c r="AX510" s="9">
        <v>10440</v>
      </c>
      <c r="AY510" s="9">
        <v>7750</v>
      </c>
      <c r="AZ510" s="9">
        <v>1720</v>
      </c>
      <c r="BA510" s="9">
        <v>7750</v>
      </c>
      <c r="BB510" s="9">
        <v>1719.999755859375</v>
      </c>
      <c r="BC510" s="9">
        <v>490000</v>
      </c>
      <c r="BD510" s="9">
        <v>700</v>
      </c>
      <c r="BE510" s="9">
        <v>60</v>
      </c>
      <c r="BF510" s="9">
        <v>580</v>
      </c>
      <c r="BG510" s="9">
        <v>12610</v>
      </c>
      <c r="BH510" s="9">
        <v>10610</v>
      </c>
      <c r="BI510" s="9">
        <v>1370</v>
      </c>
      <c r="BJ510" s="9">
        <v>484000</v>
      </c>
      <c r="BK510" s="9">
        <v>440</v>
      </c>
      <c r="BL510" s="9">
        <v>70</v>
      </c>
      <c r="BM510" s="9">
        <v>552</v>
      </c>
      <c r="BN510" s="9">
        <v>13040</v>
      </c>
      <c r="BO510" s="9">
        <v>11610</v>
      </c>
      <c r="BP510" s="9">
        <v>900</v>
      </c>
      <c r="BQ510" s="9">
        <v>446000</v>
      </c>
      <c r="BR510" s="9">
        <v>430</v>
      </c>
      <c r="BS510" s="9">
        <v>10</v>
      </c>
      <c r="BT510" s="9">
        <v>584</v>
      </c>
      <c r="BU510" s="9">
        <v>10800</v>
      </c>
      <c r="BV510" s="9">
        <v>11610</v>
      </c>
      <c r="BW510" s="9">
        <v>900</v>
      </c>
      <c r="BX510" s="9">
        <v>446000</v>
      </c>
      <c r="BY510" s="9">
        <v>430</v>
      </c>
      <c r="BZ510" s="10" t="s">
        <v>297</v>
      </c>
      <c r="CA510" s="9">
        <v>10</v>
      </c>
      <c r="CB510" s="9">
        <v>544</v>
      </c>
      <c r="CC510" s="10">
        <f t="shared" si="176"/>
        <v>4.5058145930537155</v>
      </c>
      <c r="CD510" s="10">
        <f t="shared" si="177"/>
        <v>284.8837613672672</v>
      </c>
      <c r="CE510" s="10">
        <f t="shared" si="189"/>
        <v>2207849.1505963206</v>
      </c>
      <c r="CF510" s="10">
        <f t="shared" si="190"/>
        <v>0</v>
      </c>
      <c r="CG510" s="10">
        <f t="shared" si="171"/>
        <v>0</v>
      </c>
      <c r="CH510" s="10">
        <f t="shared" si="172"/>
        <v>2</v>
      </c>
      <c r="CI510" s="9">
        <f t="shared" si="178"/>
        <v>1</v>
      </c>
      <c r="CJ510" s="10">
        <f t="shared" si="173"/>
        <v>3</v>
      </c>
      <c r="CK510" s="10" t="b">
        <f t="shared" si="179"/>
        <v>0</v>
      </c>
      <c r="CL510" s="10" t="b">
        <f t="shared" si="180"/>
        <v>0</v>
      </c>
      <c r="CM510" s="10" t="b">
        <f t="shared" si="181"/>
        <v>0</v>
      </c>
      <c r="CN510" s="9">
        <f t="shared" si="182"/>
        <v>1</v>
      </c>
      <c r="CO510" s="10">
        <f t="shared" si="191"/>
        <v>2</v>
      </c>
      <c r="CP510" s="10" t="b">
        <f t="shared" si="183"/>
        <v>0</v>
      </c>
      <c r="CQ510" s="10" t="b">
        <f t="shared" si="184"/>
        <v>0</v>
      </c>
      <c r="CR510" s="10" cm="1">
        <f t="array" ref="CR510">_xlfn.IFS(AND($CI510=0, CK510=FALSE), NA(), AND($CI510=1, CK510=FALSE), 0, CK510=TRUE, 1)</f>
        <v>0</v>
      </c>
      <c r="CS510" s="10" cm="1">
        <f t="array" ref="CS510">_xlfn.IFS(AND($CI510=0, CL510=FALSE), NA(), AND($CI510=1, CL510=FALSE), 0, CL510=TRUE, 1)</f>
        <v>0</v>
      </c>
      <c r="CT510" s="10" cm="1">
        <f t="array" ref="CT510">_xlfn.IFS(AND($CI510=0, CM510=FALSE), NA(), AND($CI510=1, CM510=FALSE), 0, CM510=TRUE, 1)</f>
        <v>0</v>
      </c>
      <c r="CU510" s="10" cm="1">
        <f t="array" ref="CU510">_xlfn.IFS(AND($CN510=0, CP510=FALSE), NA(), AND($CN510=1, CP510=FALSE), 0, CP510=TRUE, 1)</f>
        <v>0</v>
      </c>
      <c r="CV510" s="10" cm="1">
        <f t="array" ref="CV510">_xlfn.IFS(AND($CN510=0, CQ510=FALSE), NA(), AND($CN510=1, CQ510=FALSE), 0, CQ510=TRUE, 1)</f>
        <v>0</v>
      </c>
    </row>
    <row r="511" spans="1:100" x14ac:dyDescent="0.25">
      <c r="A511" s="8">
        <v>510</v>
      </c>
      <c r="B511" s="9">
        <v>108</v>
      </c>
      <c r="C511" s="10" t="s">
        <v>12</v>
      </c>
      <c r="D511" s="11" t="s">
        <v>132</v>
      </c>
      <c r="E511" s="12">
        <v>19209</v>
      </c>
      <c r="F511" s="13">
        <v>1</v>
      </c>
      <c r="G511" s="9">
        <v>65.095138549804688</v>
      </c>
      <c r="H511" s="12">
        <v>42985</v>
      </c>
      <c r="I511" s="9">
        <v>1</v>
      </c>
      <c r="J511" s="12">
        <v>43003</v>
      </c>
      <c r="K511" s="9">
        <v>1</v>
      </c>
      <c r="L511" s="9">
        <v>1</v>
      </c>
      <c r="M511" s="10" t="s">
        <v>401</v>
      </c>
      <c r="N511" s="9">
        <v>2</v>
      </c>
      <c r="O511" s="10" t="s">
        <v>145</v>
      </c>
      <c r="P511" s="9">
        <v>2</v>
      </c>
      <c r="Q511" s="10" t="s">
        <v>145</v>
      </c>
      <c r="R511" s="12">
        <v>43003</v>
      </c>
      <c r="S511" s="10" t="s">
        <v>145</v>
      </c>
      <c r="T511" s="9"/>
      <c r="U511" s="10" t="s">
        <v>401</v>
      </c>
      <c r="V511" s="10" t="s">
        <v>401</v>
      </c>
      <c r="W511" s="9"/>
      <c r="X511" s="9"/>
      <c r="Y511" s="9">
        <v>2</v>
      </c>
      <c r="Z511" s="19">
        <v>1</v>
      </c>
      <c r="AB511" s="9"/>
      <c r="AC511" s="9"/>
      <c r="AD511" s="9">
        <v>3</v>
      </c>
      <c r="AE511" s="9">
        <v>3</v>
      </c>
      <c r="AF511" s="9">
        <v>2</v>
      </c>
      <c r="AG511" s="9">
        <v>1</v>
      </c>
      <c r="AH511" s="9">
        <v>1</v>
      </c>
      <c r="AI511" s="9">
        <v>1</v>
      </c>
      <c r="AJ511" s="12">
        <v>43199</v>
      </c>
      <c r="AK511" s="9">
        <v>2</v>
      </c>
      <c r="AL511" s="12">
        <v>43230</v>
      </c>
      <c r="AM511" s="9">
        <v>4</v>
      </c>
      <c r="AN511" s="12">
        <v>43238</v>
      </c>
      <c r="AO511" s="12">
        <v>43238</v>
      </c>
      <c r="AP511" s="12">
        <v>43238</v>
      </c>
      <c r="AQ511" s="9">
        <v>1</v>
      </c>
      <c r="AR511" s="9">
        <f t="shared" si="174"/>
        <v>1</v>
      </c>
      <c r="AS511" s="9">
        <v>1</v>
      </c>
      <c r="AT511" s="9">
        <v>2</v>
      </c>
      <c r="AU511" s="9">
        <v>2</v>
      </c>
      <c r="AV511" s="9">
        <f t="shared" si="175"/>
        <v>1</v>
      </c>
      <c r="AW511" s="12">
        <v>43248</v>
      </c>
      <c r="AX511" s="9">
        <v>10210</v>
      </c>
      <c r="AY511" s="9">
        <v>9480</v>
      </c>
      <c r="AZ511" s="9">
        <v>460</v>
      </c>
      <c r="BA511" s="9">
        <v>9480</v>
      </c>
      <c r="BB511" s="9">
        <v>460.00003051757813</v>
      </c>
      <c r="BC511" s="9">
        <v>319000</v>
      </c>
      <c r="BD511" s="9">
        <v>210</v>
      </c>
      <c r="BE511" s="9">
        <v>40</v>
      </c>
      <c r="BF511" s="9"/>
      <c r="BG511" s="9">
        <v>15620</v>
      </c>
      <c r="BH511" s="9">
        <v>14000</v>
      </c>
      <c r="BI511" s="9">
        <v>640</v>
      </c>
      <c r="BJ511" s="9">
        <v>213000</v>
      </c>
      <c r="BK511" s="9">
        <v>910</v>
      </c>
      <c r="BL511" s="9">
        <v>20</v>
      </c>
      <c r="BM511" s="9"/>
      <c r="BN511" s="9">
        <v>11480</v>
      </c>
      <c r="BO511" s="9">
        <v>10060</v>
      </c>
      <c r="BP511" s="9">
        <v>550</v>
      </c>
      <c r="BQ511" s="9">
        <v>208000</v>
      </c>
      <c r="BR511" s="9">
        <v>820</v>
      </c>
      <c r="BS511" s="9">
        <v>30</v>
      </c>
      <c r="BT511" s="9"/>
      <c r="BU511" s="9"/>
      <c r="BV511" s="9"/>
      <c r="BW511" s="9"/>
      <c r="BX511" s="9"/>
      <c r="BY511" s="9"/>
      <c r="BZ511" s="10" t="s">
        <v>401</v>
      </c>
      <c r="CA511" s="9"/>
      <c r="CB511" s="9"/>
      <c r="CC511" s="10">
        <f t="shared" si="176"/>
        <v>20.608694284940352</v>
      </c>
      <c r="CD511" s="10">
        <f t="shared" si="177"/>
        <v>693.47821486244436</v>
      </c>
      <c r="CE511" s="10">
        <f t="shared" si="189"/>
        <v>6574173.4768959722</v>
      </c>
      <c r="CF511" s="10">
        <f t="shared" si="190"/>
        <v>0</v>
      </c>
      <c r="CG511" s="10">
        <f t="shared" si="171"/>
        <v>0</v>
      </c>
      <c r="CH511" s="10">
        <f t="shared" si="172"/>
        <v>1</v>
      </c>
      <c r="CI511" s="9">
        <f t="shared" si="178"/>
        <v>1</v>
      </c>
      <c r="CJ511" s="10">
        <f t="shared" si="173"/>
        <v>1</v>
      </c>
      <c r="CK511" s="10" t="b">
        <f t="shared" si="179"/>
        <v>0</v>
      </c>
      <c r="CL511" s="10" t="b">
        <f t="shared" si="180"/>
        <v>0</v>
      </c>
      <c r="CM511" s="10" t="b">
        <f t="shared" si="181"/>
        <v>0</v>
      </c>
      <c r="CN511" s="9">
        <f t="shared" si="182"/>
        <v>1</v>
      </c>
      <c r="CO511" s="10">
        <f t="shared" si="191"/>
        <v>1</v>
      </c>
      <c r="CP511" s="10" t="b">
        <f t="shared" si="183"/>
        <v>0</v>
      </c>
      <c r="CQ511" s="10" t="b">
        <f t="shared" si="184"/>
        <v>0</v>
      </c>
      <c r="CR511" s="10" cm="1">
        <f t="array" ref="CR511">_xlfn.IFS(AND($CI511=0, CK511=FALSE), NA(), AND($CI511=1, CK511=FALSE), 0, CK511=TRUE, 1)</f>
        <v>0</v>
      </c>
      <c r="CS511" s="10" cm="1">
        <f t="array" ref="CS511">_xlfn.IFS(AND($CI511=0, CL511=FALSE), NA(), AND($CI511=1, CL511=FALSE), 0, CL511=TRUE, 1)</f>
        <v>0</v>
      </c>
      <c r="CT511" s="10" cm="1">
        <f t="array" ref="CT511">_xlfn.IFS(AND($CI511=0, CM511=FALSE), NA(), AND($CI511=1, CM511=FALSE), 0, CM511=TRUE, 1)</f>
        <v>0</v>
      </c>
      <c r="CU511" s="10" cm="1">
        <f t="array" ref="CU511">_xlfn.IFS(AND($CN511=0, CP511=FALSE), NA(), AND($CN511=1, CP511=FALSE), 0, CP511=TRUE, 1)</f>
        <v>0</v>
      </c>
      <c r="CV511" s="10" cm="1">
        <f t="array" ref="CV511">_xlfn.IFS(AND($CN511=0, CQ511=FALSE), NA(), AND($CN511=1, CQ511=FALSE), 0, CQ511=TRUE, 1)</f>
        <v>0</v>
      </c>
    </row>
    <row r="512" spans="1:100" ht="15.75" x14ac:dyDescent="0.25">
      <c r="A512" s="8">
        <v>511</v>
      </c>
      <c r="B512" s="9">
        <v>150</v>
      </c>
      <c r="C512" s="10" t="s">
        <v>14</v>
      </c>
      <c r="D512" s="11" t="s">
        <v>145</v>
      </c>
      <c r="E512" s="12">
        <v>20255</v>
      </c>
      <c r="F512" s="13">
        <v>1</v>
      </c>
      <c r="G512" s="9">
        <v>62.245037078857422</v>
      </c>
      <c r="H512" s="12">
        <v>42990</v>
      </c>
      <c r="I512" s="9">
        <v>1</v>
      </c>
      <c r="J512" s="12">
        <v>43061</v>
      </c>
      <c r="K512" s="9">
        <v>0</v>
      </c>
      <c r="L512" s="9">
        <v>1</v>
      </c>
      <c r="M512" s="10" t="s">
        <v>401</v>
      </c>
      <c r="N512" s="9">
        <v>2</v>
      </c>
      <c r="O512" s="10" t="s">
        <v>422</v>
      </c>
      <c r="P512" s="9">
        <v>2</v>
      </c>
      <c r="Q512" s="10" t="s">
        <v>422</v>
      </c>
      <c r="R512" s="12">
        <v>43020</v>
      </c>
      <c r="S512" s="10" t="s">
        <v>146</v>
      </c>
      <c r="T512" s="9"/>
      <c r="U512" s="10" t="s">
        <v>401</v>
      </c>
      <c r="V512" s="10" t="s">
        <v>401</v>
      </c>
      <c r="W512" s="9"/>
      <c r="X512" s="9"/>
      <c r="Y512" s="9">
        <v>2</v>
      </c>
      <c r="Z512" s="14">
        <v>2</v>
      </c>
      <c r="AA512" s="15">
        <v>12.5</v>
      </c>
      <c r="AB512" s="16">
        <v>105</v>
      </c>
      <c r="AC512" s="16">
        <v>14</v>
      </c>
      <c r="AD512" s="9">
        <v>2</v>
      </c>
      <c r="AE512" s="9">
        <v>3</v>
      </c>
      <c r="AF512" s="9">
        <v>1</v>
      </c>
      <c r="AG512" s="9">
        <v>1</v>
      </c>
      <c r="AH512" s="9">
        <v>1</v>
      </c>
      <c r="AI512" s="9">
        <v>1</v>
      </c>
      <c r="AJ512" s="12">
        <v>43368</v>
      </c>
      <c r="AK512" s="9">
        <v>2</v>
      </c>
      <c r="AL512" s="12">
        <v>43740</v>
      </c>
      <c r="AM512" s="9">
        <v>2</v>
      </c>
      <c r="AN512" s="12">
        <v>43827</v>
      </c>
      <c r="AO512" s="12">
        <v>43574</v>
      </c>
      <c r="AP512" s="12">
        <v>43774</v>
      </c>
      <c r="AQ512" s="9">
        <v>1</v>
      </c>
      <c r="AR512" s="9">
        <f t="shared" si="174"/>
        <v>1</v>
      </c>
      <c r="AS512" s="9">
        <v>1</v>
      </c>
      <c r="AT512" s="9">
        <v>1</v>
      </c>
      <c r="AU512" s="9">
        <v>2</v>
      </c>
      <c r="AV512" s="9">
        <f t="shared" si="175"/>
        <v>1</v>
      </c>
      <c r="AW512" s="12">
        <v>43843</v>
      </c>
      <c r="AX512" s="9">
        <v>7800</v>
      </c>
      <c r="AY512" s="9">
        <v>4500</v>
      </c>
      <c r="AZ512" s="9">
        <v>2000</v>
      </c>
      <c r="BA512" s="9">
        <v>4500</v>
      </c>
      <c r="BB512" s="9">
        <v>2000.000244140625</v>
      </c>
      <c r="BC512" s="9">
        <v>241000</v>
      </c>
      <c r="BD512" s="9">
        <v>1200</v>
      </c>
      <c r="BE512" s="9">
        <v>200</v>
      </c>
      <c r="BF512" s="9">
        <v>273</v>
      </c>
      <c r="BG512" s="9">
        <v>7100</v>
      </c>
      <c r="BH512" s="9">
        <v>3900</v>
      </c>
      <c r="BI512" s="9">
        <v>1800</v>
      </c>
      <c r="BJ512" s="9">
        <v>272000</v>
      </c>
      <c r="BK512" s="9">
        <v>1300</v>
      </c>
      <c r="BL512" s="9">
        <v>100</v>
      </c>
      <c r="BM512" s="9">
        <v>224</v>
      </c>
      <c r="BN512" s="9">
        <v>8200</v>
      </c>
      <c r="BO512" s="9">
        <v>5000</v>
      </c>
      <c r="BP512" s="9">
        <v>2100</v>
      </c>
      <c r="BQ512" s="9">
        <v>240000</v>
      </c>
      <c r="BR512" s="9">
        <v>1000</v>
      </c>
      <c r="BS512" s="9">
        <v>0</v>
      </c>
      <c r="BT512" s="9">
        <v>177</v>
      </c>
      <c r="BU512" s="9">
        <v>7600</v>
      </c>
      <c r="BV512" s="9">
        <v>4300</v>
      </c>
      <c r="BW512" s="9">
        <v>2300</v>
      </c>
      <c r="BX512" s="9">
        <v>208000</v>
      </c>
      <c r="BY512" s="9">
        <v>900</v>
      </c>
      <c r="BZ512" s="10" t="s">
        <v>442</v>
      </c>
      <c r="CA512" s="9">
        <v>0</v>
      </c>
      <c r="CB512" s="9">
        <v>163</v>
      </c>
      <c r="CC512" s="10">
        <f t="shared" si="176"/>
        <v>2.2499997253418305</v>
      </c>
      <c r="CD512" s="10">
        <f t="shared" si="177"/>
        <v>120.49998529052914</v>
      </c>
      <c r="CE512" s="10">
        <f t="shared" si="189"/>
        <v>542249.9338073812</v>
      </c>
      <c r="CF512" s="10">
        <f t="shared" si="190"/>
        <v>1</v>
      </c>
      <c r="CG512" s="10">
        <f t="shared" si="171"/>
        <v>1</v>
      </c>
      <c r="CH512" s="10">
        <f t="shared" si="172"/>
        <v>13</v>
      </c>
      <c r="CI512" s="9">
        <f t="shared" si="178"/>
        <v>1</v>
      </c>
      <c r="CJ512" s="10">
        <f t="shared" si="173"/>
        <v>16</v>
      </c>
      <c r="CK512" s="10" t="b">
        <f t="shared" si="179"/>
        <v>1</v>
      </c>
      <c r="CL512" s="10" t="b">
        <f t="shared" si="180"/>
        <v>0</v>
      </c>
      <c r="CM512" s="10" t="b">
        <f t="shared" si="181"/>
        <v>0</v>
      </c>
      <c r="CN512" s="9">
        <f t="shared" si="182"/>
        <v>1</v>
      </c>
      <c r="CO512" s="10">
        <f t="shared" si="191"/>
        <v>7</v>
      </c>
      <c r="CP512" s="10" t="b">
        <f t="shared" si="183"/>
        <v>1</v>
      </c>
      <c r="CQ512" s="10" t="b">
        <f t="shared" si="184"/>
        <v>0</v>
      </c>
      <c r="CR512" s="10" cm="1">
        <f t="array" ref="CR512">_xlfn.IFS(AND($CI512=0, CK512=FALSE), NA(), AND($CI512=1, CK512=FALSE), 0, CK512=TRUE, 1)</f>
        <v>1</v>
      </c>
      <c r="CS512" s="10" cm="1">
        <f t="array" ref="CS512">_xlfn.IFS(AND($CI512=0, CL512=FALSE), NA(), AND($CI512=1, CL512=FALSE), 0, CL512=TRUE, 1)</f>
        <v>0</v>
      </c>
      <c r="CT512" s="10" cm="1">
        <f t="array" ref="CT512">_xlfn.IFS(AND($CI512=0, CM512=FALSE), NA(), AND($CI512=1, CM512=FALSE), 0, CM512=TRUE, 1)</f>
        <v>0</v>
      </c>
      <c r="CU512" s="10" cm="1">
        <f t="array" ref="CU512">_xlfn.IFS(AND($CN512=0, CP512=FALSE), NA(), AND($CN512=1, CP512=FALSE), 0, CP512=TRUE, 1)</f>
        <v>1</v>
      </c>
      <c r="CV512" s="10" cm="1">
        <f t="array" ref="CV512">_xlfn.IFS(AND($CN512=0, CQ512=FALSE), NA(), AND($CN512=1, CQ512=FALSE), 0, CQ512=TRUE, 1)</f>
        <v>0</v>
      </c>
    </row>
    <row r="513" spans="1:100" ht="15.75" x14ac:dyDescent="0.25">
      <c r="A513" s="8">
        <v>512</v>
      </c>
      <c r="B513" s="9">
        <v>289</v>
      </c>
      <c r="C513" s="10" t="s">
        <v>22</v>
      </c>
      <c r="D513" s="11" t="s">
        <v>85</v>
      </c>
      <c r="E513" s="12">
        <v>22272</v>
      </c>
      <c r="F513" s="13">
        <v>2</v>
      </c>
      <c r="G513" s="9">
        <v>56.758384704589844</v>
      </c>
      <c r="H513" s="12">
        <v>43003</v>
      </c>
      <c r="I513" s="9">
        <v>1</v>
      </c>
      <c r="J513" s="12">
        <v>43003</v>
      </c>
      <c r="K513" s="9">
        <v>1</v>
      </c>
      <c r="L513" s="9">
        <v>1</v>
      </c>
      <c r="M513" s="10" t="s">
        <v>401</v>
      </c>
      <c r="N513" s="9">
        <v>2</v>
      </c>
      <c r="O513" s="10" t="s">
        <v>145</v>
      </c>
      <c r="P513" s="9">
        <v>2</v>
      </c>
      <c r="Q513" s="10" t="s">
        <v>145</v>
      </c>
      <c r="R513" s="12">
        <v>43003</v>
      </c>
      <c r="S513" s="10" t="s">
        <v>145</v>
      </c>
      <c r="T513" s="9"/>
      <c r="U513" s="10" t="s">
        <v>401</v>
      </c>
      <c r="V513" s="10" t="s">
        <v>401</v>
      </c>
      <c r="W513" s="9"/>
      <c r="X513" s="9"/>
      <c r="Y513" s="9">
        <v>2</v>
      </c>
      <c r="Z513" s="14">
        <v>1</v>
      </c>
      <c r="AB513" s="9"/>
      <c r="AC513" s="9"/>
      <c r="AD513" s="9">
        <v>2</v>
      </c>
      <c r="AE513" s="9">
        <v>2</v>
      </c>
      <c r="AF513" s="9">
        <v>1</v>
      </c>
      <c r="AG513" s="9">
        <v>0</v>
      </c>
      <c r="AH513" s="9">
        <v>1</v>
      </c>
      <c r="AI513" s="9">
        <v>1</v>
      </c>
      <c r="AJ513" s="12">
        <v>43525</v>
      </c>
      <c r="AK513" s="9">
        <v>1</v>
      </c>
      <c r="AL513" s="12">
        <v>44022</v>
      </c>
      <c r="AM513" s="9">
        <v>3</v>
      </c>
      <c r="AN513" s="12">
        <v>43648</v>
      </c>
      <c r="AO513" s="12"/>
      <c r="AP513" s="12"/>
      <c r="AQ513" s="9">
        <v>2</v>
      </c>
      <c r="AR513" s="9">
        <f t="shared" si="174"/>
        <v>0</v>
      </c>
      <c r="AS513" s="9">
        <v>2</v>
      </c>
      <c r="AT513" s="9"/>
      <c r="AU513" s="9">
        <v>1</v>
      </c>
      <c r="AV513" s="9">
        <f t="shared" si="175"/>
        <v>0</v>
      </c>
      <c r="AW513" s="12">
        <v>44022</v>
      </c>
      <c r="AX513" s="9">
        <v>5010</v>
      </c>
      <c r="AY513" s="9">
        <v>2250</v>
      </c>
      <c r="AZ513" s="9">
        <v>1350</v>
      </c>
      <c r="BA513" s="9">
        <v>2250</v>
      </c>
      <c r="BB513" s="9">
        <v>1350.0001220703125</v>
      </c>
      <c r="BC513" s="9">
        <v>218000</v>
      </c>
      <c r="BD513" s="9">
        <v>370</v>
      </c>
      <c r="BE513" s="9">
        <v>100</v>
      </c>
      <c r="BF513" s="9"/>
      <c r="BG513" s="9">
        <v>4200</v>
      </c>
      <c r="BH513" s="9">
        <v>2150</v>
      </c>
      <c r="BI513" s="9">
        <v>960</v>
      </c>
      <c r="BJ513" s="9">
        <v>228000</v>
      </c>
      <c r="BK513" s="9">
        <v>320</v>
      </c>
      <c r="BL513" s="9">
        <v>85</v>
      </c>
      <c r="BM513" s="9"/>
      <c r="BN513" s="9">
        <v>5500</v>
      </c>
      <c r="BO513" s="9">
        <v>3050</v>
      </c>
      <c r="BP513" s="9">
        <v>960</v>
      </c>
      <c r="BQ513" s="9">
        <v>249000</v>
      </c>
      <c r="BR513" s="9">
        <v>380</v>
      </c>
      <c r="BS513" s="9">
        <v>120</v>
      </c>
      <c r="BT513" s="9"/>
      <c r="BU513" s="9">
        <v>5210</v>
      </c>
      <c r="BV513" s="9">
        <v>3130</v>
      </c>
      <c r="BW513" s="9">
        <v>780</v>
      </c>
      <c r="BX513" s="9">
        <v>244000</v>
      </c>
      <c r="BY513" s="9">
        <v>500</v>
      </c>
      <c r="BZ513" s="10" t="s">
        <v>563</v>
      </c>
      <c r="CA513" s="9">
        <v>130</v>
      </c>
      <c r="CB513" s="9"/>
      <c r="CC513" s="10">
        <f t="shared" si="176"/>
        <v>1.6666665159625909</v>
      </c>
      <c r="CD513" s="10">
        <f t="shared" si="177"/>
        <v>161.48146687993102</v>
      </c>
      <c r="CE513" s="10">
        <f t="shared" si="189"/>
        <v>363333.30047984479</v>
      </c>
      <c r="CF513" s="10">
        <f t="shared" si="190"/>
        <v>1</v>
      </c>
      <c r="CG513" s="10">
        <f t="shared" si="171"/>
        <v>0</v>
      </c>
      <c r="CH513" s="10">
        <f t="shared" si="172"/>
        <v>16</v>
      </c>
      <c r="CI513" s="9">
        <f t="shared" si="178"/>
        <v>0</v>
      </c>
      <c r="CJ513" s="10">
        <f t="shared" si="173"/>
        <v>16</v>
      </c>
      <c r="CK513" s="10" t="b">
        <f t="shared" si="179"/>
        <v>1</v>
      </c>
      <c r="CL513" s="10" t="b">
        <f t="shared" si="180"/>
        <v>0</v>
      </c>
      <c r="CM513" s="10" t="b">
        <f t="shared" si="181"/>
        <v>0</v>
      </c>
      <c r="CN513" s="9">
        <f t="shared" si="182"/>
        <v>0</v>
      </c>
      <c r="CO513" s="10">
        <f>CJ513</f>
        <v>16</v>
      </c>
      <c r="CP513" s="10" t="b">
        <f t="shared" si="183"/>
        <v>1</v>
      </c>
      <c r="CQ513" s="10" t="b">
        <f t="shared" si="184"/>
        <v>1</v>
      </c>
      <c r="CR513" s="10" cm="1">
        <f t="array" ref="CR513">_xlfn.IFS(AND($CI513=0, CK513=FALSE), NA(), AND($CI513=1, CK513=FALSE), 0, CK513=TRUE, 1)</f>
        <v>1</v>
      </c>
      <c r="CS513" s="10" t="e" cm="1">
        <f t="array" ref="CS513">_xlfn.IFS(AND($CI513=0, CL513=FALSE), NA(), AND($CI513=1, CL513=FALSE), 0, CL513=TRUE, 1)</f>
        <v>#N/A</v>
      </c>
      <c r="CT513" s="10" t="e" cm="1">
        <f t="array" ref="CT513">_xlfn.IFS(AND($CI513=0, CM513=FALSE), NA(), AND($CI513=1, CM513=FALSE), 0, CM513=TRUE, 1)</f>
        <v>#N/A</v>
      </c>
      <c r="CU513" s="10" cm="1">
        <f t="array" ref="CU513">_xlfn.IFS(AND($CN513=0, CP513=FALSE), NA(), AND($CN513=1, CP513=FALSE), 0, CP513=TRUE, 1)</f>
        <v>1</v>
      </c>
      <c r="CV513" s="10" cm="1">
        <f t="array" ref="CV513">_xlfn.IFS(AND($CN513=0, CQ513=FALSE), NA(), AND($CN513=1, CQ513=FALSE), 0, CQ513=TRUE, 1)</f>
        <v>1</v>
      </c>
    </row>
    <row r="514" spans="1:100" x14ac:dyDescent="0.25">
      <c r="A514" s="8">
        <v>513</v>
      </c>
      <c r="B514" s="9">
        <v>479</v>
      </c>
      <c r="C514" s="10" t="s">
        <v>31</v>
      </c>
      <c r="D514" s="11" t="s">
        <v>372</v>
      </c>
      <c r="E514" s="12"/>
      <c r="F514" s="13">
        <v>1</v>
      </c>
      <c r="G514" s="9">
        <v>80</v>
      </c>
      <c r="H514" s="12">
        <v>43007</v>
      </c>
      <c r="I514" s="9">
        <v>0</v>
      </c>
      <c r="J514" s="12"/>
      <c r="K514" s="9">
        <v>1</v>
      </c>
      <c r="L514" s="9">
        <v>1</v>
      </c>
      <c r="M514" s="10" t="s">
        <v>401</v>
      </c>
      <c r="N514" s="9">
        <v>2</v>
      </c>
      <c r="O514" s="10" t="s">
        <v>409</v>
      </c>
      <c r="P514" s="9">
        <v>2</v>
      </c>
      <c r="Q514" s="10" t="s">
        <v>409</v>
      </c>
      <c r="R514" s="12">
        <v>42945</v>
      </c>
      <c r="S514" s="10" t="s">
        <v>145</v>
      </c>
      <c r="T514" s="9"/>
      <c r="U514" s="10" t="s">
        <v>401</v>
      </c>
      <c r="V514" s="10" t="s">
        <v>401</v>
      </c>
      <c r="W514" s="9"/>
      <c r="X514" s="9"/>
      <c r="Y514" s="9">
        <v>2</v>
      </c>
      <c r="Z514" s="19">
        <v>1</v>
      </c>
      <c r="AB514" s="9"/>
      <c r="AC514" s="9"/>
      <c r="AD514" s="9">
        <v>2</v>
      </c>
      <c r="AE514" s="9">
        <v>2</v>
      </c>
      <c r="AF514" s="9">
        <v>1</v>
      </c>
      <c r="AG514" s="9">
        <v>0</v>
      </c>
      <c r="AH514" s="9">
        <v>1</v>
      </c>
      <c r="AI514" s="9">
        <v>0</v>
      </c>
      <c r="AJ514" s="12">
        <v>43277</v>
      </c>
      <c r="AK514" s="9">
        <v>2</v>
      </c>
      <c r="AL514" s="12">
        <v>43592</v>
      </c>
      <c r="AM514" s="9">
        <v>3</v>
      </c>
      <c r="AN514" s="12">
        <v>43452</v>
      </c>
      <c r="AO514" s="12">
        <v>43613</v>
      </c>
      <c r="AP514" s="12">
        <v>43613</v>
      </c>
      <c r="AQ514" s="9">
        <v>1</v>
      </c>
      <c r="AR514" s="9">
        <f t="shared" si="174"/>
        <v>1</v>
      </c>
      <c r="AS514" s="9">
        <v>1</v>
      </c>
      <c r="AT514" s="9">
        <v>2</v>
      </c>
      <c r="AU514" s="9">
        <v>2</v>
      </c>
      <c r="AV514" s="9">
        <f t="shared" si="175"/>
        <v>1</v>
      </c>
      <c r="AW514" s="12">
        <v>43893</v>
      </c>
      <c r="AX514" s="9">
        <v>5420</v>
      </c>
      <c r="AY514" s="9">
        <v>3520</v>
      </c>
      <c r="AZ514" s="9">
        <v>1340</v>
      </c>
      <c r="BA514" s="9">
        <v>3520</v>
      </c>
      <c r="BB514" s="9">
        <v>1339.999755859375</v>
      </c>
      <c r="BC514" s="9">
        <v>311000</v>
      </c>
      <c r="BD514" s="9">
        <v>500</v>
      </c>
      <c r="BE514" s="9">
        <v>30</v>
      </c>
      <c r="BF514" s="9">
        <v>716</v>
      </c>
      <c r="BG514" s="9">
        <v>5600</v>
      </c>
      <c r="BH514" s="9">
        <v>4000</v>
      </c>
      <c r="BI514" s="9">
        <v>1100</v>
      </c>
      <c r="BJ514" s="9">
        <v>267000</v>
      </c>
      <c r="BK514" s="9">
        <v>420</v>
      </c>
      <c r="BL514" s="9">
        <v>50</v>
      </c>
      <c r="BM514" s="9">
        <v>340</v>
      </c>
      <c r="BN514" s="9">
        <v>6450</v>
      </c>
      <c r="BO514" s="9">
        <v>4680</v>
      </c>
      <c r="BP514" s="9">
        <v>1120</v>
      </c>
      <c r="BQ514" s="9">
        <v>253000</v>
      </c>
      <c r="BR514" s="9">
        <v>560</v>
      </c>
      <c r="BS514" s="9">
        <v>50</v>
      </c>
      <c r="BT514" s="9">
        <v>415</v>
      </c>
      <c r="BU514" s="9">
        <v>5570</v>
      </c>
      <c r="BV514" s="9">
        <v>3880</v>
      </c>
      <c r="BW514" s="9">
        <v>1010</v>
      </c>
      <c r="BX514" s="9">
        <v>275000</v>
      </c>
      <c r="BY514" s="9">
        <v>540</v>
      </c>
      <c r="BZ514" s="10" t="s">
        <v>558</v>
      </c>
      <c r="CA514" s="9">
        <v>80</v>
      </c>
      <c r="CB514" s="9">
        <v>426</v>
      </c>
      <c r="CC514" s="10">
        <f t="shared" si="176"/>
        <v>2.6268661502423463</v>
      </c>
      <c r="CD514" s="10">
        <f t="shared" si="177"/>
        <v>232.08959452425273</v>
      </c>
      <c r="CE514" s="10">
        <f t="shared" si="189"/>
        <v>816955.37272536964</v>
      </c>
      <c r="CF514" s="10">
        <f t="shared" si="190"/>
        <v>1</v>
      </c>
      <c r="CG514" s="10">
        <f t="shared" ref="CG514:CG572" si="192">IF(OR(AM514=4,AM514=3), 0,1)</f>
        <v>0</v>
      </c>
      <c r="CH514" s="10">
        <f t="shared" ref="CH514:CH572" si="193">(YEAR(AL514)-YEAR(AJ514))*12+MONTH(AL514)-MONTH(AJ514)</f>
        <v>11</v>
      </c>
      <c r="CI514" s="9">
        <f t="shared" si="178"/>
        <v>1</v>
      </c>
      <c r="CJ514" s="10">
        <f t="shared" ref="CJ514:CJ572" si="194">(YEAR(AW514)-YEAR(AJ514))*12+MONTH(AW514)-MONTH(AJ514)</f>
        <v>21</v>
      </c>
      <c r="CK514" s="10" t="b">
        <f t="shared" si="179"/>
        <v>1</v>
      </c>
      <c r="CL514" s="10" t="b">
        <f t="shared" si="180"/>
        <v>1</v>
      </c>
      <c r="CM514" s="10" t="b">
        <f t="shared" si="181"/>
        <v>0</v>
      </c>
      <c r="CN514" s="9">
        <f t="shared" si="182"/>
        <v>1</v>
      </c>
      <c r="CO514" s="10">
        <f>(YEAR(AO514)-YEAR(AJ514))*12+MONTH(AO514)-MONTH(AJ514)</f>
        <v>11</v>
      </c>
      <c r="CP514" s="10" t="b">
        <f t="shared" si="183"/>
        <v>1</v>
      </c>
      <c r="CQ514" s="10" t="b">
        <f t="shared" si="184"/>
        <v>1</v>
      </c>
      <c r="CR514" s="10" cm="1">
        <f t="array" ref="CR514">_xlfn.IFS(AND($CI514=0, CK514=FALSE), NA(), AND($CI514=1, CK514=FALSE), 0, CK514=TRUE, 1)</f>
        <v>1</v>
      </c>
      <c r="CS514" s="10" cm="1">
        <f t="array" ref="CS514">_xlfn.IFS(AND($CI514=0, CL514=FALSE), NA(), AND($CI514=1, CL514=FALSE), 0, CL514=TRUE, 1)</f>
        <v>1</v>
      </c>
      <c r="CT514" s="10" cm="1">
        <f t="array" ref="CT514">_xlfn.IFS(AND($CI514=0, CM514=FALSE), NA(), AND($CI514=1, CM514=FALSE), 0, CM514=TRUE, 1)</f>
        <v>0</v>
      </c>
      <c r="CU514" s="10" cm="1">
        <f t="array" ref="CU514">_xlfn.IFS(AND($CN514=0, CP514=FALSE), NA(), AND($CN514=1, CP514=FALSE), 0, CP514=TRUE, 1)</f>
        <v>1</v>
      </c>
      <c r="CV514" s="10" cm="1">
        <f t="array" ref="CV514">_xlfn.IFS(AND($CN514=0, CQ514=FALSE), NA(), AND($CN514=1, CQ514=FALSE), 0, CQ514=TRUE, 1)</f>
        <v>1</v>
      </c>
    </row>
    <row r="515" spans="1:100" x14ac:dyDescent="0.25">
      <c r="A515" s="8">
        <v>514</v>
      </c>
      <c r="B515" s="9">
        <v>30</v>
      </c>
      <c r="C515" s="10" t="s">
        <v>5</v>
      </c>
      <c r="D515" s="11" t="s">
        <v>66</v>
      </c>
      <c r="E515" s="12">
        <v>19433</v>
      </c>
      <c r="F515" s="13">
        <v>1</v>
      </c>
      <c r="G515" s="9">
        <v>64.583160400390625</v>
      </c>
      <c r="H515" s="12">
        <v>43022</v>
      </c>
      <c r="I515" s="9">
        <v>0</v>
      </c>
      <c r="J515" s="12"/>
      <c r="K515" s="9">
        <v>1</v>
      </c>
      <c r="L515" s="9">
        <v>1</v>
      </c>
      <c r="M515" s="10" t="s">
        <v>401</v>
      </c>
      <c r="N515" s="9"/>
      <c r="O515" s="10" t="s">
        <v>401</v>
      </c>
      <c r="P515" s="9"/>
      <c r="Q515" s="10" t="s">
        <v>401</v>
      </c>
      <c r="R515" s="12">
        <v>43022</v>
      </c>
      <c r="S515" s="10" t="s">
        <v>146</v>
      </c>
      <c r="T515" s="9"/>
      <c r="U515" s="10" t="s">
        <v>401</v>
      </c>
      <c r="V515" s="10" t="s">
        <v>401</v>
      </c>
      <c r="W515" s="9"/>
      <c r="X515" s="9"/>
      <c r="Y515" s="9">
        <v>2</v>
      </c>
      <c r="Z515" s="19">
        <v>2</v>
      </c>
      <c r="AB515" s="9"/>
      <c r="AC515" s="9"/>
      <c r="AD515" s="9">
        <v>2</v>
      </c>
      <c r="AE515" s="9">
        <v>2</v>
      </c>
      <c r="AF515" s="9">
        <v>1</v>
      </c>
      <c r="AG515" s="9">
        <v>1</v>
      </c>
      <c r="AH515" s="9">
        <v>0</v>
      </c>
      <c r="AI515" s="9">
        <v>1</v>
      </c>
      <c r="AJ515" s="12">
        <v>43325</v>
      </c>
      <c r="AK515" s="9">
        <v>1</v>
      </c>
      <c r="AL515" s="12">
        <v>43962</v>
      </c>
      <c r="AM515" s="9">
        <v>2</v>
      </c>
      <c r="AN515" s="12">
        <v>43438</v>
      </c>
      <c r="AO515" s="12">
        <v>43798</v>
      </c>
      <c r="AP515" s="12"/>
      <c r="AQ515" s="9">
        <v>1</v>
      </c>
      <c r="AR515" s="9">
        <f t="shared" ref="AR515:AR572" si="195">IF(AQ515=1,1,0)</f>
        <v>1</v>
      </c>
      <c r="AS515" s="9">
        <v>2</v>
      </c>
      <c r="AT515" s="9">
        <v>1</v>
      </c>
      <c r="AU515" s="9">
        <v>1</v>
      </c>
      <c r="AV515" s="9">
        <f t="shared" ref="AV515:AV572" si="196">IF(AU515=2,1,0)</f>
        <v>0</v>
      </c>
      <c r="AW515" s="12">
        <v>43962</v>
      </c>
      <c r="AX515" s="9">
        <v>8950</v>
      </c>
      <c r="AY515" s="9">
        <v>6350</v>
      </c>
      <c r="AZ515" s="9">
        <v>1390</v>
      </c>
      <c r="BA515" s="9">
        <v>6350</v>
      </c>
      <c r="BB515" s="9">
        <v>1390.0001220703125</v>
      </c>
      <c r="BC515" s="9">
        <v>137000</v>
      </c>
      <c r="BD515" s="9">
        <v>800</v>
      </c>
      <c r="BE515" s="9">
        <v>360</v>
      </c>
      <c r="BF515" s="9">
        <v>164</v>
      </c>
      <c r="BG515" s="9">
        <v>6690</v>
      </c>
      <c r="BH515" s="9">
        <v>4310</v>
      </c>
      <c r="BI515" s="9">
        <v>1100</v>
      </c>
      <c r="BJ515" s="9">
        <v>108000</v>
      </c>
      <c r="BK515" s="9">
        <v>710</v>
      </c>
      <c r="BL515" s="9">
        <v>520</v>
      </c>
      <c r="BM515" s="9"/>
      <c r="BN515" s="9">
        <v>10930</v>
      </c>
      <c r="BO515" s="9">
        <v>7550</v>
      </c>
      <c r="BP515" s="9">
        <v>2220</v>
      </c>
      <c r="BQ515" s="9">
        <v>268000</v>
      </c>
      <c r="BR515" s="9">
        <v>1000</v>
      </c>
      <c r="BS515" s="9">
        <v>130</v>
      </c>
      <c r="BT515" s="9"/>
      <c r="BU515" s="9">
        <v>6570</v>
      </c>
      <c r="BV515" s="9">
        <v>4640</v>
      </c>
      <c r="BW515" s="9">
        <v>930</v>
      </c>
      <c r="BX515" s="9">
        <v>161000</v>
      </c>
      <c r="BY515" s="9">
        <v>640</v>
      </c>
      <c r="BZ515" s="10" t="s">
        <v>562</v>
      </c>
      <c r="CA515" s="9">
        <v>340</v>
      </c>
      <c r="CB515" s="9"/>
      <c r="CC515" s="10">
        <f t="shared" ref="CC515:CC572" si="197">BA515/BB515</f>
        <v>4.5683449225472721</v>
      </c>
      <c r="CD515" s="10">
        <f t="shared" ref="CD515:CD572" si="198">BC515/BB515</f>
        <v>98.561142423460822</v>
      </c>
      <c r="CE515" s="10">
        <f t="shared" si="189"/>
        <v>625863.25438897626</v>
      </c>
      <c r="CF515" s="10">
        <f t="shared" si="190"/>
        <v>1</v>
      </c>
      <c r="CG515" s="10">
        <f t="shared" si="192"/>
        <v>1</v>
      </c>
      <c r="CH515" s="10">
        <f t="shared" si="193"/>
        <v>21</v>
      </c>
      <c r="CI515" s="9">
        <f t="shared" ref="CI515:CI572" si="199">AV515</f>
        <v>0</v>
      </c>
      <c r="CJ515" s="10">
        <f t="shared" si="194"/>
        <v>21</v>
      </c>
      <c r="CK515" s="10" t="b">
        <f t="shared" ref="CK515:CK572" si="200">IF(CJ515&gt;=6, TRUE, FALSE)</f>
        <v>1</v>
      </c>
      <c r="CL515" s="10" t="b">
        <f t="shared" ref="CL515:CL572" si="201">IF(CJ515&gt;=18, TRUE, FALSE)</f>
        <v>1</v>
      </c>
      <c r="CM515" s="10" t="b">
        <f t="shared" ref="CM515:CM572" si="202">IF(CJ515&gt;=24, TRUE, FALSE)</f>
        <v>0</v>
      </c>
      <c r="CN515" s="9">
        <f t="shared" ref="CN515:CN572" si="203">AR515</f>
        <v>1</v>
      </c>
      <c r="CO515" s="10">
        <f>(YEAR(AO515)-YEAR(AJ515))*12+MONTH(AO515)-MONTH(AJ515)</f>
        <v>15</v>
      </c>
      <c r="CP515" s="10" t="b">
        <f t="shared" ref="CP515:CP572" si="204">IF(CO515&gt;=3, TRUE, FALSE)</f>
        <v>1</v>
      </c>
      <c r="CQ515" s="10" t="b">
        <f t="shared" ref="CQ515:CQ572" si="205">IF(CO515&gt;=9, TRUE, FALSE)</f>
        <v>1</v>
      </c>
      <c r="CR515" s="10" cm="1">
        <f t="array" ref="CR515">_xlfn.IFS(AND($CI515=0, CK515=FALSE), NA(), AND($CI515=1, CK515=FALSE), 0, CK515=TRUE, 1)</f>
        <v>1</v>
      </c>
      <c r="CS515" s="10" cm="1">
        <f t="array" ref="CS515">_xlfn.IFS(AND($CI515=0, CL515=FALSE), NA(), AND($CI515=1, CL515=FALSE), 0, CL515=TRUE, 1)</f>
        <v>1</v>
      </c>
      <c r="CT515" s="10" t="e" cm="1">
        <f t="array" ref="CT515">_xlfn.IFS(AND($CI515=0, CM515=FALSE), NA(), AND($CI515=1, CM515=FALSE), 0, CM515=TRUE, 1)</f>
        <v>#N/A</v>
      </c>
      <c r="CU515" s="10" cm="1">
        <f t="array" ref="CU515">_xlfn.IFS(AND($CN515=0, CP515=FALSE), NA(), AND($CN515=1, CP515=FALSE), 0, CP515=TRUE, 1)</f>
        <v>1</v>
      </c>
      <c r="CV515" s="10" cm="1">
        <f t="array" ref="CV515">_xlfn.IFS(AND($CN515=0, CQ515=FALSE), NA(), AND($CN515=1, CQ515=FALSE), 0, CQ515=TRUE, 1)</f>
        <v>1</v>
      </c>
    </row>
    <row r="516" spans="1:100" ht="15.75" x14ac:dyDescent="0.25">
      <c r="A516" s="8">
        <v>515</v>
      </c>
      <c r="B516" s="9">
        <v>552</v>
      </c>
      <c r="C516" s="10" t="s">
        <v>35</v>
      </c>
      <c r="D516" s="11" t="s">
        <v>392</v>
      </c>
      <c r="E516" s="12">
        <v>13410</v>
      </c>
      <c r="F516" s="13">
        <v>1</v>
      </c>
      <c r="G516" s="9">
        <v>81.078712463378906</v>
      </c>
      <c r="H516" s="12">
        <v>43024</v>
      </c>
      <c r="I516" s="9">
        <v>1</v>
      </c>
      <c r="J516" s="12">
        <v>43024</v>
      </c>
      <c r="K516" s="9">
        <v>1</v>
      </c>
      <c r="L516" s="9">
        <v>1</v>
      </c>
      <c r="M516" s="10" t="s">
        <v>401</v>
      </c>
      <c r="N516" s="9">
        <v>2</v>
      </c>
      <c r="O516" s="10" t="s">
        <v>145</v>
      </c>
      <c r="P516" s="9">
        <v>2</v>
      </c>
      <c r="Q516" s="10" t="s">
        <v>145</v>
      </c>
      <c r="R516" s="12">
        <v>43024</v>
      </c>
      <c r="S516" s="10" t="s">
        <v>146</v>
      </c>
      <c r="T516" s="9"/>
      <c r="U516" s="10" t="s">
        <v>401</v>
      </c>
      <c r="V516" s="10" t="s">
        <v>401</v>
      </c>
      <c r="W516" s="9"/>
      <c r="X516" s="9"/>
      <c r="Y516" s="9">
        <v>2</v>
      </c>
      <c r="Z516" s="14">
        <v>2</v>
      </c>
      <c r="AA516" s="28">
        <v>12.7</v>
      </c>
      <c r="AB516" s="29">
        <v>97</v>
      </c>
      <c r="AC516" s="9"/>
      <c r="AD516" s="9">
        <v>2</v>
      </c>
      <c r="AE516" s="9">
        <v>2</v>
      </c>
      <c r="AF516" s="9">
        <v>1</v>
      </c>
      <c r="AG516" s="9">
        <v>1</v>
      </c>
      <c r="AH516" s="9">
        <v>1</v>
      </c>
      <c r="AI516" s="9">
        <v>0</v>
      </c>
      <c r="AJ516" s="12">
        <v>43501</v>
      </c>
      <c r="AK516" s="9">
        <v>2</v>
      </c>
      <c r="AL516" s="12">
        <v>43662</v>
      </c>
      <c r="AM516" s="9">
        <v>2</v>
      </c>
      <c r="AN516" s="12">
        <v>43592</v>
      </c>
      <c r="AO516" s="12">
        <v>44700</v>
      </c>
      <c r="AP516" s="12">
        <v>44823</v>
      </c>
      <c r="AQ516" s="9">
        <v>1</v>
      </c>
      <c r="AR516" s="9">
        <f t="shared" si="195"/>
        <v>1</v>
      </c>
      <c r="AS516" s="9">
        <v>1</v>
      </c>
      <c r="AT516" s="9">
        <v>1</v>
      </c>
      <c r="AU516" s="9">
        <v>1</v>
      </c>
      <c r="AV516" s="9">
        <f t="shared" si="196"/>
        <v>0</v>
      </c>
      <c r="AW516" s="12">
        <v>44924</v>
      </c>
      <c r="AX516" s="9">
        <v>5900</v>
      </c>
      <c r="AY516" s="9">
        <v>3490</v>
      </c>
      <c r="AZ516" s="9">
        <v>1060</v>
      </c>
      <c r="BA516" s="9">
        <v>3490</v>
      </c>
      <c r="BB516" s="9">
        <v>1060.000244140625</v>
      </c>
      <c r="BC516" s="9">
        <v>177000</v>
      </c>
      <c r="BD516" s="9">
        <v>780</v>
      </c>
      <c r="BE516" s="9">
        <v>360</v>
      </c>
      <c r="BF516" s="9"/>
      <c r="BG516" s="9">
        <v>6100</v>
      </c>
      <c r="BH516" s="9">
        <v>3840</v>
      </c>
      <c r="BI516" s="9">
        <v>950</v>
      </c>
      <c r="BJ516" s="9">
        <v>167000</v>
      </c>
      <c r="BK516" s="9">
        <v>820</v>
      </c>
      <c r="BL516" s="9">
        <v>360</v>
      </c>
      <c r="BM516" s="9"/>
      <c r="BN516" s="9">
        <v>6400</v>
      </c>
      <c r="BO516" s="9">
        <v>4340</v>
      </c>
      <c r="BP516" s="9">
        <v>850</v>
      </c>
      <c r="BQ516" s="9">
        <v>170000</v>
      </c>
      <c r="BR516" s="9">
        <v>760</v>
      </c>
      <c r="BS516" s="9">
        <v>320</v>
      </c>
      <c r="BT516" s="9"/>
      <c r="BU516" s="9">
        <v>6100</v>
      </c>
      <c r="BV516" s="9">
        <v>4190</v>
      </c>
      <c r="BW516" s="9">
        <v>740</v>
      </c>
      <c r="BX516" s="9">
        <v>175000</v>
      </c>
      <c r="BY516" s="9">
        <v>750</v>
      </c>
      <c r="BZ516" s="10" t="s">
        <v>542</v>
      </c>
      <c r="CA516" s="9">
        <v>300</v>
      </c>
      <c r="CB516" s="9"/>
      <c r="CC516" s="10">
        <f t="shared" si="197"/>
        <v>3.2924520718666921</v>
      </c>
      <c r="CD516" s="10">
        <f t="shared" si="198"/>
        <v>166.98109361616173</v>
      </c>
      <c r="CE516" s="10">
        <f t="shared" si="189"/>
        <v>582764.0167204045</v>
      </c>
      <c r="CF516" s="10">
        <f t="shared" si="190"/>
        <v>1</v>
      </c>
      <c r="CG516" s="10">
        <f t="shared" si="192"/>
        <v>1</v>
      </c>
      <c r="CH516" s="10">
        <f t="shared" si="193"/>
        <v>5</v>
      </c>
      <c r="CI516" s="9">
        <f t="shared" si="199"/>
        <v>0</v>
      </c>
      <c r="CJ516" s="10">
        <f t="shared" si="194"/>
        <v>46</v>
      </c>
      <c r="CK516" s="10" t="b">
        <f t="shared" si="200"/>
        <v>1</v>
      </c>
      <c r="CL516" s="10" t="b">
        <f t="shared" si="201"/>
        <v>1</v>
      </c>
      <c r="CM516" s="10" t="b">
        <f t="shared" si="202"/>
        <v>1</v>
      </c>
      <c r="CN516" s="9">
        <f t="shared" si="203"/>
        <v>1</v>
      </c>
      <c r="CO516" s="10">
        <f>(YEAR(AO516)-YEAR(AJ516))*12+MONTH(AO516)-MONTH(AJ516)</f>
        <v>39</v>
      </c>
      <c r="CP516" s="10" t="b">
        <f t="shared" si="204"/>
        <v>1</v>
      </c>
      <c r="CQ516" s="10" t="b">
        <f t="shared" si="205"/>
        <v>1</v>
      </c>
      <c r="CR516" s="10" cm="1">
        <f t="array" ref="CR516">_xlfn.IFS(AND($CI516=0, CK516=FALSE), NA(), AND($CI516=1, CK516=FALSE), 0, CK516=TRUE, 1)</f>
        <v>1</v>
      </c>
      <c r="CS516" s="10" cm="1">
        <f t="array" ref="CS516">_xlfn.IFS(AND($CI516=0, CL516=FALSE), NA(), AND($CI516=1, CL516=FALSE), 0, CL516=TRUE, 1)</f>
        <v>1</v>
      </c>
      <c r="CT516" s="10" cm="1">
        <f t="array" ref="CT516">_xlfn.IFS(AND($CI516=0, CM516=FALSE), NA(), AND($CI516=1, CM516=FALSE), 0, CM516=TRUE, 1)</f>
        <v>1</v>
      </c>
      <c r="CU516" s="10" cm="1">
        <f t="array" ref="CU516">_xlfn.IFS(AND($CN516=0, CP516=FALSE), NA(), AND($CN516=1, CP516=FALSE), 0, CP516=TRUE, 1)</f>
        <v>1</v>
      </c>
      <c r="CV516" s="10" cm="1">
        <f t="array" ref="CV516">_xlfn.IFS(AND($CN516=0, CQ516=FALSE), NA(), AND($CN516=1, CQ516=FALSE), 0, CQ516=TRUE, 1)</f>
        <v>1</v>
      </c>
    </row>
    <row r="517" spans="1:100" ht="15.75" x14ac:dyDescent="0.25">
      <c r="A517" s="8">
        <v>516</v>
      </c>
      <c r="B517" s="9">
        <v>323</v>
      </c>
      <c r="C517" s="10" t="s">
        <v>25</v>
      </c>
      <c r="D517" s="11" t="s">
        <v>270</v>
      </c>
      <c r="E517" s="12">
        <v>23560</v>
      </c>
      <c r="F517" s="13">
        <v>1</v>
      </c>
      <c r="G517" s="9">
        <v>53.333332061767578</v>
      </c>
      <c r="H517" s="12">
        <v>43040</v>
      </c>
      <c r="I517" s="9">
        <v>0</v>
      </c>
      <c r="J517" s="12"/>
      <c r="K517" s="9">
        <v>1</v>
      </c>
      <c r="L517" s="9">
        <v>1</v>
      </c>
      <c r="M517" s="10" t="s">
        <v>401</v>
      </c>
      <c r="N517" s="9">
        <v>2</v>
      </c>
      <c r="O517" s="10" t="s">
        <v>420</v>
      </c>
      <c r="P517" s="9">
        <v>2</v>
      </c>
      <c r="Q517" s="10" t="s">
        <v>147</v>
      </c>
      <c r="R517" s="12">
        <v>43051</v>
      </c>
      <c r="S517" s="10" t="s">
        <v>146</v>
      </c>
      <c r="T517" s="9"/>
      <c r="U517" s="10" t="s">
        <v>401</v>
      </c>
      <c r="V517" s="10" t="s">
        <v>401</v>
      </c>
      <c r="W517" s="9"/>
      <c r="X517" s="9"/>
      <c r="Y517" s="9">
        <v>2</v>
      </c>
      <c r="Z517" s="14">
        <v>2</v>
      </c>
      <c r="AA517" s="15"/>
      <c r="AB517" s="16"/>
      <c r="AC517" s="16"/>
      <c r="AD517" s="9">
        <v>2</v>
      </c>
      <c r="AE517" s="9">
        <v>2</v>
      </c>
      <c r="AF517" s="9">
        <v>1</v>
      </c>
      <c r="AG517" s="9">
        <v>1</v>
      </c>
      <c r="AH517" s="9">
        <v>1</v>
      </c>
      <c r="AI517" s="9">
        <v>1</v>
      </c>
      <c r="AJ517" s="12">
        <v>43286</v>
      </c>
      <c r="AK517" s="9">
        <v>2</v>
      </c>
      <c r="AL517" s="12">
        <v>43361</v>
      </c>
      <c r="AM517" s="9">
        <v>4</v>
      </c>
      <c r="AN517" s="12">
        <v>43356</v>
      </c>
      <c r="AO517" s="12">
        <v>43356</v>
      </c>
      <c r="AP517" s="12">
        <v>43356</v>
      </c>
      <c r="AQ517" s="9">
        <v>1</v>
      </c>
      <c r="AR517" s="9">
        <f t="shared" si="195"/>
        <v>1</v>
      </c>
      <c r="AS517" s="9">
        <v>1</v>
      </c>
      <c r="AT517" s="9">
        <v>2</v>
      </c>
      <c r="AU517" s="9">
        <v>2</v>
      </c>
      <c r="AV517" s="9">
        <f t="shared" si="196"/>
        <v>1</v>
      </c>
      <c r="AW517" s="12">
        <v>43727</v>
      </c>
      <c r="AX517" s="9">
        <v>3980</v>
      </c>
      <c r="AY517" s="9">
        <v>2600</v>
      </c>
      <c r="AZ517" s="9">
        <v>1100</v>
      </c>
      <c r="BA517" s="9">
        <v>2600</v>
      </c>
      <c r="BB517" s="9">
        <v>1100.0001220703125</v>
      </c>
      <c r="BC517" s="9">
        <v>204000</v>
      </c>
      <c r="BD517" s="9">
        <v>300</v>
      </c>
      <c r="BE517" s="9">
        <v>100</v>
      </c>
      <c r="BF517" s="9">
        <v>183</v>
      </c>
      <c r="BG517" s="9">
        <v>6070</v>
      </c>
      <c r="BH517" s="9">
        <v>4100</v>
      </c>
      <c r="BI517" s="9">
        <v>1300</v>
      </c>
      <c r="BJ517" s="9">
        <v>264000</v>
      </c>
      <c r="BK517" s="9">
        <v>400</v>
      </c>
      <c r="BL517" s="9">
        <v>100</v>
      </c>
      <c r="BM517" s="9">
        <v>183</v>
      </c>
      <c r="BN517" s="9">
        <v>6120</v>
      </c>
      <c r="BO517" s="9">
        <v>4300</v>
      </c>
      <c r="BP517" s="9">
        <v>1200</v>
      </c>
      <c r="BQ517" s="9">
        <v>234000</v>
      </c>
      <c r="BR517" s="9">
        <v>400</v>
      </c>
      <c r="BS517" s="9">
        <v>300</v>
      </c>
      <c r="BT517" s="9">
        <v>121</v>
      </c>
      <c r="BU517" s="9">
        <v>6180</v>
      </c>
      <c r="BV517" s="9">
        <v>6500</v>
      </c>
      <c r="BW517" s="9">
        <v>4000</v>
      </c>
      <c r="BX517" s="9">
        <v>302000</v>
      </c>
      <c r="BY517" s="9">
        <v>0</v>
      </c>
      <c r="BZ517" s="10" t="s">
        <v>442</v>
      </c>
      <c r="CA517" s="9">
        <v>0</v>
      </c>
      <c r="CB517" s="9">
        <v>138</v>
      </c>
      <c r="CC517" s="10">
        <f t="shared" si="197"/>
        <v>2.3636361013365477</v>
      </c>
      <c r="CD517" s="10">
        <f t="shared" si="198"/>
        <v>185.45452487409835</v>
      </c>
      <c r="CE517" s="10">
        <f t="shared" si="189"/>
        <v>482181.76467265573</v>
      </c>
      <c r="CF517" s="10">
        <f t="shared" si="190"/>
        <v>0</v>
      </c>
      <c r="CG517" s="10">
        <f t="shared" si="192"/>
        <v>0</v>
      </c>
      <c r="CH517" s="10">
        <f t="shared" si="193"/>
        <v>2</v>
      </c>
      <c r="CI517" s="9">
        <f t="shared" si="199"/>
        <v>1</v>
      </c>
      <c r="CJ517" s="10">
        <f t="shared" si="194"/>
        <v>14</v>
      </c>
      <c r="CK517" s="10" t="b">
        <f t="shared" si="200"/>
        <v>1</v>
      </c>
      <c r="CL517" s="10" t="b">
        <f t="shared" si="201"/>
        <v>0</v>
      </c>
      <c r="CM517" s="10" t="b">
        <f t="shared" si="202"/>
        <v>0</v>
      </c>
      <c r="CN517" s="9">
        <f t="shared" si="203"/>
        <v>1</v>
      </c>
      <c r="CO517" s="10">
        <f>(YEAR(AO517)-YEAR(AJ517))*12+MONTH(AO517)-MONTH(AJ517)</f>
        <v>2</v>
      </c>
      <c r="CP517" s="10" t="b">
        <f t="shared" si="204"/>
        <v>0</v>
      </c>
      <c r="CQ517" s="10" t="b">
        <f t="shared" si="205"/>
        <v>0</v>
      </c>
      <c r="CR517" s="10" cm="1">
        <f t="array" ref="CR517">_xlfn.IFS(AND($CI517=0, CK517=FALSE), NA(), AND($CI517=1, CK517=FALSE), 0, CK517=TRUE, 1)</f>
        <v>1</v>
      </c>
      <c r="CS517" s="10" cm="1">
        <f t="array" ref="CS517">_xlfn.IFS(AND($CI517=0, CL517=FALSE), NA(), AND($CI517=1, CL517=FALSE), 0, CL517=TRUE, 1)</f>
        <v>0</v>
      </c>
      <c r="CT517" s="10" cm="1">
        <f t="array" ref="CT517">_xlfn.IFS(AND($CI517=0, CM517=FALSE), NA(), AND($CI517=1, CM517=FALSE), 0, CM517=TRUE, 1)</f>
        <v>0</v>
      </c>
      <c r="CU517" s="10" cm="1">
        <f t="array" ref="CU517">_xlfn.IFS(AND($CN517=0, CP517=FALSE), NA(), AND($CN517=1, CP517=FALSE), 0, CP517=TRUE, 1)</f>
        <v>0</v>
      </c>
      <c r="CV517" s="10" cm="1">
        <f t="array" ref="CV517">_xlfn.IFS(AND($CN517=0, CQ517=FALSE), NA(), AND($CN517=1, CQ517=FALSE), 0, CQ517=TRUE, 1)</f>
        <v>0</v>
      </c>
    </row>
    <row r="518" spans="1:100" ht="15.75" x14ac:dyDescent="0.25">
      <c r="A518" s="8">
        <v>517</v>
      </c>
      <c r="B518" s="9">
        <v>176</v>
      </c>
      <c r="C518" s="10" t="s">
        <v>17</v>
      </c>
      <c r="D518" s="11" t="s">
        <v>186</v>
      </c>
      <c r="E518" s="12">
        <v>20883</v>
      </c>
      <c r="F518" s="13">
        <v>1</v>
      </c>
      <c r="G518" s="9">
        <v>60.665298461914063</v>
      </c>
      <c r="H518" s="12">
        <v>43041</v>
      </c>
      <c r="I518" s="9">
        <v>1</v>
      </c>
      <c r="J518" s="12">
        <v>43041</v>
      </c>
      <c r="K518" s="9">
        <v>1</v>
      </c>
      <c r="L518" s="9">
        <v>1</v>
      </c>
      <c r="M518" s="10" t="s">
        <v>401</v>
      </c>
      <c r="N518" s="9">
        <v>2</v>
      </c>
      <c r="O518" s="10" t="s">
        <v>145</v>
      </c>
      <c r="P518" s="9">
        <v>2</v>
      </c>
      <c r="Q518" s="10" t="s">
        <v>145</v>
      </c>
      <c r="R518" s="12">
        <v>43096</v>
      </c>
      <c r="S518" s="10" t="s">
        <v>146</v>
      </c>
      <c r="T518" s="9"/>
      <c r="U518" s="10" t="s">
        <v>401</v>
      </c>
      <c r="V518" s="10" t="s">
        <v>401</v>
      </c>
      <c r="W518" s="9"/>
      <c r="X518" s="9"/>
      <c r="Y518" s="9">
        <v>2</v>
      </c>
      <c r="Z518" s="14">
        <v>2</v>
      </c>
      <c r="AA518" s="15">
        <v>8.1999999999999993</v>
      </c>
      <c r="AB518" s="16">
        <v>90</v>
      </c>
      <c r="AC518" s="16">
        <v>22</v>
      </c>
      <c r="AD518" s="9">
        <v>3</v>
      </c>
      <c r="AE518" s="9">
        <v>3</v>
      </c>
      <c r="AF518" s="9">
        <v>1</v>
      </c>
      <c r="AG518" s="9">
        <v>1</v>
      </c>
      <c r="AH518" s="9">
        <v>1</v>
      </c>
      <c r="AI518" s="9">
        <v>1</v>
      </c>
      <c r="AJ518" s="12">
        <v>43259</v>
      </c>
      <c r="AK518" s="9">
        <v>2</v>
      </c>
      <c r="AL518" s="12">
        <v>43480</v>
      </c>
      <c r="AM518" s="9">
        <v>3</v>
      </c>
      <c r="AN518" s="12">
        <v>43332</v>
      </c>
      <c r="AO518" s="12">
        <v>43501</v>
      </c>
      <c r="AP518" s="12">
        <v>43501</v>
      </c>
      <c r="AQ518" s="9">
        <v>1</v>
      </c>
      <c r="AR518" s="9">
        <f t="shared" si="195"/>
        <v>1</v>
      </c>
      <c r="AS518" s="9">
        <v>1</v>
      </c>
      <c r="AT518" s="9">
        <v>2</v>
      </c>
      <c r="AU518" s="9">
        <v>2</v>
      </c>
      <c r="AV518" s="9">
        <f t="shared" si="196"/>
        <v>1</v>
      </c>
      <c r="AW518" s="12">
        <v>43518</v>
      </c>
      <c r="AX518" s="9">
        <v>12150</v>
      </c>
      <c r="AY518" s="9">
        <v>10300</v>
      </c>
      <c r="AZ518" s="9">
        <v>900</v>
      </c>
      <c r="BA518" s="9">
        <v>10300</v>
      </c>
      <c r="BB518" s="9">
        <v>900.0001220703125</v>
      </c>
      <c r="BC518" s="9">
        <v>453000</v>
      </c>
      <c r="BD518" s="9">
        <v>800</v>
      </c>
      <c r="BE518" s="9">
        <v>100</v>
      </c>
      <c r="BF518" s="9"/>
      <c r="BG518" s="9">
        <v>9100</v>
      </c>
      <c r="BH518" s="9">
        <v>7700</v>
      </c>
      <c r="BI518" s="9">
        <v>900</v>
      </c>
      <c r="BJ518" s="9">
        <v>193000</v>
      </c>
      <c r="BK518" s="9">
        <v>400</v>
      </c>
      <c r="BL518" s="9">
        <v>100</v>
      </c>
      <c r="BM518" s="9"/>
      <c r="BN518" s="9">
        <v>8700</v>
      </c>
      <c r="BO518" s="9">
        <v>6100</v>
      </c>
      <c r="BP518" s="9">
        <v>1500</v>
      </c>
      <c r="BQ518" s="9">
        <v>205000</v>
      </c>
      <c r="BR518" s="9">
        <v>700</v>
      </c>
      <c r="BS518" s="9">
        <v>300</v>
      </c>
      <c r="BT518" s="9"/>
      <c r="BU518" s="9">
        <v>8380</v>
      </c>
      <c r="BV518" s="9">
        <v>6000</v>
      </c>
      <c r="BW518" s="9">
        <v>1300</v>
      </c>
      <c r="BX518" s="9">
        <v>225000</v>
      </c>
      <c r="BY518" s="9">
        <v>700</v>
      </c>
      <c r="BZ518" s="10" t="s">
        <v>542</v>
      </c>
      <c r="CA518" s="9">
        <v>300</v>
      </c>
      <c r="CB518" s="9"/>
      <c r="CC518" s="10">
        <f t="shared" si="197"/>
        <v>11.444442892192534</v>
      </c>
      <c r="CD518" s="10">
        <f t="shared" si="198"/>
        <v>503.33326506439005</v>
      </c>
      <c r="CE518" s="10">
        <f t="shared" si="189"/>
        <v>5184332.6301632179</v>
      </c>
      <c r="CF518" s="10">
        <f t="shared" si="190"/>
        <v>1</v>
      </c>
      <c r="CG518" s="10">
        <f t="shared" si="192"/>
        <v>0</v>
      </c>
      <c r="CH518" s="10">
        <f t="shared" si="193"/>
        <v>7</v>
      </c>
      <c r="CI518" s="9">
        <f t="shared" si="199"/>
        <v>1</v>
      </c>
      <c r="CJ518" s="10">
        <f t="shared" si="194"/>
        <v>8</v>
      </c>
      <c r="CK518" s="10" t="b">
        <f t="shared" si="200"/>
        <v>1</v>
      </c>
      <c r="CL518" s="10" t="b">
        <f t="shared" si="201"/>
        <v>0</v>
      </c>
      <c r="CM518" s="10" t="b">
        <f t="shared" si="202"/>
        <v>0</v>
      </c>
      <c r="CN518" s="9">
        <f t="shared" si="203"/>
        <v>1</v>
      </c>
      <c r="CO518" s="10">
        <f>(YEAR(AO518)-YEAR(AJ518))*12+MONTH(AO518)-MONTH(AJ518)</f>
        <v>8</v>
      </c>
      <c r="CP518" s="10" t="b">
        <f t="shared" si="204"/>
        <v>1</v>
      </c>
      <c r="CQ518" s="10" t="b">
        <f t="shared" si="205"/>
        <v>0</v>
      </c>
      <c r="CR518" s="10" cm="1">
        <f t="array" ref="CR518">_xlfn.IFS(AND($CI518=0, CK518=FALSE), NA(), AND($CI518=1, CK518=FALSE), 0, CK518=TRUE, 1)</f>
        <v>1</v>
      </c>
      <c r="CS518" s="10" cm="1">
        <f t="array" ref="CS518">_xlfn.IFS(AND($CI518=0, CL518=FALSE), NA(), AND($CI518=1, CL518=FALSE), 0, CL518=TRUE, 1)</f>
        <v>0</v>
      </c>
      <c r="CT518" s="10" cm="1">
        <f t="array" ref="CT518">_xlfn.IFS(AND($CI518=0, CM518=FALSE), NA(), AND($CI518=1, CM518=FALSE), 0, CM518=TRUE, 1)</f>
        <v>0</v>
      </c>
      <c r="CU518" s="10" cm="1">
        <f t="array" ref="CU518">_xlfn.IFS(AND($CN518=0, CP518=FALSE), NA(), AND($CN518=1, CP518=FALSE), 0, CP518=TRUE, 1)</f>
        <v>1</v>
      </c>
      <c r="CV518" s="10" cm="1">
        <f t="array" ref="CV518">_xlfn.IFS(AND($CN518=0, CQ518=FALSE), NA(), AND($CN518=1, CQ518=FALSE), 0, CQ518=TRUE, 1)</f>
        <v>0</v>
      </c>
    </row>
    <row r="519" spans="1:100" ht="15.75" x14ac:dyDescent="0.25">
      <c r="A519" s="8">
        <v>518</v>
      </c>
      <c r="B519" s="9">
        <v>48</v>
      </c>
      <c r="C519" s="10" t="s">
        <v>7</v>
      </c>
      <c r="D519" s="11" t="s">
        <v>82</v>
      </c>
      <c r="E519" s="12">
        <v>20661</v>
      </c>
      <c r="F519" s="13">
        <v>1</v>
      </c>
      <c r="G519" s="9">
        <v>61.273101806640625</v>
      </c>
      <c r="H519" s="12">
        <v>43041</v>
      </c>
      <c r="I519" s="9">
        <v>1</v>
      </c>
      <c r="J519" s="12">
        <v>43066</v>
      </c>
      <c r="K519" s="9">
        <v>1</v>
      </c>
      <c r="L519" s="9">
        <v>1</v>
      </c>
      <c r="M519" s="10" t="s">
        <v>401</v>
      </c>
      <c r="N519" s="9">
        <v>2</v>
      </c>
      <c r="O519" s="10" t="s">
        <v>412</v>
      </c>
      <c r="P519" s="9">
        <v>2</v>
      </c>
      <c r="Q519" s="10" t="s">
        <v>412</v>
      </c>
      <c r="R519" s="12">
        <v>43041</v>
      </c>
      <c r="S519" s="10" t="s">
        <v>145</v>
      </c>
      <c r="T519" s="9">
        <v>4</v>
      </c>
      <c r="U519" s="10" t="s">
        <v>401</v>
      </c>
      <c r="V519" s="10" t="s">
        <v>401</v>
      </c>
      <c r="W519" s="9"/>
      <c r="X519" s="9"/>
      <c r="Y519" s="9">
        <v>3</v>
      </c>
      <c r="Z519" s="14">
        <v>1</v>
      </c>
      <c r="AA519" s="21">
        <v>10</v>
      </c>
      <c r="AB519" s="22">
        <v>99</v>
      </c>
      <c r="AC519" s="22">
        <v>15.9</v>
      </c>
      <c r="AD519" s="9">
        <v>3</v>
      </c>
      <c r="AE519" s="9">
        <v>2</v>
      </c>
      <c r="AF519" s="9">
        <v>1</v>
      </c>
      <c r="AG519" s="9">
        <v>1</v>
      </c>
      <c r="AH519" s="9">
        <v>1</v>
      </c>
      <c r="AI519" s="9">
        <v>1</v>
      </c>
      <c r="AJ519" s="12">
        <v>43621</v>
      </c>
      <c r="AK519" s="9">
        <v>1</v>
      </c>
      <c r="AL519" s="12">
        <v>44928</v>
      </c>
      <c r="AM519" s="9">
        <v>3</v>
      </c>
      <c r="AN519" s="12">
        <v>43699</v>
      </c>
      <c r="AO519" s="12"/>
      <c r="AP519" s="12"/>
      <c r="AQ519" s="9">
        <v>2</v>
      </c>
      <c r="AR519" s="9">
        <f t="shared" si="195"/>
        <v>0</v>
      </c>
      <c r="AS519" s="9">
        <v>2</v>
      </c>
      <c r="AT519" s="9"/>
      <c r="AU519" s="9">
        <v>1</v>
      </c>
      <c r="AV519" s="9">
        <f t="shared" si="196"/>
        <v>0</v>
      </c>
      <c r="AW519" s="12">
        <v>44928</v>
      </c>
      <c r="AX519" s="9">
        <v>7130</v>
      </c>
      <c r="AY519" s="9">
        <v>4620</v>
      </c>
      <c r="AZ519" s="9">
        <v>1620</v>
      </c>
      <c r="BA519" s="9">
        <v>4620</v>
      </c>
      <c r="BB519" s="9">
        <v>1620.000244140625</v>
      </c>
      <c r="BC519" s="9">
        <v>433000</v>
      </c>
      <c r="BD519" s="9">
        <v>740</v>
      </c>
      <c r="BE519" s="9">
        <v>120</v>
      </c>
      <c r="BF519" s="9">
        <v>138</v>
      </c>
      <c r="BG519" s="9">
        <v>5090</v>
      </c>
      <c r="BH519" s="9">
        <v>2960</v>
      </c>
      <c r="BI519" s="9">
        <v>1470</v>
      </c>
      <c r="BJ519" s="9">
        <v>267000</v>
      </c>
      <c r="BK519" s="9">
        <v>440</v>
      </c>
      <c r="BL519" s="9">
        <v>190</v>
      </c>
      <c r="BM519" s="9">
        <v>166</v>
      </c>
      <c r="BN519" s="9">
        <v>6990</v>
      </c>
      <c r="BO519" s="9">
        <v>4390</v>
      </c>
      <c r="BP519" s="9">
        <v>1730</v>
      </c>
      <c r="BQ519" s="9">
        <v>235000</v>
      </c>
      <c r="BR519" s="9">
        <v>600</v>
      </c>
      <c r="BS519" s="9">
        <v>240</v>
      </c>
      <c r="BT519" s="9">
        <v>159</v>
      </c>
      <c r="BU519" s="9">
        <v>6600</v>
      </c>
      <c r="BV519" s="9">
        <v>4320</v>
      </c>
      <c r="BW519" s="9">
        <v>1520</v>
      </c>
      <c r="BX519" s="9">
        <v>231000</v>
      </c>
      <c r="BY519" s="9">
        <v>560</v>
      </c>
      <c r="BZ519" s="10" t="s">
        <v>536</v>
      </c>
      <c r="CA519" s="9">
        <v>160</v>
      </c>
      <c r="CB519" s="9">
        <v>195</v>
      </c>
      <c r="CC519" s="10">
        <f t="shared" si="197"/>
        <v>2.8518514220661797</v>
      </c>
      <c r="CD519" s="10">
        <f t="shared" si="198"/>
        <v>267.28391033650558</v>
      </c>
      <c r="CE519" s="10">
        <f t="shared" si="189"/>
        <v>1234851.6657546558</v>
      </c>
      <c r="CF519" s="10">
        <f t="shared" si="190"/>
        <v>1</v>
      </c>
      <c r="CG519" s="10">
        <f t="shared" si="192"/>
        <v>0</v>
      </c>
      <c r="CH519" s="10">
        <f t="shared" si="193"/>
        <v>43</v>
      </c>
      <c r="CI519" s="9">
        <f t="shared" si="199"/>
        <v>0</v>
      </c>
      <c r="CJ519" s="10">
        <f t="shared" si="194"/>
        <v>43</v>
      </c>
      <c r="CK519" s="10" t="b">
        <f t="shared" si="200"/>
        <v>1</v>
      </c>
      <c r="CL519" s="10" t="b">
        <f t="shared" si="201"/>
        <v>1</v>
      </c>
      <c r="CM519" s="10" t="b">
        <f t="shared" si="202"/>
        <v>1</v>
      </c>
      <c r="CN519" s="9">
        <f t="shared" si="203"/>
        <v>0</v>
      </c>
      <c r="CO519" s="10">
        <f>CJ519</f>
        <v>43</v>
      </c>
      <c r="CP519" s="10" t="b">
        <f t="shared" si="204"/>
        <v>1</v>
      </c>
      <c r="CQ519" s="10" t="b">
        <f t="shared" si="205"/>
        <v>1</v>
      </c>
      <c r="CR519" s="10" cm="1">
        <f t="array" ref="CR519">_xlfn.IFS(AND($CI519=0, CK519=FALSE), NA(), AND($CI519=1, CK519=FALSE), 0, CK519=TRUE, 1)</f>
        <v>1</v>
      </c>
      <c r="CS519" s="10" cm="1">
        <f t="array" ref="CS519">_xlfn.IFS(AND($CI519=0, CL519=FALSE), NA(), AND($CI519=1, CL519=FALSE), 0, CL519=TRUE, 1)</f>
        <v>1</v>
      </c>
      <c r="CT519" s="10" cm="1">
        <f t="array" ref="CT519">_xlfn.IFS(AND($CI519=0, CM519=FALSE), NA(), AND($CI519=1, CM519=FALSE), 0, CM519=TRUE, 1)</f>
        <v>1</v>
      </c>
      <c r="CU519" s="10" cm="1">
        <f t="array" ref="CU519">_xlfn.IFS(AND($CN519=0, CP519=FALSE), NA(), AND($CN519=1, CP519=FALSE), 0, CP519=TRUE, 1)</f>
        <v>1</v>
      </c>
      <c r="CV519" s="10" cm="1">
        <f t="array" ref="CV519">_xlfn.IFS(AND($CN519=0, CQ519=FALSE), NA(), AND($CN519=1, CQ519=FALSE), 0, CQ519=TRUE, 1)</f>
        <v>1</v>
      </c>
    </row>
    <row r="520" spans="1:100" x14ac:dyDescent="0.25">
      <c r="A520" s="8">
        <v>519</v>
      </c>
      <c r="B520" s="9">
        <v>477</v>
      </c>
      <c r="C520" s="10" t="s">
        <v>31</v>
      </c>
      <c r="D520" s="11" t="s">
        <v>370</v>
      </c>
      <c r="E520" s="12"/>
      <c r="F520" s="13">
        <v>2</v>
      </c>
      <c r="G520" s="9">
        <v>50</v>
      </c>
      <c r="H520" s="12">
        <v>43045</v>
      </c>
      <c r="I520" s="9">
        <v>1</v>
      </c>
      <c r="J520" s="12">
        <v>43292</v>
      </c>
      <c r="K520" s="9">
        <v>1</v>
      </c>
      <c r="L520" s="9">
        <v>1</v>
      </c>
      <c r="M520" s="10" t="s">
        <v>401</v>
      </c>
      <c r="N520" s="9">
        <v>2</v>
      </c>
      <c r="O520" s="10" t="s">
        <v>145</v>
      </c>
      <c r="P520" s="9">
        <v>2</v>
      </c>
      <c r="Q520" s="10" t="s">
        <v>145</v>
      </c>
      <c r="R520" s="12">
        <v>43038</v>
      </c>
      <c r="S520" s="10" t="s">
        <v>145</v>
      </c>
      <c r="T520" s="9"/>
      <c r="U520" s="10" t="s">
        <v>401</v>
      </c>
      <c r="V520" s="10" t="s">
        <v>401</v>
      </c>
      <c r="W520" s="9"/>
      <c r="X520" s="9"/>
      <c r="Y520" s="9">
        <v>2</v>
      </c>
      <c r="Z520" s="19">
        <v>1</v>
      </c>
      <c r="AB520" s="9"/>
      <c r="AC520" s="9"/>
      <c r="AD520" s="9">
        <v>2</v>
      </c>
      <c r="AE520" s="9">
        <v>2</v>
      </c>
      <c r="AF520" s="9">
        <v>1</v>
      </c>
      <c r="AG520" s="9">
        <v>0</v>
      </c>
      <c r="AH520" s="9">
        <v>1</v>
      </c>
      <c r="AI520" s="9">
        <v>1</v>
      </c>
      <c r="AJ520" s="12">
        <v>43390</v>
      </c>
      <c r="AK520" s="9">
        <v>2</v>
      </c>
      <c r="AL520" s="12">
        <v>43552</v>
      </c>
      <c r="AM520" s="9">
        <v>3</v>
      </c>
      <c r="AN520" s="12">
        <v>43507</v>
      </c>
      <c r="AO520" s="12">
        <v>43558</v>
      </c>
      <c r="AP520" s="12">
        <v>43558</v>
      </c>
      <c r="AQ520" s="9">
        <v>1</v>
      </c>
      <c r="AR520" s="9">
        <f t="shared" si="195"/>
        <v>1</v>
      </c>
      <c r="AS520" s="9">
        <v>1</v>
      </c>
      <c r="AT520" s="9">
        <v>2</v>
      </c>
      <c r="AU520" s="9">
        <v>2</v>
      </c>
      <c r="AV520" s="9">
        <f t="shared" si="196"/>
        <v>1</v>
      </c>
      <c r="AW520" s="12">
        <v>44433</v>
      </c>
      <c r="AX520" s="9">
        <v>5510</v>
      </c>
      <c r="AY520" s="9">
        <v>1440</v>
      </c>
      <c r="AZ520" s="9">
        <v>3500</v>
      </c>
      <c r="BA520" s="9">
        <v>1440</v>
      </c>
      <c r="BB520" s="9">
        <v>3500.00146484375</v>
      </c>
      <c r="BC520" s="9">
        <v>279000</v>
      </c>
      <c r="BD520" s="9">
        <v>460</v>
      </c>
      <c r="BE520" s="9">
        <v>700</v>
      </c>
      <c r="BF520" s="9">
        <v>298</v>
      </c>
      <c r="BG520" s="9">
        <v>8580</v>
      </c>
      <c r="BH520" s="9">
        <v>5190</v>
      </c>
      <c r="BI520" s="9">
        <v>2580</v>
      </c>
      <c r="BJ520" s="9">
        <v>371000</v>
      </c>
      <c r="BK520" s="9">
        <v>670</v>
      </c>
      <c r="BL520" s="9">
        <v>800</v>
      </c>
      <c r="BM520" s="9">
        <v>357</v>
      </c>
      <c r="BN520" s="9">
        <v>5950</v>
      </c>
      <c r="BO520" s="9">
        <v>2790</v>
      </c>
      <c r="BP520" s="9">
        <v>2540</v>
      </c>
      <c r="BQ520" s="9">
        <v>254000</v>
      </c>
      <c r="BR520" s="9">
        <v>440</v>
      </c>
      <c r="BS520" s="9">
        <v>140</v>
      </c>
      <c r="BT520" s="9">
        <v>348</v>
      </c>
      <c r="BU520" s="9">
        <v>6460</v>
      </c>
      <c r="BV520" s="9">
        <v>2370</v>
      </c>
      <c r="BW520" s="9">
        <v>3210</v>
      </c>
      <c r="BX520" s="9">
        <v>279000</v>
      </c>
      <c r="BY520" s="9">
        <v>610</v>
      </c>
      <c r="BZ520" s="10" t="s">
        <v>524</v>
      </c>
      <c r="CA520" s="9">
        <v>200</v>
      </c>
      <c r="CB520" s="9">
        <v>378</v>
      </c>
      <c r="CC520" s="10">
        <f t="shared" si="197"/>
        <v>0.41142839923476593</v>
      </c>
      <c r="CD520" s="10">
        <f t="shared" si="198"/>
        <v>79.714252351735908</v>
      </c>
      <c r="CE520" s="10">
        <f t="shared" si="189"/>
        <v>114788.5233864997</v>
      </c>
      <c r="CF520" s="10">
        <f t="shared" si="190"/>
        <v>1</v>
      </c>
      <c r="CG520" s="10">
        <f t="shared" si="192"/>
        <v>0</v>
      </c>
      <c r="CH520" s="10">
        <f t="shared" si="193"/>
        <v>5</v>
      </c>
      <c r="CI520" s="9">
        <f t="shared" si="199"/>
        <v>1</v>
      </c>
      <c r="CJ520" s="10">
        <f t="shared" si="194"/>
        <v>34</v>
      </c>
      <c r="CK520" s="10" t="b">
        <f t="shared" si="200"/>
        <v>1</v>
      </c>
      <c r="CL520" s="10" t="b">
        <f t="shared" si="201"/>
        <v>1</v>
      </c>
      <c r="CM520" s="10" t="b">
        <f t="shared" si="202"/>
        <v>1</v>
      </c>
      <c r="CN520" s="9">
        <f t="shared" si="203"/>
        <v>1</v>
      </c>
      <c r="CO520" s="10">
        <f t="shared" ref="CO520:CO533" si="206">(YEAR(AO520)-YEAR(AJ520))*12+MONTH(AO520)-MONTH(AJ520)</f>
        <v>6</v>
      </c>
      <c r="CP520" s="10" t="b">
        <f t="shared" si="204"/>
        <v>1</v>
      </c>
      <c r="CQ520" s="10" t="b">
        <f t="shared" si="205"/>
        <v>0</v>
      </c>
      <c r="CR520" s="10" cm="1">
        <f t="array" ref="CR520">_xlfn.IFS(AND($CI520=0, CK520=FALSE), NA(), AND($CI520=1, CK520=FALSE), 0, CK520=TRUE, 1)</f>
        <v>1</v>
      </c>
      <c r="CS520" s="10" cm="1">
        <f t="array" ref="CS520">_xlfn.IFS(AND($CI520=0, CL520=FALSE), NA(), AND($CI520=1, CL520=FALSE), 0, CL520=TRUE, 1)</f>
        <v>1</v>
      </c>
      <c r="CT520" s="10" cm="1">
        <f t="array" ref="CT520">_xlfn.IFS(AND($CI520=0, CM520=FALSE), NA(), AND($CI520=1, CM520=FALSE), 0, CM520=TRUE, 1)</f>
        <v>1</v>
      </c>
      <c r="CU520" s="10" cm="1">
        <f t="array" ref="CU520">_xlfn.IFS(AND($CN520=0, CP520=FALSE), NA(), AND($CN520=1, CP520=FALSE), 0, CP520=TRUE, 1)</f>
        <v>1</v>
      </c>
      <c r="CV520" s="10" cm="1">
        <f t="array" ref="CV520">_xlfn.IFS(AND($CN520=0, CQ520=FALSE), NA(), AND($CN520=1, CQ520=FALSE), 0, CQ520=TRUE, 1)</f>
        <v>0</v>
      </c>
    </row>
    <row r="521" spans="1:100" ht="15.75" x14ac:dyDescent="0.25">
      <c r="A521" s="8">
        <v>520</v>
      </c>
      <c r="B521" s="9">
        <v>45</v>
      </c>
      <c r="C521" s="10" t="s">
        <v>7</v>
      </c>
      <c r="D521" s="11" t="s">
        <v>79</v>
      </c>
      <c r="E521" s="12">
        <v>15768</v>
      </c>
      <c r="F521" s="13">
        <v>2</v>
      </c>
      <c r="G521" s="9">
        <v>74.685829162597656</v>
      </c>
      <c r="H521" s="12">
        <v>43047</v>
      </c>
      <c r="I521" s="9">
        <v>1</v>
      </c>
      <c r="J521" s="12">
        <v>43047</v>
      </c>
      <c r="K521" s="9">
        <v>1</v>
      </c>
      <c r="L521" s="9">
        <v>1</v>
      </c>
      <c r="M521" s="10" t="s">
        <v>401</v>
      </c>
      <c r="N521" s="9">
        <v>2</v>
      </c>
      <c r="O521" s="10" t="s">
        <v>412</v>
      </c>
      <c r="P521" s="9">
        <v>2</v>
      </c>
      <c r="Q521" s="10" t="s">
        <v>409</v>
      </c>
      <c r="R521" s="12">
        <v>43047</v>
      </c>
      <c r="S521" s="10" t="s">
        <v>145</v>
      </c>
      <c r="T521" s="9"/>
      <c r="U521" s="10" t="s">
        <v>401</v>
      </c>
      <c r="V521" s="10" t="s">
        <v>401</v>
      </c>
      <c r="W521" s="9"/>
      <c r="X521" s="9"/>
      <c r="Y521" s="9">
        <v>2</v>
      </c>
      <c r="Z521" s="14">
        <v>1</v>
      </c>
      <c r="AA521" s="21">
        <v>9.5</v>
      </c>
      <c r="AB521" s="22">
        <v>102</v>
      </c>
      <c r="AC521" s="22">
        <v>14.6</v>
      </c>
      <c r="AD521" s="9">
        <v>2</v>
      </c>
      <c r="AE521" s="9">
        <v>2</v>
      </c>
      <c r="AF521" s="9">
        <v>1</v>
      </c>
      <c r="AG521" s="9">
        <v>1</v>
      </c>
      <c r="AH521" s="9">
        <v>1</v>
      </c>
      <c r="AI521" s="9">
        <v>0</v>
      </c>
      <c r="AJ521" s="12">
        <v>43228</v>
      </c>
      <c r="AK521" s="9">
        <v>2</v>
      </c>
      <c r="AL521" s="12">
        <v>44454</v>
      </c>
      <c r="AM521" s="9">
        <v>2</v>
      </c>
      <c r="AN521" s="12">
        <v>43384</v>
      </c>
      <c r="AO521" s="12">
        <v>44467</v>
      </c>
      <c r="AP521" s="12">
        <v>44467</v>
      </c>
      <c r="AQ521" s="9">
        <v>1</v>
      </c>
      <c r="AR521" s="9">
        <f t="shared" si="195"/>
        <v>1</v>
      </c>
      <c r="AS521" s="9">
        <v>1</v>
      </c>
      <c r="AT521" s="9">
        <v>2</v>
      </c>
      <c r="AU521" s="9">
        <v>1</v>
      </c>
      <c r="AV521" s="9">
        <f t="shared" si="196"/>
        <v>0</v>
      </c>
      <c r="AW521" s="12">
        <v>44937</v>
      </c>
      <c r="AX521" s="9">
        <v>9930</v>
      </c>
      <c r="AY521" s="9">
        <v>5360</v>
      </c>
      <c r="AZ521" s="9">
        <v>3820</v>
      </c>
      <c r="BA521" s="9">
        <v>5360</v>
      </c>
      <c r="BB521" s="9">
        <v>3820.000732421875</v>
      </c>
      <c r="BC521" s="9">
        <v>498000</v>
      </c>
      <c r="BD521" s="9">
        <v>620</v>
      </c>
      <c r="BE521" s="9">
        <v>80</v>
      </c>
      <c r="BF521" s="9">
        <v>229</v>
      </c>
      <c r="BG521" s="9">
        <v>7970</v>
      </c>
      <c r="BH521" s="9">
        <v>3100</v>
      </c>
      <c r="BI521" s="9">
        <v>3550</v>
      </c>
      <c r="BJ521" s="9">
        <v>33100</v>
      </c>
      <c r="BK521" s="9">
        <v>580</v>
      </c>
      <c r="BL521" s="9">
        <v>620</v>
      </c>
      <c r="BM521" s="9"/>
      <c r="BN521" s="9">
        <v>6100</v>
      </c>
      <c r="BO521" s="9">
        <v>2350</v>
      </c>
      <c r="BP521" s="9">
        <v>2970</v>
      </c>
      <c r="BQ521" s="9">
        <v>313000</v>
      </c>
      <c r="BR521" s="9">
        <v>500</v>
      </c>
      <c r="BS521" s="9">
        <v>170</v>
      </c>
      <c r="BT521" s="9">
        <v>149</v>
      </c>
      <c r="BU521" s="9">
        <v>7870</v>
      </c>
      <c r="BV521" s="9">
        <v>2920</v>
      </c>
      <c r="BW521" s="9">
        <v>4090</v>
      </c>
      <c r="BX521" s="9">
        <v>333000</v>
      </c>
      <c r="BY521" s="9">
        <v>600</v>
      </c>
      <c r="BZ521" s="10" t="s">
        <v>526</v>
      </c>
      <c r="CA521" s="9">
        <v>190</v>
      </c>
      <c r="CB521" s="9"/>
      <c r="CC521" s="10">
        <f t="shared" si="197"/>
        <v>1.4031410922274268</v>
      </c>
      <c r="CD521" s="10">
        <f t="shared" si="198"/>
        <v>130.36646715098107</v>
      </c>
      <c r="CE521" s="10">
        <f t="shared" si="189"/>
        <v>698764.26392925857</v>
      </c>
      <c r="CF521" s="10">
        <f t="shared" si="190"/>
        <v>1</v>
      </c>
      <c r="CG521" s="10">
        <f t="shared" si="192"/>
        <v>1</v>
      </c>
      <c r="CH521" s="10">
        <f t="shared" si="193"/>
        <v>40</v>
      </c>
      <c r="CI521" s="9">
        <f t="shared" si="199"/>
        <v>0</v>
      </c>
      <c r="CJ521" s="10">
        <f t="shared" si="194"/>
        <v>56</v>
      </c>
      <c r="CK521" s="10" t="b">
        <f t="shared" si="200"/>
        <v>1</v>
      </c>
      <c r="CL521" s="10" t="b">
        <f t="shared" si="201"/>
        <v>1</v>
      </c>
      <c r="CM521" s="10" t="b">
        <f t="shared" si="202"/>
        <v>1</v>
      </c>
      <c r="CN521" s="9">
        <f t="shared" si="203"/>
        <v>1</v>
      </c>
      <c r="CO521" s="10">
        <f t="shared" si="206"/>
        <v>40</v>
      </c>
      <c r="CP521" s="10" t="b">
        <f t="shared" si="204"/>
        <v>1</v>
      </c>
      <c r="CQ521" s="10" t="b">
        <f t="shared" si="205"/>
        <v>1</v>
      </c>
      <c r="CR521" s="10" cm="1">
        <f t="array" ref="CR521">_xlfn.IFS(AND($CI521=0, CK521=FALSE), NA(), AND($CI521=1, CK521=FALSE), 0, CK521=TRUE, 1)</f>
        <v>1</v>
      </c>
      <c r="CS521" s="10" cm="1">
        <f t="array" ref="CS521">_xlfn.IFS(AND($CI521=0, CL521=FALSE), NA(), AND($CI521=1, CL521=FALSE), 0, CL521=TRUE, 1)</f>
        <v>1</v>
      </c>
      <c r="CT521" s="10" cm="1">
        <f t="array" ref="CT521">_xlfn.IFS(AND($CI521=0, CM521=FALSE), NA(), AND($CI521=1, CM521=FALSE), 0, CM521=TRUE, 1)</f>
        <v>1</v>
      </c>
      <c r="CU521" s="10" cm="1">
        <f t="array" ref="CU521">_xlfn.IFS(AND($CN521=0, CP521=FALSE), NA(), AND($CN521=1, CP521=FALSE), 0, CP521=TRUE, 1)</f>
        <v>1</v>
      </c>
      <c r="CV521" s="10" cm="1">
        <f t="array" ref="CV521">_xlfn.IFS(AND($CN521=0, CQ521=FALSE), NA(), AND($CN521=1, CQ521=FALSE), 0, CQ521=TRUE, 1)</f>
        <v>1</v>
      </c>
    </row>
    <row r="522" spans="1:100" x14ac:dyDescent="0.25">
      <c r="A522" s="8">
        <v>521</v>
      </c>
      <c r="B522" s="9">
        <v>486</v>
      </c>
      <c r="C522" s="10" t="s">
        <v>31</v>
      </c>
      <c r="D522" s="11" t="s">
        <v>365</v>
      </c>
      <c r="E522" s="12"/>
      <c r="F522" s="13">
        <v>1</v>
      </c>
      <c r="G522" s="9">
        <v>71</v>
      </c>
      <c r="H522" s="12">
        <v>43059</v>
      </c>
      <c r="I522" s="9">
        <v>1</v>
      </c>
      <c r="J522" s="12">
        <v>43059</v>
      </c>
      <c r="K522" s="9">
        <v>1</v>
      </c>
      <c r="L522" s="9">
        <v>4</v>
      </c>
      <c r="M522" s="10" t="s">
        <v>402</v>
      </c>
      <c r="N522" s="9">
        <v>2</v>
      </c>
      <c r="O522" s="10" t="s">
        <v>409</v>
      </c>
      <c r="P522" s="9">
        <v>2</v>
      </c>
      <c r="Q522" s="10" t="s">
        <v>409</v>
      </c>
      <c r="R522" s="12">
        <v>43026</v>
      </c>
      <c r="S522" s="10" t="s">
        <v>145</v>
      </c>
      <c r="T522" s="9"/>
      <c r="U522" s="10" t="s">
        <v>401</v>
      </c>
      <c r="V522" s="10" t="s">
        <v>401</v>
      </c>
      <c r="W522" s="9"/>
      <c r="X522" s="9"/>
      <c r="Y522" s="9">
        <v>2</v>
      </c>
      <c r="Z522" s="19">
        <v>1</v>
      </c>
      <c r="AB522" s="9"/>
      <c r="AC522" s="9"/>
      <c r="AD522" s="9">
        <v>2</v>
      </c>
      <c r="AE522" s="9">
        <v>2</v>
      </c>
      <c r="AF522" s="9">
        <v>1</v>
      </c>
      <c r="AG522" s="9">
        <v>1</v>
      </c>
      <c r="AH522" s="9">
        <v>1</v>
      </c>
      <c r="AI522" s="9">
        <v>0</v>
      </c>
      <c r="AJ522" s="12">
        <v>43283</v>
      </c>
      <c r="AK522" s="9">
        <v>2</v>
      </c>
      <c r="AL522" s="12">
        <v>43297</v>
      </c>
      <c r="AM522" s="9">
        <v>4</v>
      </c>
      <c r="AN522" s="12">
        <v>43315</v>
      </c>
      <c r="AO522" s="12">
        <v>43315</v>
      </c>
      <c r="AP522" s="12">
        <v>43315</v>
      </c>
      <c r="AQ522" s="9">
        <v>1</v>
      </c>
      <c r="AR522" s="9">
        <f t="shared" si="195"/>
        <v>1</v>
      </c>
      <c r="AS522" s="9">
        <v>1</v>
      </c>
      <c r="AT522" s="9">
        <v>2</v>
      </c>
      <c r="AU522" s="9">
        <v>2</v>
      </c>
      <c r="AV522" s="9">
        <f t="shared" si="196"/>
        <v>1</v>
      </c>
      <c r="AW522" s="12">
        <v>43315</v>
      </c>
      <c r="AX522" s="9">
        <v>5890</v>
      </c>
      <c r="AY522" s="9">
        <v>3720</v>
      </c>
      <c r="AZ522" s="9">
        <v>1230</v>
      </c>
      <c r="BA522" s="9">
        <v>3720</v>
      </c>
      <c r="BB522" s="9">
        <v>1230</v>
      </c>
      <c r="BC522" s="9">
        <v>279000</v>
      </c>
      <c r="BD522" s="9">
        <v>810</v>
      </c>
      <c r="BE522" s="9">
        <v>90</v>
      </c>
      <c r="BF522" s="9">
        <v>392</v>
      </c>
      <c r="BG522" s="9">
        <v>9510</v>
      </c>
      <c r="BH522" s="9">
        <v>7540</v>
      </c>
      <c r="BI522" s="9">
        <v>980</v>
      </c>
      <c r="BJ522" s="9">
        <v>215000</v>
      </c>
      <c r="BK522" s="9">
        <v>800</v>
      </c>
      <c r="BL522" s="9">
        <v>160</v>
      </c>
      <c r="BM522" s="9">
        <v>445</v>
      </c>
      <c r="BN522" s="9">
        <v>14400</v>
      </c>
      <c r="BO522" s="9">
        <v>11980</v>
      </c>
      <c r="BP522" s="9">
        <v>1180</v>
      </c>
      <c r="BQ522" s="9">
        <v>214000</v>
      </c>
      <c r="BR522" s="9">
        <v>1060</v>
      </c>
      <c r="BS522" s="9">
        <v>170</v>
      </c>
      <c r="BT522" s="9"/>
      <c r="BU522" s="9"/>
      <c r="BV522" s="9"/>
      <c r="BW522" s="9"/>
      <c r="BX522" s="9"/>
      <c r="BY522" s="9"/>
      <c r="BZ522" s="10" t="s">
        <v>401</v>
      </c>
      <c r="CA522" s="9"/>
      <c r="CB522" s="9"/>
      <c r="CC522" s="10">
        <f t="shared" si="197"/>
        <v>3.024390243902439</v>
      </c>
      <c r="CD522" s="10">
        <f t="shared" si="198"/>
        <v>226.82926829268294</v>
      </c>
      <c r="CE522" s="10">
        <f t="shared" si="189"/>
        <v>843804.87804878049</v>
      </c>
      <c r="CF522" s="10">
        <f t="shared" si="190"/>
        <v>0</v>
      </c>
      <c r="CG522" s="10">
        <f t="shared" si="192"/>
        <v>0</v>
      </c>
      <c r="CH522" s="10">
        <f t="shared" si="193"/>
        <v>0</v>
      </c>
      <c r="CI522" s="9">
        <f t="shared" si="199"/>
        <v>1</v>
      </c>
      <c r="CJ522" s="10">
        <f t="shared" si="194"/>
        <v>1</v>
      </c>
      <c r="CK522" s="10" t="b">
        <f t="shared" si="200"/>
        <v>0</v>
      </c>
      <c r="CL522" s="10" t="b">
        <f t="shared" si="201"/>
        <v>0</v>
      </c>
      <c r="CM522" s="10" t="b">
        <f t="shared" si="202"/>
        <v>0</v>
      </c>
      <c r="CN522" s="9">
        <f t="shared" si="203"/>
        <v>1</v>
      </c>
      <c r="CO522" s="10">
        <f t="shared" si="206"/>
        <v>1</v>
      </c>
      <c r="CP522" s="10" t="b">
        <f t="shared" si="204"/>
        <v>0</v>
      </c>
      <c r="CQ522" s="10" t="b">
        <f t="shared" si="205"/>
        <v>0</v>
      </c>
      <c r="CR522" s="10" cm="1">
        <f t="array" ref="CR522">_xlfn.IFS(AND($CI522=0, CK522=FALSE), NA(), AND($CI522=1, CK522=FALSE), 0, CK522=TRUE, 1)</f>
        <v>0</v>
      </c>
      <c r="CS522" s="10" cm="1">
        <f t="array" ref="CS522">_xlfn.IFS(AND($CI522=0, CL522=FALSE), NA(), AND($CI522=1, CL522=FALSE), 0, CL522=TRUE, 1)</f>
        <v>0</v>
      </c>
      <c r="CT522" s="10" cm="1">
        <f t="array" ref="CT522">_xlfn.IFS(AND($CI522=0, CM522=FALSE), NA(), AND($CI522=1, CM522=FALSE), 0, CM522=TRUE, 1)</f>
        <v>0</v>
      </c>
      <c r="CU522" s="10" cm="1">
        <f t="array" ref="CU522">_xlfn.IFS(AND($CN522=0, CP522=FALSE), NA(), AND($CN522=1, CP522=FALSE), 0, CP522=TRUE, 1)</f>
        <v>0</v>
      </c>
      <c r="CV522" s="10" cm="1">
        <f t="array" ref="CV522">_xlfn.IFS(AND($CN522=0, CQ522=FALSE), NA(), AND($CN522=1, CQ522=FALSE), 0, CQ522=TRUE, 1)</f>
        <v>0</v>
      </c>
    </row>
    <row r="523" spans="1:100" ht="15.75" x14ac:dyDescent="0.25">
      <c r="A523" s="8">
        <v>522</v>
      </c>
      <c r="B523" s="9">
        <v>297</v>
      </c>
      <c r="C523" s="10" t="s">
        <v>22</v>
      </c>
      <c r="D523" s="11" t="s">
        <v>88</v>
      </c>
      <c r="E523" s="12">
        <v>26820</v>
      </c>
      <c r="F523" s="13">
        <v>2</v>
      </c>
      <c r="G523" s="9">
        <v>44.473648071289063</v>
      </c>
      <c r="H523" s="12">
        <v>43064</v>
      </c>
      <c r="I523" s="9">
        <v>1</v>
      </c>
      <c r="J523" s="12">
        <v>43064</v>
      </c>
      <c r="K523" s="9">
        <v>0</v>
      </c>
      <c r="L523" s="9">
        <v>4</v>
      </c>
      <c r="M523" s="10" t="s">
        <v>403</v>
      </c>
      <c r="N523" s="9">
        <v>2</v>
      </c>
      <c r="O523" s="10" t="s">
        <v>145</v>
      </c>
      <c r="P523" s="9">
        <v>2</v>
      </c>
      <c r="Q523" s="10" t="s">
        <v>145</v>
      </c>
      <c r="R523" s="12">
        <v>43315</v>
      </c>
      <c r="S523" s="10" t="s">
        <v>145</v>
      </c>
      <c r="T523" s="9"/>
      <c r="U523" s="10" t="s">
        <v>401</v>
      </c>
      <c r="V523" s="10" t="s">
        <v>401</v>
      </c>
      <c r="W523" s="9"/>
      <c r="X523" s="9"/>
      <c r="Y523" s="9">
        <v>2</v>
      </c>
      <c r="Z523" s="14">
        <v>1</v>
      </c>
      <c r="AB523" s="9"/>
      <c r="AC523" s="9"/>
      <c r="AD523" s="9">
        <v>2</v>
      </c>
      <c r="AE523" s="9">
        <v>1</v>
      </c>
      <c r="AF523" s="9">
        <v>1</v>
      </c>
      <c r="AG523" s="9">
        <v>1</v>
      </c>
      <c r="AH523" s="9">
        <v>1</v>
      </c>
      <c r="AI523" s="9">
        <v>0</v>
      </c>
      <c r="AJ523" s="12">
        <v>43441</v>
      </c>
      <c r="AK523" s="9">
        <v>2</v>
      </c>
      <c r="AL523" s="12">
        <v>43532</v>
      </c>
      <c r="AM523" s="9">
        <v>4</v>
      </c>
      <c r="AN523" s="12">
        <v>43552</v>
      </c>
      <c r="AO523" s="12">
        <v>43552</v>
      </c>
      <c r="AP523" s="12">
        <v>43552</v>
      </c>
      <c r="AQ523" s="9">
        <v>1</v>
      </c>
      <c r="AR523" s="9">
        <f t="shared" si="195"/>
        <v>1</v>
      </c>
      <c r="AS523" s="9">
        <v>1</v>
      </c>
      <c r="AT523" s="9">
        <v>2</v>
      </c>
      <c r="AU523" s="9">
        <v>2</v>
      </c>
      <c r="AV523" s="9">
        <f t="shared" si="196"/>
        <v>1</v>
      </c>
      <c r="AW523" s="12">
        <v>43878</v>
      </c>
      <c r="AX523" s="9">
        <v>4370</v>
      </c>
      <c r="AY523" s="9">
        <v>2030</v>
      </c>
      <c r="AZ523" s="9">
        <v>1150</v>
      </c>
      <c r="BA523" s="9">
        <v>2030</v>
      </c>
      <c r="BB523" s="9">
        <v>1150.0001220703125</v>
      </c>
      <c r="BC523" s="9">
        <v>114000</v>
      </c>
      <c r="BD523" s="9">
        <v>320</v>
      </c>
      <c r="BE523" s="9">
        <v>80</v>
      </c>
      <c r="BF523" s="9"/>
      <c r="BG523" s="9">
        <v>3130</v>
      </c>
      <c r="BH523" s="9">
        <v>1970</v>
      </c>
      <c r="BI523" s="9">
        <v>580</v>
      </c>
      <c r="BJ523" s="9">
        <v>126000</v>
      </c>
      <c r="BK523" s="9">
        <v>300</v>
      </c>
      <c r="BL523" s="9">
        <v>30</v>
      </c>
      <c r="BM523" s="9"/>
      <c r="BN523" s="9">
        <v>6130</v>
      </c>
      <c r="BO523" s="9">
        <v>3920</v>
      </c>
      <c r="BP523" s="9">
        <v>840</v>
      </c>
      <c r="BQ523" s="9">
        <v>195000</v>
      </c>
      <c r="BR523" s="9">
        <v>710</v>
      </c>
      <c r="BS523" s="9">
        <v>560</v>
      </c>
      <c r="BT523" s="9"/>
      <c r="BU523" s="9">
        <v>4780</v>
      </c>
      <c r="BV523" s="9">
        <v>2960</v>
      </c>
      <c r="BW523" s="9">
        <v>710</v>
      </c>
      <c r="BX523" s="9">
        <v>194000</v>
      </c>
      <c r="BY523" s="9">
        <v>390</v>
      </c>
      <c r="BZ523" s="10" t="s">
        <v>532</v>
      </c>
      <c r="CA523" s="9">
        <v>90</v>
      </c>
      <c r="CB523" s="9"/>
      <c r="CC523" s="10">
        <f t="shared" si="197"/>
        <v>1.7652172039298994</v>
      </c>
      <c r="CD523" s="10">
        <f t="shared" si="198"/>
        <v>99.130424260102728</v>
      </c>
      <c r="CE523" s="10">
        <f t="shared" si="189"/>
        <v>201234.76124800852</v>
      </c>
      <c r="CF523" s="10">
        <f t="shared" si="190"/>
        <v>0</v>
      </c>
      <c r="CG523" s="10">
        <f t="shared" si="192"/>
        <v>0</v>
      </c>
      <c r="CH523" s="10">
        <f t="shared" si="193"/>
        <v>3</v>
      </c>
      <c r="CI523" s="9">
        <f t="shared" si="199"/>
        <v>1</v>
      </c>
      <c r="CJ523" s="10">
        <f t="shared" si="194"/>
        <v>14</v>
      </c>
      <c r="CK523" s="10" t="b">
        <f t="shared" si="200"/>
        <v>1</v>
      </c>
      <c r="CL523" s="10" t="b">
        <f t="shared" si="201"/>
        <v>0</v>
      </c>
      <c r="CM523" s="10" t="b">
        <f t="shared" si="202"/>
        <v>0</v>
      </c>
      <c r="CN523" s="9">
        <f t="shared" si="203"/>
        <v>1</v>
      </c>
      <c r="CO523" s="10">
        <f t="shared" si="206"/>
        <v>3</v>
      </c>
      <c r="CP523" s="10" t="b">
        <f t="shared" si="204"/>
        <v>1</v>
      </c>
      <c r="CQ523" s="10" t="b">
        <f t="shared" si="205"/>
        <v>0</v>
      </c>
      <c r="CR523" s="10" cm="1">
        <f t="array" ref="CR523">_xlfn.IFS(AND($CI523=0, CK523=FALSE), NA(), AND($CI523=1, CK523=FALSE), 0, CK523=TRUE, 1)</f>
        <v>1</v>
      </c>
      <c r="CS523" s="10" cm="1">
        <f t="array" ref="CS523">_xlfn.IFS(AND($CI523=0, CL523=FALSE), NA(), AND($CI523=1, CL523=FALSE), 0, CL523=TRUE, 1)</f>
        <v>0</v>
      </c>
      <c r="CT523" s="10" cm="1">
        <f t="array" ref="CT523">_xlfn.IFS(AND($CI523=0, CM523=FALSE), NA(), AND($CI523=1, CM523=FALSE), 0, CM523=TRUE, 1)</f>
        <v>0</v>
      </c>
      <c r="CU523" s="10" cm="1">
        <f t="array" ref="CU523">_xlfn.IFS(AND($CN523=0, CP523=FALSE), NA(), AND($CN523=1, CP523=FALSE), 0, CP523=TRUE, 1)</f>
        <v>1</v>
      </c>
      <c r="CV523" s="10" cm="1">
        <f t="array" ref="CV523">_xlfn.IFS(AND($CN523=0, CQ523=FALSE), NA(), AND($CN523=1, CQ523=FALSE), 0, CQ523=TRUE, 1)</f>
        <v>0</v>
      </c>
    </row>
    <row r="524" spans="1:100" ht="15.75" x14ac:dyDescent="0.25">
      <c r="A524" s="8">
        <v>523</v>
      </c>
      <c r="B524" s="9">
        <v>329</v>
      </c>
      <c r="C524" s="10" t="s">
        <v>26</v>
      </c>
      <c r="D524" s="11" t="s">
        <v>42</v>
      </c>
      <c r="E524" s="12">
        <v>16891</v>
      </c>
      <c r="F524" s="13">
        <v>1</v>
      </c>
      <c r="G524" s="9">
        <v>71.6741943359375</v>
      </c>
      <c r="H524" s="12">
        <v>43070</v>
      </c>
      <c r="I524" s="9">
        <v>0</v>
      </c>
      <c r="J524" s="12"/>
      <c r="K524" s="9">
        <v>1</v>
      </c>
      <c r="L524" s="9">
        <v>1</v>
      </c>
      <c r="M524" s="10" t="s">
        <v>401</v>
      </c>
      <c r="N524" s="9">
        <v>2</v>
      </c>
      <c r="O524" s="10" t="s">
        <v>409</v>
      </c>
      <c r="P524" s="9">
        <v>2</v>
      </c>
      <c r="Q524" s="10" t="s">
        <v>409</v>
      </c>
      <c r="R524" s="12">
        <v>43070</v>
      </c>
      <c r="S524" s="10" t="s">
        <v>146</v>
      </c>
      <c r="T524" s="9"/>
      <c r="U524" s="10" t="s">
        <v>401</v>
      </c>
      <c r="V524" s="10" t="s">
        <v>401</v>
      </c>
      <c r="W524" s="9"/>
      <c r="X524" s="9"/>
      <c r="Y524" s="9">
        <v>2</v>
      </c>
      <c r="Z524" s="14">
        <v>2</v>
      </c>
      <c r="AA524" s="15">
        <v>13.2</v>
      </c>
      <c r="AB524" s="16" t="s">
        <v>484</v>
      </c>
      <c r="AC524" s="16" t="s">
        <v>485</v>
      </c>
      <c r="AD524" s="9">
        <v>2</v>
      </c>
      <c r="AE524" s="9">
        <v>3</v>
      </c>
      <c r="AF524" s="9">
        <v>1</v>
      </c>
      <c r="AG524" s="9">
        <v>1</v>
      </c>
      <c r="AH524" s="9">
        <v>1</v>
      </c>
      <c r="AI524" s="9">
        <v>0</v>
      </c>
      <c r="AJ524" s="12">
        <v>43154</v>
      </c>
      <c r="AK524" s="9">
        <v>2</v>
      </c>
      <c r="AL524" s="12">
        <v>43259</v>
      </c>
      <c r="AM524" s="9">
        <v>4</v>
      </c>
      <c r="AN524" s="12">
        <v>43276</v>
      </c>
      <c r="AO524" s="12">
        <v>43276</v>
      </c>
      <c r="AP524" s="12">
        <v>43276</v>
      </c>
      <c r="AQ524" s="9">
        <v>1</v>
      </c>
      <c r="AR524" s="9">
        <f t="shared" si="195"/>
        <v>1</v>
      </c>
      <c r="AS524" s="9">
        <v>1</v>
      </c>
      <c r="AT524" s="9">
        <v>2</v>
      </c>
      <c r="AU524" s="9">
        <v>1</v>
      </c>
      <c r="AV524" s="9">
        <f t="shared" si="196"/>
        <v>0</v>
      </c>
      <c r="AW524" s="12">
        <v>43276</v>
      </c>
      <c r="AX524" s="9">
        <v>9090</v>
      </c>
      <c r="AY524" s="9">
        <v>6080</v>
      </c>
      <c r="AZ524" s="9">
        <v>1970</v>
      </c>
      <c r="BA524" s="9">
        <v>6080</v>
      </c>
      <c r="BB524" s="9">
        <v>1969.999755859375</v>
      </c>
      <c r="BC524" s="9">
        <v>218000</v>
      </c>
      <c r="BD524" s="9">
        <v>940</v>
      </c>
      <c r="BE524" s="9">
        <v>70</v>
      </c>
      <c r="BF524" s="9">
        <v>370</v>
      </c>
      <c r="BG524" s="9">
        <v>10820</v>
      </c>
      <c r="BH524" s="9">
        <v>6900</v>
      </c>
      <c r="BI524" s="9">
        <v>2500</v>
      </c>
      <c r="BJ524" s="9">
        <v>437000</v>
      </c>
      <c r="BK524" s="9">
        <v>1300</v>
      </c>
      <c r="BL524" s="9">
        <v>60</v>
      </c>
      <c r="BM524" s="9"/>
      <c r="BN524" s="9">
        <v>8890</v>
      </c>
      <c r="BO524" s="9">
        <v>6400</v>
      </c>
      <c r="BP524" s="9">
        <v>1520</v>
      </c>
      <c r="BQ524" s="9">
        <v>459000</v>
      </c>
      <c r="BR524" s="9">
        <v>870</v>
      </c>
      <c r="BS524" s="9">
        <v>40</v>
      </c>
      <c r="BT524" s="9"/>
      <c r="BU524" s="9">
        <v>12800</v>
      </c>
      <c r="BV524" s="9">
        <v>8880</v>
      </c>
      <c r="BW524" s="9">
        <v>2520</v>
      </c>
      <c r="BX524" s="9">
        <v>272000</v>
      </c>
      <c r="BY524" s="9">
        <v>1270</v>
      </c>
      <c r="BZ524" s="10" t="s">
        <v>525</v>
      </c>
      <c r="CA524" s="9">
        <v>100</v>
      </c>
      <c r="CB524" s="9"/>
      <c r="CC524" s="10">
        <f t="shared" si="197"/>
        <v>3.0862947987258584</v>
      </c>
      <c r="CD524" s="10">
        <f t="shared" si="198"/>
        <v>110.65991219115742</v>
      </c>
      <c r="CE524" s="10">
        <f t="shared" si="189"/>
        <v>672812.26612223708</v>
      </c>
      <c r="CF524" s="10">
        <f t="shared" si="190"/>
        <v>0</v>
      </c>
      <c r="CG524" s="10">
        <f t="shared" si="192"/>
        <v>0</v>
      </c>
      <c r="CH524" s="10">
        <f t="shared" si="193"/>
        <v>4</v>
      </c>
      <c r="CI524" s="9">
        <f t="shared" si="199"/>
        <v>0</v>
      </c>
      <c r="CJ524" s="10">
        <f t="shared" si="194"/>
        <v>4</v>
      </c>
      <c r="CK524" s="10" t="b">
        <f t="shared" si="200"/>
        <v>0</v>
      </c>
      <c r="CL524" s="10" t="b">
        <f t="shared" si="201"/>
        <v>0</v>
      </c>
      <c r="CM524" s="10" t="b">
        <f t="shared" si="202"/>
        <v>0</v>
      </c>
      <c r="CN524" s="9">
        <f t="shared" si="203"/>
        <v>1</v>
      </c>
      <c r="CO524" s="10">
        <f t="shared" si="206"/>
        <v>4</v>
      </c>
      <c r="CP524" s="10" t="b">
        <f t="shared" si="204"/>
        <v>1</v>
      </c>
      <c r="CQ524" s="10" t="b">
        <f t="shared" si="205"/>
        <v>0</v>
      </c>
      <c r="CR524" s="10" t="e" cm="1">
        <f t="array" ref="CR524">_xlfn.IFS(AND($CI524=0, CK524=FALSE), NA(), AND($CI524=1, CK524=FALSE), 0, CK524=TRUE, 1)</f>
        <v>#N/A</v>
      </c>
      <c r="CS524" s="10" t="e" cm="1">
        <f t="array" ref="CS524">_xlfn.IFS(AND($CI524=0, CL524=FALSE), NA(), AND($CI524=1, CL524=FALSE), 0, CL524=TRUE, 1)</f>
        <v>#N/A</v>
      </c>
      <c r="CT524" s="10" t="e" cm="1">
        <f t="array" ref="CT524">_xlfn.IFS(AND($CI524=0, CM524=FALSE), NA(), AND($CI524=1, CM524=FALSE), 0, CM524=TRUE, 1)</f>
        <v>#N/A</v>
      </c>
      <c r="CU524" s="10" cm="1">
        <f t="array" ref="CU524">_xlfn.IFS(AND($CN524=0, CP524=FALSE), NA(), AND($CN524=1, CP524=FALSE), 0, CP524=TRUE, 1)</f>
        <v>1</v>
      </c>
      <c r="CV524" s="10" cm="1">
        <f t="array" ref="CV524">_xlfn.IFS(AND($CN524=0, CQ524=FALSE), NA(), AND($CN524=1, CQ524=FALSE), 0, CQ524=TRUE, 1)</f>
        <v>0</v>
      </c>
    </row>
    <row r="525" spans="1:100" ht="15.75" x14ac:dyDescent="0.25">
      <c r="A525" s="8">
        <v>524</v>
      </c>
      <c r="B525" s="9">
        <v>438</v>
      </c>
      <c r="C525" s="10" t="s">
        <v>30</v>
      </c>
      <c r="D525" s="11" t="s">
        <v>124</v>
      </c>
      <c r="E525" s="12">
        <v>15602</v>
      </c>
      <c r="F525" s="13">
        <v>1</v>
      </c>
      <c r="G525" s="9">
        <v>75.203285217285156</v>
      </c>
      <c r="H525" s="12">
        <v>43070</v>
      </c>
      <c r="I525" s="9">
        <v>1</v>
      </c>
      <c r="J525" s="12">
        <v>43173</v>
      </c>
      <c r="K525" s="9">
        <v>1</v>
      </c>
      <c r="L525" s="9">
        <v>1</v>
      </c>
      <c r="M525" s="10" t="s">
        <v>401</v>
      </c>
      <c r="N525" s="9">
        <v>2</v>
      </c>
      <c r="O525" s="10" t="s">
        <v>145</v>
      </c>
      <c r="P525" s="9">
        <v>2</v>
      </c>
      <c r="Q525" s="10" t="s">
        <v>145</v>
      </c>
      <c r="R525" s="12">
        <v>43070</v>
      </c>
      <c r="S525" s="10" t="s">
        <v>146</v>
      </c>
      <c r="T525" s="9"/>
      <c r="U525" s="10" t="s">
        <v>401</v>
      </c>
      <c r="V525" s="10" t="s">
        <v>401</v>
      </c>
      <c r="W525" s="9"/>
      <c r="X525" s="9"/>
      <c r="Y525" s="9">
        <v>2</v>
      </c>
      <c r="Z525" s="14">
        <v>2</v>
      </c>
      <c r="AA525" s="17">
        <v>12.3</v>
      </c>
      <c r="AB525" s="18">
        <v>91</v>
      </c>
      <c r="AC525" s="18">
        <v>11</v>
      </c>
      <c r="AD525" s="9">
        <v>2</v>
      </c>
      <c r="AE525" s="9">
        <v>1</v>
      </c>
      <c r="AF525" s="9">
        <v>1</v>
      </c>
      <c r="AG525" s="9">
        <v>1</v>
      </c>
      <c r="AH525" s="9">
        <v>1</v>
      </c>
      <c r="AI525" s="9">
        <v>1</v>
      </c>
      <c r="AJ525" s="12">
        <v>43522</v>
      </c>
      <c r="AK525" s="9">
        <v>2</v>
      </c>
      <c r="AL525" s="12">
        <v>43635</v>
      </c>
      <c r="AM525" s="9">
        <v>4</v>
      </c>
      <c r="AN525" s="12">
        <v>43591</v>
      </c>
      <c r="AO525" s="12">
        <v>43591</v>
      </c>
      <c r="AP525" s="12">
        <v>43661</v>
      </c>
      <c r="AQ525" s="9">
        <v>1</v>
      </c>
      <c r="AR525" s="9">
        <f t="shared" si="195"/>
        <v>1</v>
      </c>
      <c r="AS525" s="9">
        <v>1</v>
      </c>
      <c r="AT525" s="9">
        <v>1</v>
      </c>
      <c r="AU525" s="9">
        <v>2</v>
      </c>
      <c r="AV525" s="9">
        <f t="shared" si="196"/>
        <v>1</v>
      </c>
      <c r="AW525" s="12">
        <v>43661</v>
      </c>
      <c r="AX525" s="9">
        <v>8480</v>
      </c>
      <c r="AY525" s="9">
        <v>4340</v>
      </c>
      <c r="AZ525" s="9">
        <v>3290</v>
      </c>
      <c r="BA525" s="9">
        <v>4340</v>
      </c>
      <c r="BB525" s="9">
        <v>3290.00146484375</v>
      </c>
      <c r="BC525" s="9">
        <v>229000</v>
      </c>
      <c r="BD525" s="9"/>
      <c r="BE525" s="9"/>
      <c r="BF525" s="9">
        <v>342</v>
      </c>
      <c r="BG525" s="9">
        <v>7850</v>
      </c>
      <c r="BH525" s="9">
        <v>5410</v>
      </c>
      <c r="BI525" s="9">
        <v>2430</v>
      </c>
      <c r="BJ525" s="9">
        <v>232000</v>
      </c>
      <c r="BK525" s="9"/>
      <c r="BL525" s="9"/>
      <c r="BM525" s="9">
        <v>319</v>
      </c>
      <c r="BN525" s="9">
        <v>7920</v>
      </c>
      <c r="BO525" s="9">
        <v>4920</v>
      </c>
      <c r="BP525" s="9">
        <v>2910</v>
      </c>
      <c r="BQ525" s="9">
        <v>189</v>
      </c>
      <c r="BR525" s="9"/>
      <c r="BS525" s="9"/>
      <c r="BT525" s="9"/>
      <c r="BU525" s="9">
        <v>14020</v>
      </c>
      <c r="BV525" s="9">
        <v>10590</v>
      </c>
      <c r="BW525" s="9">
        <v>3030</v>
      </c>
      <c r="BX525" s="9">
        <v>241000</v>
      </c>
      <c r="BY525" s="9"/>
      <c r="BZ525" s="10" t="s">
        <v>401</v>
      </c>
      <c r="CA525" s="9"/>
      <c r="CB525" s="9">
        <v>246</v>
      </c>
      <c r="CC525" s="10">
        <f t="shared" si="197"/>
        <v>1.3191483488309379</v>
      </c>
      <c r="CD525" s="10">
        <f t="shared" si="198"/>
        <v>69.604832230941199</v>
      </c>
      <c r="CE525" s="10">
        <f t="shared" si="189"/>
        <v>302084.97188228479</v>
      </c>
      <c r="CF525" s="10">
        <f t="shared" si="190"/>
        <v>0</v>
      </c>
      <c r="CG525" s="10">
        <f t="shared" si="192"/>
        <v>0</v>
      </c>
      <c r="CH525" s="10">
        <f t="shared" si="193"/>
        <v>4</v>
      </c>
      <c r="CI525" s="9">
        <f t="shared" si="199"/>
        <v>1</v>
      </c>
      <c r="CJ525" s="10">
        <f t="shared" si="194"/>
        <v>5</v>
      </c>
      <c r="CK525" s="10" t="b">
        <f t="shared" si="200"/>
        <v>0</v>
      </c>
      <c r="CL525" s="10" t="b">
        <f t="shared" si="201"/>
        <v>0</v>
      </c>
      <c r="CM525" s="10" t="b">
        <f t="shared" si="202"/>
        <v>0</v>
      </c>
      <c r="CN525" s="9">
        <f t="shared" si="203"/>
        <v>1</v>
      </c>
      <c r="CO525" s="10">
        <f t="shared" si="206"/>
        <v>3</v>
      </c>
      <c r="CP525" s="10" t="b">
        <f t="shared" si="204"/>
        <v>1</v>
      </c>
      <c r="CQ525" s="10" t="b">
        <f t="shared" si="205"/>
        <v>0</v>
      </c>
      <c r="CR525" s="10" cm="1">
        <f t="array" ref="CR525">_xlfn.IFS(AND($CI525=0, CK525=FALSE), NA(), AND($CI525=1, CK525=FALSE), 0, CK525=TRUE, 1)</f>
        <v>0</v>
      </c>
      <c r="CS525" s="10" cm="1">
        <f t="array" ref="CS525">_xlfn.IFS(AND($CI525=0, CL525=FALSE), NA(), AND($CI525=1, CL525=FALSE), 0, CL525=TRUE, 1)</f>
        <v>0</v>
      </c>
      <c r="CT525" s="10" cm="1">
        <f t="array" ref="CT525">_xlfn.IFS(AND($CI525=0, CM525=FALSE), NA(), AND($CI525=1, CM525=FALSE), 0, CM525=TRUE, 1)</f>
        <v>0</v>
      </c>
      <c r="CU525" s="10" cm="1">
        <f t="array" ref="CU525">_xlfn.IFS(AND($CN525=0, CP525=FALSE), NA(), AND($CN525=1, CP525=FALSE), 0, CP525=TRUE, 1)</f>
        <v>1</v>
      </c>
      <c r="CV525" s="10" cm="1">
        <f t="array" ref="CV525">_xlfn.IFS(AND($CN525=0, CQ525=FALSE), NA(), AND($CN525=1, CQ525=FALSE), 0, CQ525=TRUE, 1)</f>
        <v>0</v>
      </c>
    </row>
    <row r="526" spans="1:100" ht="15.75" x14ac:dyDescent="0.25">
      <c r="A526" s="8">
        <v>525</v>
      </c>
      <c r="B526" s="9">
        <v>50</v>
      </c>
      <c r="C526" s="10" t="s">
        <v>7</v>
      </c>
      <c r="D526" s="11" t="s">
        <v>83</v>
      </c>
      <c r="E526" s="12">
        <v>30242</v>
      </c>
      <c r="F526" s="13">
        <v>2</v>
      </c>
      <c r="G526" s="9">
        <v>35.123886108398438</v>
      </c>
      <c r="H526" s="12">
        <v>43071</v>
      </c>
      <c r="I526" s="9">
        <v>1</v>
      </c>
      <c r="J526" s="12">
        <v>43081</v>
      </c>
      <c r="K526" s="9">
        <v>1</v>
      </c>
      <c r="L526" s="9">
        <v>4</v>
      </c>
      <c r="M526" s="10" t="s">
        <v>403</v>
      </c>
      <c r="N526" s="9">
        <v>2</v>
      </c>
      <c r="O526" s="10" t="s">
        <v>145</v>
      </c>
      <c r="P526" s="9">
        <v>2</v>
      </c>
      <c r="Q526" s="10" t="s">
        <v>145</v>
      </c>
      <c r="R526" s="12">
        <v>43071</v>
      </c>
      <c r="S526" s="10" t="s">
        <v>145</v>
      </c>
      <c r="T526" s="9"/>
      <c r="U526" s="10" t="s">
        <v>401</v>
      </c>
      <c r="V526" s="10" t="s">
        <v>401</v>
      </c>
      <c r="W526" s="9"/>
      <c r="X526" s="9"/>
      <c r="Y526" s="9">
        <v>2</v>
      </c>
      <c r="Z526" s="14">
        <v>1</v>
      </c>
      <c r="AA526" s="21">
        <v>12</v>
      </c>
      <c r="AB526" s="22">
        <v>88</v>
      </c>
      <c r="AC526" s="22">
        <v>16.3</v>
      </c>
      <c r="AD526" s="9">
        <v>2</v>
      </c>
      <c r="AE526" s="9">
        <v>2</v>
      </c>
      <c r="AF526" s="9">
        <v>1</v>
      </c>
      <c r="AG526" s="9">
        <v>1</v>
      </c>
      <c r="AH526" s="9">
        <v>1</v>
      </c>
      <c r="AI526" s="9">
        <v>1</v>
      </c>
      <c r="AJ526" s="12">
        <v>43390</v>
      </c>
      <c r="AK526" s="9">
        <v>2</v>
      </c>
      <c r="AL526" s="12">
        <v>43510</v>
      </c>
      <c r="AM526" s="9">
        <v>4</v>
      </c>
      <c r="AN526" s="12">
        <v>43475</v>
      </c>
      <c r="AO526" s="12">
        <v>43475</v>
      </c>
      <c r="AP526" s="12">
        <v>43592</v>
      </c>
      <c r="AQ526" s="9">
        <v>1</v>
      </c>
      <c r="AR526" s="9">
        <f t="shared" si="195"/>
        <v>1</v>
      </c>
      <c r="AS526" s="9">
        <v>1</v>
      </c>
      <c r="AT526" s="9">
        <v>1</v>
      </c>
      <c r="AU526" s="9">
        <v>2</v>
      </c>
      <c r="AV526" s="9">
        <f t="shared" si="196"/>
        <v>1</v>
      </c>
      <c r="AW526" s="12">
        <v>44174</v>
      </c>
      <c r="AX526" s="9">
        <v>4560</v>
      </c>
      <c r="AY526" s="9">
        <v>3250</v>
      </c>
      <c r="AZ526" s="9">
        <v>680</v>
      </c>
      <c r="BA526" s="9">
        <v>3250</v>
      </c>
      <c r="BB526" s="9">
        <v>680</v>
      </c>
      <c r="BC526" s="9">
        <v>323000</v>
      </c>
      <c r="BD526" s="9">
        <v>580</v>
      </c>
      <c r="BE526" s="9">
        <v>20</v>
      </c>
      <c r="BF526" s="9">
        <v>478</v>
      </c>
      <c r="BG526" s="9">
        <v>5380</v>
      </c>
      <c r="BH526" s="9">
        <v>3880</v>
      </c>
      <c r="BI526" s="9">
        <v>960</v>
      </c>
      <c r="BJ526" s="9">
        <v>214000</v>
      </c>
      <c r="BK526" s="9">
        <v>510</v>
      </c>
      <c r="BL526" s="9">
        <v>10</v>
      </c>
      <c r="BM526" s="9"/>
      <c r="BN526" s="9">
        <v>5530</v>
      </c>
      <c r="BO526" s="9">
        <v>3700</v>
      </c>
      <c r="BP526" s="9">
        <v>1190</v>
      </c>
      <c r="BQ526" s="9">
        <v>227000</v>
      </c>
      <c r="BR526" s="9">
        <v>590</v>
      </c>
      <c r="BS526" s="9">
        <v>20</v>
      </c>
      <c r="BT526" s="9">
        <v>248</v>
      </c>
      <c r="BU526" s="9">
        <v>6540</v>
      </c>
      <c r="BV526" s="9">
        <v>4990</v>
      </c>
      <c r="BW526" s="9">
        <v>860</v>
      </c>
      <c r="BX526" s="9">
        <v>239000</v>
      </c>
      <c r="BY526" s="9">
        <v>640</v>
      </c>
      <c r="BZ526" s="10" t="s">
        <v>307</v>
      </c>
      <c r="CA526" s="9">
        <v>20</v>
      </c>
      <c r="CB526" s="9">
        <v>287</v>
      </c>
      <c r="CC526" s="10">
        <f t="shared" si="197"/>
        <v>4.7794117647058822</v>
      </c>
      <c r="CD526" s="10">
        <f t="shared" si="198"/>
        <v>475</v>
      </c>
      <c r="CE526" s="10">
        <f t="shared" si="189"/>
        <v>1543750</v>
      </c>
      <c r="CF526" s="10">
        <f t="shared" si="190"/>
        <v>0</v>
      </c>
      <c r="CG526" s="10">
        <f t="shared" si="192"/>
        <v>0</v>
      </c>
      <c r="CH526" s="10">
        <f t="shared" si="193"/>
        <v>4</v>
      </c>
      <c r="CI526" s="9">
        <f t="shared" si="199"/>
        <v>1</v>
      </c>
      <c r="CJ526" s="10">
        <f t="shared" si="194"/>
        <v>26</v>
      </c>
      <c r="CK526" s="10" t="b">
        <f t="shared" si="200"/>
        <v>1</v>
      </c>
      <c r="CL526" s="10" t="b">
        <f t="shared" si="201"/>
        <v>1</v>
      </c>
      <c r="CM526" s="10" t="b">
        <f t="shared" si="202"/>
        <v>1</v>
      </c>
      <c r="CN526" s="9">
        <f t="shared" si="203"/>
        <v>1</v>
      </c>
      <c r="CO526" s="10">
        <f t="shared" si="206"/>
        <v>3</v>
      </c>
      <c r="CP526" s="10" t="b">
        <f t="shared" si="204"/>
        <v>1</v>
      </c>
      <c r="CQ526" s="10" t="b">
        <f t="shared" si="205"/>
        <v>0</v>
      </c>
      <c r="CR526" s="10" cm="1">
        <f t="array" ref="CR526">_xlfn.IFS(AND($CI526=0, CK526=FALSE), NA(), AND($CI526=1, CK526=FALSE), 0, CK526=TRUE, 1)</f>
        <v>1</v>
      </c>
      <c r="CS526" s="10" cm="1">
        <f t="array" ref="CS526">_xlfn.IFS(AND($CI526=0, CL526=FALSE), NA(), AND($CI526=1, CL526=FALSE), 0, CL526=TRUE, 1)</f>
        <v>1</v>
      </c>
      <c r="CT526" s="10" cm="1">
        <f t="array" ref="CT526">_xlfn.IFS(AND($CI526=0, CM526=FALSE), NA(), AND($CI526=1, CM526=FALSE), 0, CM526=TRUE, 1)</f>
        <v>1</v>
      </c>
      <c r="CU526" s="10" cm="1">
        <f t="array" ref="CU526">_xlfn.IFS(AND($CN526=0, CP526=FALSE), NA(), AND($CN526=1, CP526=FALSE), 0, CP526=TRUE, 1)</f>
        <v>1</v>
      </c>
      <c r="CV526" s="10" cm="1">
        <f t="array" ref="CV526">_xlfn.IFS(AND($CN526=0, CQ526=FALSE), NA(), AND($CN526=1, CQ526=FALSE), 0, CQ526=TRUE, 1)</f>
        <v>0</v>
      </c>
    </row>
    <row r="527" spans="1:100" ht="15.75" x14ac:dyDescent="0.25">
      <c r="A527" s="8">
        <v>526</v>
      </c>
      <c r="B527" s="9">
        <v>560</v>
      </c>
      <c r="C527" s="10" t="s">
        <v>35</v>
      </c>
      <c r="D527" s="11" t="s">
        <v>394</v>
      </c>
      <c r="E527" s="12">
        <v>18500</v>
      </c>
      <c r="F527" s="13">
        <v>2</v>
      </c>
      <c r="G527" s="9">
        <v>67.2908935546875</v>
      </c>
      <c r="H527" s="12">
        <v>43078</v>
      </c>
      <c r="I527" s="9">
        <v>1</v>
      </c>
      <c r="J527" s="12">
        <v>43098</v>
      </c>
      <c r="K527" s="9">
        <v>1</v>
      </c>
      <c r="L527" s="9">
        <v>1</v>
      </c>
      <c r="M527" s="10" t="s">
        <v>401</v>
      </c>
      <c r="N527" s="9">
        <v>2</v>
      </c>
      <c r="O527" s="10" t="s">
        <v>145</v>
      </c>
      <c r="P527" s="9">
        <v>2</v>
      </c>
      <c r="Q527" s="10" t="s">
        <v>145</v>
      </c>
      <c r="R527" s="12">
        <v>43078</v>
      </c>
      <c r="S527" s="10" t="s">
        <v>146</v>
      </c>
      <c r="T527" s="9"/>
      <c r="U527" s="10" t="s">
        <v>401</v>
      </c>
      <c r="V527" s="10" t="s">
        <v>401</v>
      </c>
      <c r="W527" s="9"/>
      <c r="X527" s="9"/>
      <c r="Y527" s="9">
        <v>2</v>
      </c>
      <c r="Z527" s="14">
        <v>2</v>
      </c>
      <c r="AA527" s="17">
        <v>11.3</v>
      </c>
      <c r="AB527" s="18">
        <v>103</v>
      </c>
      <c r="AC527" s="9"/>
      <c r="AD527" s="9">
        <v>2</v>
      </c>
      <c r="AE527" s="9">
        <v>2</v>
      </c>
      <c r="AF527" s="9">
        <v>1</v>
      </c>
      <c r="AG527" s="9">
        <v>0</v>
      </c>
      <c r="AH527" s="9">
        <v>1</v>
      </c>
      <c r="AI527" s="9">
        <v>1</v>
      </c>
      <c r="AJ527" s="12">
        <v>43467</v>
      </c>
      <c r="AK527" s="9">
        <v>2</v>
      </c>
      <c r="AL527" s="12">
        <v>43578</v>
      </c>
      <c r="AM527" s="9">
        <v>3</v>
      </c>
      <c r="AN527" s="12">
        <v>43517</v>
      </c>
      <c r="AO527" s="12">
        <v>43593</v>
      </c>
      <c r="AP527" s="12">
        <v>43593</v>
      </c>
      <c r="AQ527" s="9">
        <v>1</v>
      </c>
      <c r="AR527" s="9">
        <f t="shared" si="195"/>
        <v>1</v>
      </c>
      <c r="AS527" s="9">
        <v>1</v>
      </c>
      <c r="AT527" s="9">
        <v>2</v>
      </c>
      <c r="AU527" s="9">
        <v>2</v>
      </c>
      <c r="AV527" s="9">
        <f t="shared" si="196"/>
        <v>1</v>
      </c>
      <c r="AW527" s="12">
        <v>44306</v>
      </c>
      <c r="AX527" s="9">
        <v>4700</v>
      </c>
      <c r="AY527" s="9">
        <v>3480</v>
      </c>
      <c r="AZ527" s="9">
        <v>730</v>
      </c>
      <c r="BA527" s="9">
        <v>3480</v>
      </c>
      <c r="BB527" s="9">
        <v>730.00018310546875</v>
      </c>
      <c r="BC527" s="9">
        <v>202000</v>
      </c>
      <c r="BD527" s="9">
        <v>400</v>
      </c>
      <c r="BE527" s="9">
        <v>40</v>
      </c>
      <c r="BF527" s="9"/>
      <c r="BG527" s="9">
        <v>5200</v>
      </c>
      <c r="BH527" s="9">
        <v>3980</v>
      </c>
      <c r="BI527" s="9">
        <v>710</v>
      </c>
      <c r="BJ527" s="9">
        <v>218000</v>
      </c>
      <c r="BK527" s="9">
        <v>480</v>
      </c>
      <c r="BL527" s="9">
        <v>60</v>
      </c>
      <c r="BM527" s="9"/>
      <c r="BN527" s="9">
        <v>6300</v>
      </c>
      <c r="BO527" s="9">
        <v>4430</v>
      </c>
      <c r="BP527" s="9">
        <v>660</v>
      </c>
      <c r="BQ527" s="9">
        <v>279000</v>
      </c>
      <c r="BR527" s="9">
        <v>490</v>
      </c>
      <c r="BS527" s="9">
        <v>40</v>
      </c>
      <c r="BT527" s="9"/>
      <c r="BU527" s="9">
        <v>5700</v>
      </c>
      <c r="BV527" s="9">
        <v>5200</v>
      </c>
      <c r="BW527" s="9">
        <v>680</v>
      </c>
      <c r="BX527" s="9">
        <v>223000</v>
      </c>
      <c r="BY527" s="9">
        <v>390</v>
      </c>
      <c r="BZ527" s="10" t="s">
        <v>297</v>
      </c>
      <c r="CA527" s="9">
        <v>10</v>
      </c>
      <c r="CB527" s="9"/>
      <c r="CC527" s="10">
        <f t="shared" si="197"/>
        <v>4.7671220919368151</v>
      </c>
      <c r="CD527" s="10">
        <f t="shared" si="198"/>
        <v>276.71225935955073</v>
      </c>
      <c r="CE527" s="10">
        <f t="shared" si="189"/>
        <v>962958.66257123661</v>
      </c>
      <c r="CF527" s="10">
        <f t="shared" si="190"/>
        <v>1</v>
      </c>
      <c r="CG527" s="10">
        <f t="shared" si="192"/>
        <v>0</v>
      </c>
      <c r="CH527" s="10">
        <f t="shared" si="193"/>
        <v>3</v>
      </c>
      <c r="CI527" s="9">
        <f t="shared" si="199"/>
        <v>1</v>
      </c>
      <c r="CJ527" s="10">
        <f t="shared" si="194"/>
        <v>27</v>
      </c>
      <c r="CK527" s="10" t="b">
        <f t="shared" si="200"/>
        <v>1</v>
      </c>
      <c r="CL527" s="10" t="b">
        <f t="shared" si="201"/>
        <v>1</v>
      </c>
      <c r="CM527" s="10" t="b">
        <f t="shared" si="202"/>
        <v>1</v>
      </c>
      <c r="CN527" s="9">
        <f t="shared" si="203"/>
        <v>1</v>
      </c>
      <c r="CO527" s="10">
        <f t="shared" si="206"/>
        <v>4</v>
      </c>
      <c r="CP527" s="10" t="b">
        <f t="shared" si="204"/>
        <v>1</v>
      </c>
      <c r="CQ527" s="10" t="b">
        <f t="shared" si="205"/>
        <v>0</v>
      </c>
      <c r="CR527" s="10" cm="1">
        <f t="array" ref="CR527">_xlfn.IFS(AND($CI527=0, CK527=FALSE), NA(), AND($CI527=1, CK527=FALSE), 0, CK527=TRUE, 1)</f>
        <v>1</v>
      </c>
      <c r="CS527" s="10" cm="1">
        <f t="array" ref="CS527">_xlfn.IFS(AND($CI527=0, CL527=FALSE), NA(), AND($CI527=1, CL527=FALSE), 0, CL527=TRUE, 1)</f>
        <v>1</v>
      </c>
      <c r="CT527" s="10" cm="1">
        <f t="array" ref="CT527">_xlfn.IFS(AND($CI527=0, CM527=FALSE), NA(), AND($CI527=1, CM527=FALSE), 0, CM527=TRUE, 1)</f>
        <v>1</v>
      </c>
      <c r="CU527" s="10" cm="1">
        <f t="array" ref="CU527">_xlfn.IFS(AND($CN527=0, CP527=FALSE), NA(), AND($CN527=1, CP527=FALSE), 0, CP527=TRUE, 1)</f>
        <v>1</v>
      </c>
      <c r="CV527" s="10" cm="1">
        <f t="array" ref="CV527">_xlfn.IFS(AND($CN527=0, CQ527=FALSE), NA(), AND($CN527=1, CQ527=FALSE), 0, CQ527=TRUE, 1)</f>
        <v>0</v>
      </c>
    </row>
    <row r="528" spans="1:100" ht="15.75" x14ac:dyDescent="0.25">
      <c r="A528" s="8">
        <v>527</v>
      </c>
      <c r="B528" s="9">
        <v>457</v>
      </c>
      <c r="C528" s="10" t="s">
        <v>30</v>
      </c>
      <c r="D528" s="11" t="s">
        <v>53</v>
      </c>
      <c r="E528" s="12">
        <v>15732</v>
      </c>
      <c r="F528" s="13">
        <v>1</v>
      </c>
      <c r="G528" s="9">
        <v>74.874740600585938</v>
      </c>
      <c r="H528" s="12">
        <v>43080</v>
      </c>
      <c r="I528" s="9">
        <v>0</v>
      </c>
      <c r="J528" s="12"/>
      <c r="K528" s="9">
        <v>1</v>
      </c>
      <c r="L528" s="9">
        <v>1</v>
      </c>
      <c r="M528" s="10" t="s">
        <v>401</v>
      </c>
      <c r="N528" s="9">
        <v>2</v>
      </c>
      <c r="O528" s="10" t="s">
        <v>145</v>
      </c>
      <c r="P528" s="9">
        <v>2</v>
      </c>
      <c r="Q528" s="10" t="s">
        <v>411</v>
      </c>
      <c r="R528" s="12">
        <v>43080</v>
      </c>
      <c r="S528" s="10" t="s">
        <v>146</v>
      </c>
      <c r="T528" s="9"/>
      <c r="U528" s="10" t="s">
        <v>401</v>
      </c>
      <c r="V528" s="10" t="s">
        <v>401</v>
      </c>
      <c r="W528" s="9"/>
      <c r="X528" s="9"/>
      <c r="Y528" s="9">
        <v>2</v>
      </c>
      <c r="Z528" s="14">
        <v>2</v>
      </c>
      <c r="AA528" s="15">
        <v>10.8</v>
      </c>
      <c r="AB528" s="16">
        <v>74</v>
      </c>
      <c r="AC528" s="16">
        <v>8</v>
      </c>
      <c r="AD528" s="9">
        <v>3</v>
      </c>
      <c r="AE528" s="9">
        <v>3</v>
      </c>
      <c r="AF528" s="9">
        <v>2</v>
      </c>
      <c r="AG528" s="9">
        <v>0</v>
      </c>
      <c r="AH528" s="9">
        <v>1</v>
      </c>
      <c r="AI528" s="9">
        <v>0</v>
      </c>
      <c r="AJ528" s="12">
        <v>43550</v>
      </c>
      <c r="AK528" s="9">
        <v>2</v>
      </c>
      <c r="AL528" s="12">
        <v>43663</v>
      </c>
      <c r="AM528" s="9">
        <v>2</v>
      </c>
      <c r="AN528" s="12">
        <v>43720</v>
      </c>
      <c r="AO528" s="12">
        <v>43876</v>
      </c>
      <c r="AP528" s="12">
        <v>43876</v>
      </c>
      <c r="AQ528" s="9">
        <v>1</v>
      </c>
      <c r="AR528" s="9">
        <f t="shared" si="195"/>
        <v>1</v>
      </c>
      <c r="AS528" s="9">
        <v>1</v>
      </c>
      <c r="AT528" s="9">
        <v>2</v>
      </c>
      <c r="AU528" s="9">
        <v>2</v>
      </c>
      <c r="AV528" s="9">
        <f t="shared" si="196"/>
        <v>1</v>
      </c>
      <c r="AW528" s="12">
        <v>43876</v>
      </c>
      <c r="AX528" s="9">
        <v>4980</v>
      </c>
      <c r="AY528" s="9">
        <v>2850</v>
      </c>
      <c r="AZ528" s="9">
        <v>1210</v>
      </c>
      <c r="BA528" s="9">
        <v>2850</v>
      </c>
      <c r="BB528" s="9">
        <v>1210.000244140625</v>
      </c>
      <c r="BC528" s="9">
        <v>346000</v>
      </c>
      <c r="BD528" s="9">
        <v>570</v>
      </c>
      <c r="BE528" s="9">
        <v>90</v>
      </c>
      <c r="BF528" s="9">
        <v>344</v>
      </c>
      <c r="BG528" s="9">
        <v>4690</v>
      </c>
      <c r="BH528" s="9">
        <v>2670</v>
      </c>
      <c r="BI528" s="9">
        <v>1320</v>
      </c>
      <c r="BJ528" s="9">
        <v>350000</v>
      </c>
      <c r="BK528" s="9">
        <v>580</v>
      </c>
      <c r="BL528" s="9">
        <v>110</v>
      </c>
      <c r="BM528" s="9">
        <v>350</v>
      </c>
      <c r="BN528" s="9">
        <v>5180</v>
      </c>
      <c r="BO528" s="9">
        <v>3050</v>
      </c>
      <c r="BP528" s="9">
        <v>1480</v>
      </c>
      <c r="BQ528" s="9">
        <v>360000</v>
      </c>
      <c r="BR528" s="9">
        <v>500</v>
      </c>
      <c r="BS528" s="9">
        <v>100</v>
      </c>
      <c r="BT528" s="9">
        <v>365</v>
      </c>
      <c r="BU528" s="9">
        <v>4990</v>
      </c>
      <c r="BV528" s="9">
        <v>2940</v>
      </c>
      <c r="BW528" s="9">
        <v>1400</v>
      </c>
      <c r="BX528" s="9">
        <v>355000</v>
      </c>
      <c r="BY528" s="9">
        <v>530</v>
      </c>
      <c r="BZ528" s="10" t="s">
        <v>532</v>
      </c>
      <c r="CA528" s="9">
        <v>90</v>
      </c>
      <c r="CB528" s="9">
        <v>344</v>
      </c>
      <c r="CC528" s="10">
        <f t="shared" si="197"/>
        <v>2.3553714255852465</v>
      </c>
      <c r="CD528" s="10">
        <f t="shared" si="198"/>
        <v>285.95035552719133</v>
      </c>
      <c r="CE528" s="10">
        <f t="shared" si="189"/>
        <v>814958.51325249532</v>
      </c>
      <c r="CF528" s="10">
        <f t="shared" si="190"/>
        <v>1</v>
      </c>
      <c r="CG528" s="10">
        <f t="shared" si="192"/>
        <v>1</v>
      </c>
      <c r="CH528" s="10">
        <f t="shared" si="193"/>
        <v>4</v>
      </c>
      <c r="CI528" s="9">
        <f t="shared" si="199"/>
        <v>1</v>
      </c>
      <c r="CJ528" s="10">
        <f t="shared" si="194"/>
        <v>11</v>
      </c>
      <c r="CK528" s="10" t="b">
        <f t="shared" si="200"/>
        <v>1</v>
      </c>
      <c r="CL528" s="10" t="b">
        <f t="shared" si="201"/>
        <v>0</v>
      </c>
      <c r="CM528" s="10" t="b">
        <f t="shared" si="202"/>
        <v>0</v>
      </c>
      <c r="CN528" s="9">
        <f t="shared" si="203"/>
        <v>1</v>
      </c>
      <c r="CO528" s="10">
        <f t="shared" si="206"/>
        <v>11</v>
      </c>
      <c r="CP528" s="10" t="b">
        <f t="shared" si="204"/>
        <v>1</v>
      </c>
      <c r="CQ528" s="10" t="b">
        <f t="shared" si="205"/>
        <v>1</v>
      </c>
      <c r="CR528" s="10" cm="1">
        <f t="array" ref="CR528">_xlfn.IFS(AND($CI528=0, CK528=FALSE), NA(), AND($CI528=1, CK528=FALSE), 0, CK528=TRUE, 1)</f>
        <v>1</v>
      </c>
      <c r="CS528" s="10" cm="1">
        <f t="array" ref="CS528">_xlfn.IFS(AND($CI528=0, CL528=FALSE), NA(), AND($CI528=1, CL528=FALSE), 0, CL528=TRUE, 1)</f>
        <v>0</v>
      </c>
      <c r="CT528" s="10" cm="1">
        <f t="array" ref="CT528">_xlfn.IFS(AND($CI528=0, CM528=FALSE), NA(), AND($CI528=1, CM528=FALSE), 0, CM528=TRUE, 1)</f>
        <v>0</v>
      </c>
      <c r="CU528" s="10" cm="1">
        <f t="array" ref="CU528">_xlfn.IFS(AND($CN528=0, CP528=FALSE), NA(), AND($CN528=1, CP528=FALSE), 0, CP528=TRUE, 1)</f>
        <v>1</v>
      </c>
      <c r="CV528" s="10" cm="1">
        <f t="array" ref="CV528">_xlfn.IFS(AND($CN528=0, CQ528=FALSE), NA(), AND($CN528=1, CQ528=FALSE), 0, CQ528=TRUE, 1)</f>
        <v>1</v>
      </c>
    </row>
    <row r="529" spans="1:100" ht="15.75" x14ac:dyDescent="0.25">
      <c r="A529" s="8">
        <v>528</v>
      </c>
      <c r="B529" s="9">
        <v>296</v>
      </c>
      <c r="C529" s="10" t="s">
        <v>22</v>
      </c>
      <c r="D529" s="11" t="s">
        <v>75</v>
      </c>
      <c r="E529" s="12">
        <v>14864</v>
      </c>
      <c r="F529" s="13">
        <v>2</v>
      </c>
      <c r="G529" s="9">
        <v>77.253936767578125</v>
      </c>
      <c r="H529" s="12">
        <v>43081</v>
      </c>
      <c r="I529" s="9">
        <v>1</v>
      </c>
      <c r="J529" s="12">
        <v>43081</v>
      </c>
      <c r="K529" s="9">
        <v>0</v>
      </c>
      <c r="L529" s="9">
        <v>1</v>
      </c>
      <c r="M529" s="10" t="s">
        <v>401</v>
      </c>
      <c r="N529" s="9">
        <v>2</v>
      </c>
      <c r="O529" s="10" t="s">
        <v>145</v>
      </c>
      <c r="P529" s="9">
        <v>2</v>
      </c>
      <c r="Q529" s="10" t="s">
        <v>145</v>
      </c>
      <c r="R529" s="12">
        <v>43353</v>
      </c>
      <c r="S529" s="10" t="s">
        <v>146</v>
      </c>
      <c r="T529" s="9"/>
      <c r="U529" s="10" t="s">
        <v>401</v>
      </c>
      <c r="V529" s="10" t="s">
        <v>401</v>
      </c>
      <c r="W529" s="9"/>
      <c r="X529" s="9"/>
      <c r="Y529" s="9">
        <v>2</v>
      </c>
      <c r="Z529" s="14">
        <v>2</v>
      </c>
      <c r="AB529" s="9"/>
      <c r="AC529" s="9"/>
      <c r="AD529" s="9">
        <v>2</v>
      </c>
      <c r="AE529" s="9">
        <v>2</v>
      </c>
      <c r="AF529" s="9">
        <v>1</v>
      </c>
      <c r="AG529" s="9">
        <v>0</v>
      </c>
      <c r="AH529" s="9">
        <v>1</v>
      </c>
      <c r="AI529" s="9">
        <v>0</v>
      </c>
      <c r="AJ529" s="12">
        <v>43591</v>
      </c>
      <c r="AK529" s="9">
        <v>2</v>
      </c>
      <c r="AL529" s="12">
        <v>43693</v>
      </c>
      <c r="AM529" s="9">
        <v>4</v>
      </c>
      <c r="AN529" s="12">
        <v>43714</v>
      </c>
      <c r="AO529" s="12">
        <v>43714</v>
      </c>
      <c r="AP529" s="12">
        <v>43714</v>
      </c>
      <c r="AQ529" s="9">
        <v>1</v>
      </c>
      <c r="AR529" s="9">
        <f t="shared" si="195"/>
        <v>1</v>
      </c>
      <c r="AS529" s="9">
        <v>1</v>
      </c>
      <c r="AT529" s="9">
        <v>2</v>
      </c>
      <c r="AU529" s="9">
        <v>2</v>
      </c>
      <c r="AV529" s="9">
        <f t="shared" si="196"/>
        <v>1</v>
      </c>
      <c r="AW529" s="12">
        <v>43714</v>
      </c>
      <c r="AX529" s="9">
        <v>6250</v>
      </c>
      <c r="AY529" s="9">
        <v>3250</v>
      </c>
      <c r="AZ529" s="9">
        <v>1820</v>
      </c>
      <c r="BA529" s="9">
        <v>3250</v>
      </c>
      <c r="BB529" s="9">
        <v>1820</v>
      </c>
      <c r="BC529" s="9">
        <v>188000</v>
      </c>
      <c r="BD529" s="9">
        <v>410</v>
      </c>
      <c r="BE529" s="9">
        <v>210</v>
      </c>
      <c r="BF529" s="9"/>
      <c r="BG529" s="9">
        <v>5590</v>
      </c>
      <c r="BH529" s="9">
        <v>2990</v>
      </c>
      <c r="BI529" s="9">
        <v>1230</v>
      </c>
      <c r="BJ529" s="9">
        <v>193000</v>
      </c>
      <c r="BK529" s="9">
        <v>390</v>
      </c>
      <c r="BL529" s="9">
        <v>190</v>
      </c>
      <c r="BM529" s="9"/>
      <c r="BN529" s="9">
        <v>6710</v>
      </c>
      <c r="BO529" s="9">
        <v>3510</v>
      </c>
      <c r="BP529" s="9">
        <v>1420</v>
      </c>
      <c r="BQ529" s="9">
        <v>189000</v>
      </c>
      <c r="BR529" s="9">
        <v>445</v>
      </c>
      <c r="BS529" s="9">
        <v>210</v>
      </c>
      <c r="BT529" s="9"/>
      <c r="BU529" s="9">
        <v>6210</v>
      </c>
      <c r="BV529" s="9">
        <v>3200</v>
      </c>
      <c r="BW529" s="9">
        <v>1770</v>
      </c>
      <c r="BX529" s="9">
        <v>178000</v>
      </c>
      <c r="BY529" s="9">
        <v>390</v>
      </c>
      <c r="BZ529" s="10" t="s">
        <v>547</v>
      </c>
      <c r="CA529" s="9">
        <v>180</v>
      </c>
      <c r="CB529" s="9"/>
      <c r="CC529" s="10">
        <f t="shared" si="197"/>
        <v>1.7857142857142858</v>
      </c>
      <c r="CD529" s="10">
        <f t="shared" si="198"/>
        <v>103.2967032967033</v>
      </c>
      <c r="CE529" s="10">
        <f t="shared" si="189"/>
        <v>335714.28571428574</v>
      </c>
      <c r="CF529" s="10">
        <f t="shared" si="190"/>
        <v>0</v>
      </c>
      <c r="CG529" s="10">
        <f t="shared" si="192"/>
        <v>0</v>
      </c>
      <c r="CH529" s="10">
        <f t="shared" si="193"/>
        <v>3</v>
      </c>
      <c r="CI529" s="9">
        <f t="shared" si="199"/>
        <v>1</v>
      </c>
      <c r="CJ529" s="10">
        <f t="shared" si="194"/>
        <v>4</v>
      </c>
      <c r="CK529" s="10" t="b">
        <f t="shared" si="200"/>
        <v>0</v>
      </c>
      <c r="CL529" s="10" t="b">
        <f t="shared" si="201"/>
        <v>0</v>
      </c>
      <c r="CM529" s="10" t="b">
        <f t="shared" si="202"/>
        <v>0</v>
      </c>
      <c r="CN529" s="9">
        <f t="shared" si="203"/>
        <v>1</v>
      </c>
      <c r="CO529" s="10">
        <f t="shared" si="206"/>
        <v>4</v>
      </c>
      <c r="CP529" s="10" t="b">
        <f t="shared" si="204"/>
        <v>1</v>
      </c>
      <c r="CQ529" s="10" t="b">
        <f t="shared" si="205"/>
        <v>0</v>
      </c>
      <c r="CR529" s="10" cm="1">
        <f t="array" ref="CR529">_xlfn.IFS(AND($CI529=0, CK529=FALSE), NA(), AND($CI529=1, CK529=FALSE), 0, CK529=TRUE, 1)</f>
        <v>0</v>
      </c>
      <c r="CS529" s="10" cm="1">
        <f t="array" ref="CS529">_xlfn.IFS(AND($CI529=0, CL529=FALSE), NA(), AND($CI529=1, CL529=FALSE), 0, CL529=TRUE, 1)</f>
        <v>0</v>
      </c>
      <c r="CT529" s="10" cm="1">
        <f t="array" ref="CT529">_xlfn.IFS(AND($CI529=0, CM529=FALSE), NA(), AND($CI529=1, CM529=FALSE), 0, CM529=TRUE, 1)</f>
        <v>0</v>
      </c>
      <c r="CU529" s="10" cm="1">
        <f t="array" ref="CU529">_xlfn.IFS(AND($CN529=0, CP529=FALSE), NA(), AND($CN529=1, CP529=FALSE), 0, CP529=TRUE, 1)</f>
        <v>1</v>
      </c>
      <c r="CV529" s="10" cm="1">
        <f t="array" ref="CV529">_xlfn.IFS(AND($CN529=0, CQ529=FALSE), NA(), AND($CN529=1, CQ529=FALSE), 0, CQ529=TRUE, 1)</f>
        <v>0</v>
      </c>
    </row>
    <row r="530" spans="1:100" ht="15.75" x14ac:dyDescent="0.25">
      <c r="A530" s="8">
        <v>529</v>
      </c>
      <c r="B530" s="9">
        <v>293</v>
      </c>
      <c r="C530" s="10" t="s">
        <v>22</v>
      </c>
      <c r="D530" s="11" t="s">
        <v>255</v>
      </c>
      <c r="E530" s="12">
        <v>15267</v>
      </c>
      <c r="F530" s="13">
        <v>2</v>
      </c>
      <c r="G530" s="9">
        <v>76.2108154296875</v>
      </c>
      <c r="H530" s="12">
        <v>43103</v>
      </c>
      <c r="I530" s="9">
        <v>0</v>
      </c>
      <c r="J530" s="12"/>
      <c r="K530" s="9">
        <v>1</v>
      </c>
      <c r="L530" s="9">
        <v>1</v>
      </c>
      <c r="M530" s="10" t="s">
        <v>401</v>
      </c>
      <c r="N530" s="9">
        <v>2</v>
      </c>
      <c r="O530" s="10" t="s">
        <v>145</v>
      </c>
      <c r="P530" s="9">
        <v>2</v>
      </c>
      <c r="Q530" s="10" t="s">
        <v>145</v>
      </c>
      <c r="R530" s="12">
        <v>43103</v>
      </c>
      <c r="S530" s="10" t="s">
        <v>146</v>
      </c>
      <c r="T530" s="9"/>
      <c r="U530" s="10" t="s">
        <v>401</v>
      </c>
      <c r="V530" s="10" t="s">
        <v>401</v>
      </c>
      <c r="W530" s="9"/>
      <c r="X530" s="9"/>
      <c r="Y530" s="9">
        <v>2</v>
      </c>
      <c r="Z530" s="14">
        <v>2</v>
      </c>
      <c r="AB530" s="9"/>
      <c r="AC530" s="9"/>
      <c r="AD530" s="9">
        <v>2</v>
      </c>
      <c r="AE530" s="9">
        <v>2</v>
      </c>
      <c r="AF530" s="9">
        <v>1</v>
      </c>
      <c r="AG530" s="9">
        <v>0</v>
      </c>
      <c r="AH530" s="9">
        <v>0</v>
      </c>
      <c r="AI530" s="9">
        <v>1</v>
      </c>
      <c r="AJ530" s="12">
        <v>43350</v>
      </c>
      <c r="AK530" s="9">
        <v>2</v>
      </c>
      <c r="AL530" s="12">
        <v>43378</v>
      </c>
      <c r="AM530" s="9">
        <v>3</v>
      </c>
      <c r="AN530" s="12">
        <v>43477</v>
      </c>
      <c r="AO530" s="12">
        <v>43773</v>
      </c>
      <c r="AP530" s="12">
        <v>43773</v>
      </c>
      <c r="AQ530" s="9">
        <v>1</v>
      </c>
      <c r="AR530" s="9">
        <f t="shared" si="195"/>
        <v>1</v>
      </c>
      <c r="AS530" s="9">
        <v>1</v>
      </c>
      <c r="AT530" s="9">
        <v>2</v>
      </c>
      <c r="AU530" s="9">
        <v>2</v>
      </c>
      <c r="AV530" s="9">
        <f t="shared" si="196"/>
        <v>1</v>
      </c>
      <c r="AW530" s="12">
        <v>43773</v>
      </c>
      <c r="AX530" s="9">
        <v>5100</v>
      </c>
      <c r="AY530" s="9">
        <v>2450</v>
      </c>
      <c r="AZ530" s="9">
        <v>1220</v>
      </c>
      <c r="BA530" s="9">
        <v>2450</v>
      </c>
      <c r="BB530" s="9">
        <v>1219.9998779296875</v>
      </c>
      <c r="BC530" s="9">
        <v>192000</v>
      </c>
      <c r="BD530" s="9">
        <v>330</v>
      </c>
      <c r="BE530" s="9">
        <v>180</v>
      </c>
      <c r="BF530" s="9"/>
      <c r="BG530" s="9">
        <v>5100</v>
      </c>
      <c r="BH530" s="9">
        <v>2870</v>
      </c>
      <c r="BI530" s="9">
        <v>1060</v>
      </c>
      <c r="BJ530" s="9">
        <v>186000</v>
      </c>
      <c r="BK530" s="9">
        <v>310</v>
      </c>
      <c r="BL530" s="9">
        <v>220</v>
      </c>
      <c r="BM530" s="9"/>
      <c r="BN530" s="9">
        <v>5600</v>
      </c>
      <c r="BO530" s="9">
        <v>2790</v>
      </c>
      <c r="BP530" s="9">
        <v>1220</v>
      </c>
      <c r="BQ530" s="9">
        <v>197000</v>
      </c>
      <c r="BR530" s="9">
        <v>310</v>
      </c>
      <c r="BS530" s="9">
        <v>190</v>
      </c>
      <c r="BT530" s="9"/>
      <c r="BU530" s="9"/>
      <c r="BV530" s="9"/>
      <c r="BW530" s="9"/>
      <c r="BX530" s="9"/>
      <c r="BY530" s="9"/>
      <c r="BZ530" s="10" t="s">
        <v>401</v>
      </c>
      <c r="CA530" s="9"/>
      <c r="CB530" s="9"/>
      <c r="CC530" s="10">
        <f t="shared" si="197"/>
        <v>2.0081969222469063</v>
      </c>
      <c r="CD530" s="10">
        <f t="shared" si="198"/>
        <v>157.3770649271045</v>
      </c>
      <c r="CE530" s="10">
        <f t="shared" si="189"/>
        <v>385573.80907140602</v>
      </c>
      <c r="CF530" s="10">
        <f t="shared" si="190"/>
        <v>1</v>
      </c>
      <c r="CG530" s="10">
        <f t="shared" si="192"/>
        <v>0</v>
      </c>
      <c r="CH530" s="10">
        <f t="shared" si="193"/>
        <v>1</v>
      </c>
      <c r="CI530" s="9">
        <f t="shared" si="199"/>
        <v>1</v>
      </c>
      <c r="CJ530" s="10">
        <f t="shared" si="194"/>
        <v>14</v>
      </c>
      <c r="CK530" s="10" t="b">
        <f t="shared" si="200"/>
        <v>1</v>
      </c>
      <c r="CL530" s="10" t="b">
        <f t="shared" si="201"/>
        <v>0</v>
      </c>
      <c r="CM530" s="10" t="b">
        <f t="shared" si="202"/>
        <v>0</v>
      </c>
      <c r="CN530" s="9">
        <f t="shared" si="203"/>
        <v>1</v>
      </c>
      <c r="CO530" s="10">
        <f t="shared" si="206"/>
        <v>14</v>
      </c>
      <c r="CP530" s="10" t="b">
        <f t="shared" si="204"/>
        <v>1</v>
      </c>
      <c r="CQ530" s="10" t="b">
        <f t="shared" si="205"/>
        <v>1</v>
      </c>
      <c r="CR530" s="10" cm="1">
        <f t="array" ref="CR530">_xlfn.IFS(AND($CI530=0, CK530=FALSE), NA(), AND($CI530=1, CK530=FALSE), 0, CK530=TRUE, 1)</f>
        <v>1</v>
      </c>
      <c r="CS530" s="10" cm="1">
        <f t="array" ref="CS530">_xlfn.IFS(AND($CI530=0, CL530=FALSE), NA(), AND($CI530=1, CL530=FALSE), 0, CL530=TRUE, 1)</f>
        <v>0</v>
      </c>
      <c r="CT530" s="10" cm="1">
        <f t="array" ref="CT530">_xlfn.IFS(AND($CI530=0, CM530=FALSE), NA(), AND($CI530=1, CM530=FALSE), 0, CM530=TRUE, 1)</f>
        <v>0</v>
      </c>
      <c r="CU530" s="10" cm="1">
        <f t="array" ref="CU530">_xlfn.IFS(AND($CN530=0, CP530=FALSE), NA(), AND($CN530=1, CP530=FALSE), 0, CP530=TRUE, 1)</f>
        <v>1</v>
      </c>
      <c r="CV530" s="10" cm="1">
        <f t="array" ref="CV530">_xlfn.IFS(AND($CN530=0, CQ530=FALSE), NA(), AND($CN530=1, CQ530=FALSE), 0, CQ530=TRUE, 1)</f>
        <v>1</v>
      </c>
    </row>
    <row r="531" spans="1:100" ht="15.75" x14ac:dyDescent="0.25">
      <c r="A531" s="8">
        <v>530</v>
      </c>
      <c r="B531" s="9">
        <v>145</v>
      </c>
      <c r="C531" s="10" t="s">
        <v>16</v>
      </c>
      <c r="D531" s="11" t="s">
        <v>183</v>
      </c>
      <c r="E531" s="12">
        <v>18428</v>
      </c>
      <c r="F531" s="13">
        <v>1</v>
      </c>
      <c r="G531" s="9">
        <v>67.575630187988281</v>
      </c>
      <c r="H531" s="12">
        <v>43110</v>
      </c>
      <c r="I531" s="9">
        <v>1</v>
      </c>
      <c r="J531" s="12">
        <v>43110</v>
      </c>
      <c r="K531" s="9">
        <v>0</v>
      </c>
      <c r="L531" s="9">
        <v>1</v>
      </c>
      <c r="M531" s="10" t="s">
        <v>401</v>
      </c>
      <c r="N531" s="9">
        <v>2</v>
      </c>
      <c r="O531" s="10" t="s">
        <v>409</v>
      </c>
      <c r="P531" s="9">
        <v>2</v>
      </c>
      <c r="Q531" s="10" t="s">
        <v>409</v>
      </c>
      <c r="R531" s="12">
        <v>43279</v>
      </c>
      <c r="S531" s="10" t="s">
        <v>450</v>
      </c>
      <c r="T531" s="9"/>
      <c r="U531" s="10" t="s">
        <v>401</v>
      </c>
      <c r="V531" s="10" t="s">
        <v>401</v>
      </c>
      <c r="W531" s="9"/>
      <c r="X531" s="9"/>
      <c r="Y531" s="9">
        <v>2</v>
      </c>
      <c r="Z531" s="40"/>
      <c r="AA531" s="15">
        <v>8.6</v>
      </c>
      <c r="AB531" s="16">
        <v>77</v>
      </c>
      <c r="AC531" s="16">
        <v>18</v>
      </c>
      <c r="AD531" s="9">
        <v>2</v>
      </c>
      <c r="AE531" s="9">
        <v>2</v>
      </c>
      <c r="AF531" s="9">
        <v>1</v>
      </c>
      <c r="AG531" s="9">
        <v>1</v>
      </c>
      <c r="AH531" s="9">
        <v>1</v>
      </c>
      <c r="AI531" s="9">
        <v>1</v>
      </c>
      <c r="AJ531" s="12">
        <v>43670</v>
      </c>
      <c r="AK531" s="9">
        <v>2</v>
      </c>
      <c r="AL531" s="12">
        <v>43684</v>
      </c>
      <c r="AM531" s="9">
        <v>4</v>
      </c>
      <c r="AN531" s="12">
        <v>43705</v>
      </c>
      <c r="AO531" s="12">
        <v>43705</v>
      </c>
      <c r="AP531" s="12">
        <v>43705</v>
      </c>
      <c r="AQ531" s="9">
        <v>1</v>
      </c>
      <c r="AR531" s="9">
        <f t="shared" si="195"/>
        <v>1</v>
      </c>
      <c r="AS531" s="9">
        <v>1</v>
      </c>
      <c r="AT531" s="9">
        <v>2</v>
      </c>
      <c r="AU531" s="9">
        <v>2</v>
      </c>
      <c r="AV531" s="9">
        <f t="shared" si="196"/>
        <v>1</v>
      </c>
      <c r="AW531" s="12">
        <v>43705</v>
      </c>
      <c r="AX531" s="9">
        <v>8510</v>
      </c>
      <c r="AY531" s="9">
        <v>6960</v>
      </c>
      <c r="AZ531" s="9">
        <v>850</v>
      </c>
      <c r="BA531" s="9">
        <v>6960</v>
      </c>
      <c r="BB531" s="9">
        <v>850.00006103515625</v>
      </c>
      <c r="BC531" s="9">
        <v>316000</v>
      </c>
      <c r="BD531" s="9">
        <v>590</v>
      </c>
      <c r="BE531" s="9">
        <v>20</v>
      </c>
      <c r="BF531" s="9">
        <v>140</v>
      </c>
      <c r="BG531" s="9">
        <v>12880</v>
      </c>
      <c r="BH531" s="9">
        <v>11539</v>
      </c>
      <c r="BI531" s="9">
        <v>650</v>
      </c>
      <c r="BJ531" s="9">
        <v>246000</v>
      </c>
      <c r="BK531" s="9">
        <v>600</v>
      </c>
      <c r="BL531" s="9">
        <v>0</v>
      </c>
      <c r="BM531" s="9">
        <v>239</v>
      </c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10" t="s">
        <v>401</v>
      </c>
      <c r="CA531" s="9"/>
      <c r="CB531" s="9"/>
      <c r="CC531" s="10">
        <f t="shared" si="197"/>
        <v>8.1882347061527234</v>
      </c>
      <c r="CD531" s="10">
        <f t="shared" si="198"/>
        <v>371.76467918739377</v>
      </c>
      <c r="CE531" s="10">
        <f t="shared" si="189"/>
        <v>2587482.1671442604</v>
      </c>
      <c r="CF531" s="10">
        <f t="shared" si="190"/>
        <v>0</v>
      </c>
      <c r="CG531" s="10">
        <f t="shared" si="192"/>
        <v>0</v>
      </c>
      <c r="CH531" s="10">
        <f t="shared" si="193"/>
        <v>1</v>
      </c>
      <c r="CI531" s="9">
        <f t="shared" si="199"/>
        <v>1</v>
      </c>
      <c r="CJ531" s="10">
        <f t="shared" si="194"/>
        <v>1</v>
      </c>
      <c r="CK531" s="10" t="b">
        <f t="shared" si="200"/>
        <v>0</v>
      </c>
      <c r="CL531" s="10" t="b">
        <f t="shared" si="201"/>
        <v>0</v>
      </c>
      <c r="CM531" s="10" t="b">
        <f t="shared" si="202"/>
        <v>0</v>
      </c>
      <c r="CN531" s="9">
        <f t="shared" si="203"/>
        <v>1</v>
      </c>
      <c r="CO531" s="10">
        <f t="shared" si="206"/>
        <v>1</v>
      </c>
      <c r="CP531" s="10" t="b">
        <f t="shared" si="204"/>
        <v>0</v>
      </c>
      <c r="CQ531" s="10" t="b">
        <f t="shared" si="205"/>
        <v>0</v>
      </c>
      <c r="CR531" s="10" cm="1">
        <f t="array" ref="CR531">_xlfn.IFS(AND($CI531=0, CK531=FALSE), NA(), AND($CI531=1, CK531=FALSE), 0, CK531=TRUE, 1)</f>
        <v>0</v>
      </c>
      <c r="CS531" s="10" cm="1">
        <f t="array" ref="CS531">_xlfn.IFS(AND($CI531=0, CL531=FALSE), NA(), AND($CI531=1, CL531=FALSE), 0, CL531=TRUE, 1)</f>
        <v>0</v>
      </c>
      <c r="CT531" s="10" cm="1">
        <f t="array" ref="CT531">_xlfn.IFS(AND($CI531=0, CM531=FALSE), NA(), AND($CI531=1, CM531=FALSE), 0, CM531=TRUE, 1)</f>
        <v>0</v>
      </c>
      <c r="CU531" s="10" cm="1">
        <f t="array" ref="CU531">_xlfn.IFS(AND($CN531=0, CP531=FALSE), NA(), AND($CN531=1, CP531=FALSE), 0, CP531=TRUE, 1)</f>
        <v>0</v>
      </c>
      <c r="CV531" s="10" cm="1">
        <f t="array" ref="CV531">_xlfn.IFS(AND($CN531=0, CQ531=FALSE), NA(), AND($CN531=1, CQ531=FALSE), 0, CQ531=TRUE, 1)</f>
        <v>0</v>
      </c>
    </row>
    <row r="532" spans="1:100" ht="15.75" x14ac:dyDescent="0.25">
      <c r="A532" s="8">
        <v>531</v>
      </c>
      <c r="B532" s="9">
        <v>157</v>
      </c>
      <c r="C532" s="10" t="s">
        <v>14</v>
      </c>
      <c r="D532" s="11" t="s">
        <v>152</v>
      </c>
      <c r="E532" s="12">
        <v>26099</v>
      </c>
      <c r="F532" s="13">
        <v>1</v>
      </c>
      <c r="G532" s="9">
        <v>46.595481872558594</v>
      </c>
      <c r="H532" s="12">
        <v>43118</v>
      </c>
      <c r="I532" s="9">
        <v>1</v>
      </c>
      <c r="J532" s="12">
        <v>43166</v>
      </c>
      <c r="K532" s="9">
        <v>1</v>
      </c>
      <c r="L532" s="9">
        <v>1</v>
      </c>
      <c r="M532" s="10" t="s">
        <v>401</v>
      </c>
      <c r="N532" s="9">
        <v>2</v>
      </c>
      <c r="O532" s="10" t="s">
        <v>145</v>
      </c>
      <c r="P532" s="9">
        <v>2</v>
      </c>
      <c r="Q532" s="10" t="s">
        <v>145</v>
      </c>
      <c r="R532" s="12">
        <v>43132</v>
      </c>
      <c r="S532" s="10" t="s">
        <v>145</v>
      </c>
      <c r="T532" s="9"/>
      <c r="U532" s="10" t="s">
        <v>401</v>
      </c>
      <c r="V532" s="10" t="s">
        <v>401</v>
      </c>
      <c r="W532" s="9"/>
      <c r="X532" s="9"/>
      <c r="Y532" s="9">
        <v>2</v>
      </c>
      <c r="Z532" s="14">
        <v>1</v>
      </c>
      <c r="AA532" s="15">
        <v>11.3</v>
      </c>
      <c r="AB532" s="16">
        <v>100</v>
      </c>
      <c r="AC532" s="16">
        <v>16</v>
      </c>
      <c r="AD532" s="9">
        <v>2</v>
      </c>
      <c r="AE532" s="9">
        <v>2</v>
      </c>
      <c r="AF532" s="9">
        <v>1</v>
      </c>
      <c r="AG532" s="9">
        <v>1</v>
      </c>
      <c r="AH532" s="9">
        <v>1</v>
      </c>
      <c r="AI532" s="9">
        <v>1</v>
      </c>
      <c r="AJ532" s="12">
        <v>43354</v>
      </c>
      <c r="AK532" s="9">
        <v>2</v>
      </c>
      <c r="AL532" s="12">
        <v>44431</v>
      </c>
      <c r="AM532" s="9">
        <v>2</v>
      </c>
      <c r="AN532" s="12">
        <v>43971</v>
      </c>
      <c r="AO532" s="12">
        <v>44454</v>
      </c>
      <c r="AP532" s="12">
        <v>44454</v>
      </c>
      <c r="AQ532" s="9">
        <v>1</v>
      </c>
      <c r="AR532" s="9">
        <f t="shared" si="195"/>
        <v>1</v>
      </c>
      <c r="AS532" s="9">
        <v>1</v>
      </c>
      <c r="AT532" s="9">
        <v>2</v>
      </c>
      <c r="AU532" s="9">
        <v>1</v>
      </c>
      <c r="AV532" s="9">
        <f t="shared" si="196"/>
        <v>0</v>
      </c>
      <c r="AW532" s="12">
        <v>44971</v>
      </c>
      <c r="AX532" s="9">
        <v>3700</v>
      </c>
      <c r="AY532" s="9">
        <v>1700</v>
      </c>
      <c r="AZ532" s="9">
        <v>1300</v>
      </c>
      <c r="BA532" s="9">
        <v>1700</v>
      </c>
      <c r="BB532" s="9">
        <v>1300.000244140625</v>
      </c>
      <c r="BC532" s="9">
        <v>220000</v>
      </c>
      <c r="BD532" s="9">
        <v>500</v>
      </c>
      <c r="BE532" s="9">
        <v>100</v>
      </c>
      <c r="BF532" s="9">
        <v>184</v>
      </c>
      <c r="BG532" s="9">
        <v>4600</v>
      </c>
      <c r="BH532" s="9">
        <v>2300</v>
      </c>
      <c r="BI532" s="9">
        <v>1600</v>
      </c>
      <c r="BJ532" s="9">
        <v>233000</v>
      </c>
      <c r="BK532" s="9">
        <v>500</v>
      </c>
      <c r="BL532" s="9">
        <v>300</v>
      </c>
      <c r="BM532" s="9">
        <v>181</v>
      </c>
      <c r="BN532" s="9">
        <v>4800</v>
      </c>
      <c r="BO532" s="9">
        <v>2300</v>
      </c>
      <c r="BP532" s="9">
        <v>1800</v>
      </c>
      <c r="BQ532" s="9">
        <v>225000</v>
      </c>
      <c r="BR532" s="9">
        <v>500</v>
      </c>
      <c r="BS532" s="9">
        <v>200</v>
      </c>
      <c r="BT532" s="9">
        <v>168</v>
      </c>
      <c r="BU532" s="9">
        <v>5200</v>
      </c>
      <c r="BV532" s="9">
        <v>2500</v>
      </c>
      <c r="BW532" s="9">
        <v>1900</v>
      </c>
      <c r="BX532" s="9">
        <v>258000</v>
      </c>
      <c r="BY532" s="9">
        <v>500</v>
      </c>
      <c r="BZ532" s="10" t="s">
        <v>542</v>
      </c>
      <c r="CA532" s="9">
        <v>300</v>
      </c>
      <c r="CB532" s="9">
        <v>155</v>
      </c>
      <c r="CC532" s="10">
        <f t="shared" si="197"/>
        <v>1.3076920621071098</v>
      </c>
      <c r="CD532" s="10">
        <f t="shared" si="198"/>
        <v>169.23073744915538</v>
      </c>
      <c r="CE532" s="10">
        <f t="shared" si="189"/>
        <v>287692.25366356416</v>
      </c>
      <c r="CF532" s="10">
        <f t="shared" ref="CF532:CF563" si="207">IF(AM532=4, 0,1)</f>
        <v>1</v>
      </c>
      <c r="CG532" s="10">
        <f t="shared" si="192"/>
        <v>1</v>
      </c>
      <c r="CH532" s="10">
        <f t="shared" si="193"/>
        <v>35</v>
      </c>
      <c r="CI532" s="9">
        <f t="shared" si="199"/>
        <v>0</v>
      </c>
      <c r="CJ532" s="10">
        <f t="shared" si="194"/>
        <v>53</v>
      </c>
      <c r="CK532" s="10" t="b">
        <f t="shared" si="200"/>
        <v>1</v>
      </c>
      <c r="CL532" s="10" t="b">
        <f t="shared" si="201"/>
        <v>1</v>
      </c>
      <c r="CM532" s="10" t="b">
        <f t="shared" si="202"/>
        <v>1</v>
      </c>
      <c r="CN532" s="9">
        <f t="shared" si="203"/>
        <v>1</v>
      </c>
      <c r="CO532" s="10">
        <f t="shared" si="206"/>
        <v>36</v>
      </c>
      <c r="CP532" s="10" t="b">
        <f t="shared" si="204"/>
        <v>1</v>
      </c>
      <c r="CQ532" s="10" t="b">
        <f t="shared" si="205"/>
        <v>1</v>
      </c>
      <c r="CR532" s="10" cm="1">
        <f t="array" ref="CR532">_xlfn.IFS(AND($CI532=0, CK532=FALSE), NA(), AND($CI532=1, CK532=FALSE), 0, CK532=TRUE, 1)</f>
        <v>1</v>
      </c>
      <c r="CS532" s="10" cm="1">
        <f t="array" ref="CS532">_xlfn.IFS(AND($CI532=0, CL532=FALSE), NA(), AND($CI532=1, CL532=FALSE), 0, CL532=TRUE, 1)</f>
        <v>1</v>
      </c>
      <c r="CT532" s="10" cm="1">
        <f t="array" ref="CT532">_xlfn.IFS(AND($CI532=0, CM532=FALSE), NA(), AND($CI532=1, CM532=FALSE), 0, CM532=TRUE, 1)</f>
        <v>1</v>
      </c>
      <c r="CU532" s="10" cm="1">
        <f t="array" ref="CU532">_xlfn.IFS(AND($CN532=0, CP532=FALSE), NA(), AND($CN532=1, CP532=FALSE), 0, CP532=TRUE, 1)</f>
        <v>1</v>
      </c>
      <c r="CV532" s="10" cm="1">
        <f t="array" ref="CV532">_xlfn.IFS(AND($CN532=0, CQ532=FALSE), NA(), AND($CN532=1, CQ532=FALSE), 0, CQ532=TRUE, 1)</f>
        <v>1</v>
      </c>
    </row>
    <row r="533" spans="1:100" ht="15.75" x14ac:dyDescent="0.25">
      <c r="A533" s="8">
        <v>532</v>
      </c>
      <c r="B533" s="9">
        <v>35</v>
      </c>
      <c r="C533" s="10" t="s">
        <v>6</v>
      </c>
      <c r="D533" s="11" t="s">
        <v>70</v>
      </c>
      <c r="E533" s="12">
        <v>28312</v>
      </c>
      <c r="F533" s="13">
        <v>2</v>
      </c>
      <c r="G533" s="9">
        <v>40.577686309814453</v>
      </c>
      <c r="H533" s="12">
        <v>43133</v>
      </c>
      <c r="I533" s="9">
        <v>1</v>
      </c>
      <c r="J533" s="12">
        <v>43171</v>
      </c>
      <c r="K533" s="9">
        <v>1</v>
      </c>
      <c r="L533" s="9">
        <v>1</v>
      </c>
      <c r="M533" s="10" t="s">
        <v>401</v>
      </c>
      <c r="N533" s="9">
        <v>2</v>
      </c>
      <c r="O533" s="10" t="s">
        <v>414</v>
      </c>
      <c r="P533" s="9">
        <v>2</v>
      </c>
      <c r="Q533" s="10" t="s">
        <v>445</v>
      </c>
      <c r="R533" s="12">
        <v>43133</v>
      </c>
      <c r="S533" s="10" t="s">
        <v>145</v>
      </c>
      <c r="T533" s="9"/>
      <c r="U533" s="10" t="s">
        <v>401</v>
      </c>
      <c r="V533" s="10" t="s">
        <v>401</v>
      </c>
      <c r="W533" s="9"/>
      <c r="X533" s="9"/>
      <c r="Y533" s="9">
        <v>2</v>
      </c>
      <c r="Z533" s="14">
        <v>1</v>
      </c>
      <c r="AA533" s="17">
        <v>12.2</v>
      </c>
      <c r="AB533" s="18" t="s">
        <v>470</v>
      </c>
      <c r="AC533" s="18">
        <v>14</v>
      </c>
      <c r="AD533" s="9">
        <v>2</v>
      </c>
      <c r="AE533" s="9">
        <v>2</v>
      </c>
      <c r="AF533" s="9">
        <v>1</v>
      </c>
      <c r="AG533" s="9">
        <v>0</v>
      </c>
      <c r="AH533" s="9">
        <v>1</v>
      </c>
      <c r="AI533" s="9">
        <v>0</v>
      </c>
      <c r="AJ533" s="12">
        <v>43637</v>
      </c>
      <c r="AK533" s="9">
        <v>2</v>
      </c>
      <c r="AL533" s="12">
        <v>44105</v>
      </c>
      <c r="AM533" s="9">
        <v>2</v>
      </c>
      <c r="AN533" s="12">
        <v>43719</v>
      </c>
      <c r="AO533" s="12">
        <v>43845</v>
      </c>
      <c r="AP533" s="12">
        <v>44524</v>
      </c>
      <c r="AQ533" s="9">
        <v>1</v>
      </c>
      <c r="AR533" s="9">
        <f t="shared" si="195"/>
        <v>1</v>
      </c>
      <c r="AS533" s="9">
        <v>1</v>
      </c>
      <c r="AT533" s="9">
        <v>1</v>
      </c>
      <c r="AU533" s="9">
        <v>2</v>
      </c>
      <c r="AV533" s="9">
        <f t="shared" si="196"/>
        <v>1</v>
      </c>
      <c r="AW533" s="12">
        <v>44524</v>
      </c>
      <c r="AX533" s="9">
        <v>4060</v>
      </c>
      <c r="AY533" s="9">
        <v>2490</v>
      </c>
      <c r="AZ533" s="9">
        <v>1230</v>
      </c>
      <c r="BA533" s="9">
        <v>2490</v>
      </c>
      <c r="BB533" s="9">
        <v>1230</v>
      </c>
      <c r="BC533" s="9">
        <v>157000</v>
      </c>
      <c r="BD533" s="9">
        <v>240</v>
      </c>
      <c r="BE533" s="9">
        <v>90</v>
      </c>
      <c r="BF533" s="9">
        <v>135</v>
      </c>
      <c r="BG533" s="9">
        <v>4900</v>
      </c>
      <c r="BH533" s="9">
        <v>2800</v>
      </c>
      <c r="BI533" s="9">
        <v>1600</v>
      </c>
      <c r="BJ533" s="9">
        <v>161000</v>
      </c>
      <c r="BK533" s="9"/>
      <c r="BL533" s="9"/>
      <c r="BM533" s="9">
        <v>181</v>
      </c>
      <c r="BN533" s="9">
        <v>4480</v>
      </c>
      <c r="BO533" s="9">
        <v>2950</v>
      </c>
      <c r="BP533" s="9">
        <v>1130</v>
      </c>
      <c r="BQ533" s="9">
        <v>163000</v>
      </c>
      <c r="BR533" s="9"/>
      <c r="BS533" s="9"/>
      <c r="BT533" s="9">
        <v>111</v>
      </c>
      <c r="BU533" s="9">
        <v>5590</v>
      </c>
      <c r="BV533" s="9">
        <v>3600</v>
      </c>
      <c r="BW533" s="9">
        <v>1800</v>
      </c>
      <c r="BX533" s="9">
        <v>193000</v>
      </c>
      <c r="BY533" s="9"/>
      <c r="BZ533" s="10" t="s">
        <v>401</v>
      </c>
      <c r="CA533" s="9"/>
      <c r="CB533" s="9">
        <v>202</v>
      </c>
      <c r="CC533" s="10">
        <f t="shared" si="197"/>
        <v>2.024390243902439</v>
      </c>
      <c r="CD533" s="10">
        <f t="shared" si="198"/>
        <v>127.64227642276423</v>
      </c>
      <c r="CE533" s="10">
        <f t="shared" si="189"/>
        <v>317829.26829268294</v>
      </c>
      <c r="CF533" s="10">
        <f t="shared" si="207"/>
        <v>1</v>
      </c>
      <c r="CG533" s="10">
        <f t="shared" si="192"/>
        <v>1</v>
      </c>
      <c r="CH533" s="10">
        <f t="shared" si="193"/>
        <v>16</v>
      </c>
      <c r="CI533" s="9">
        <f t="shared" si="199"/>
        <v>1</v>
      </c>
      <c r="CJ533" s="10">
        <f t="shared" si="194"/>
        <v>29</v>
      </c>
      <c r="CK533" s="10" t="b">
        <f t="shared" si="200"/>
        <v>1</v>
      </c>
      <c r="CL533" s="10" t="b">
        <f t="shared" si="201"/>
        <v>1</v>
      </c>
      <c r="CM533" s="10" t="b">
        <f t="shared" si="202"/>
        <v>1</v>
      </c>
      <c r="CN533" s="9">
        <f t="shared" si="203"/>
        <v>1</v>
      </c>
      <c r="CO533" s="10">
        <f t="shared" si="206"/>
        <v>7</v>
      </c>
      <c r="CP533" s="10" t="b">
        <f t="shared" si="204"/>
        <v>1</v>
      </c>
      <c r="CQ533" s="10" t="b">
        <f t="shared" si="205"/>
        <v>0</v>
      </c>
      <c r="CR533" s="10" cm="1">
        <f t="array" ref="CR533">_xlfn.IFS(AND($CI533=0, CK533=FALSE), NA(), AND($CI533=1, CK533=FALSE), 0, CK533=TRUE, 1)</f>
        <v>1</v>
      </c>
      <c r="CS533" s="10" cm="1">
        <f t="array" ref="CS533">_xlfn.IFS(AND($CI533=0, CL533=FALSE), NA(), AND($CI533=1, CL533=FALSE), 0, CL533=TRUE, 1)</f>
        <v>1</v>
      </c>
      <c r="CT533" s="10" cm="1">
        <f t="array" ref="CT533">_xlfn.IFS(AND($CI533=0, CM533=FALSE), NA(), AND($CI533=1, CM533=FALSE), 0, CM533=TRUE, 1)</f>
        <v>1</v>
      </c>
      <c r="CU533" s="10" cm="1">
        <f t="array" ref="CU533">_xlfn.IFS(AND($CN533=0, CP533=FALSE), NA(), AND($CN533=1, CP533=FALSE), 0, CP533=TRUE, 1)</f>
        <v>1</v>
      </c>
      <c r="CV533" s="10" cm="1">
        <f t="array" ref="CV533">_xlfn.IFS(AND($CN533=0, CQ533=FALSE), NA(), AND($CN533=1, CQ533=FALSE), 0, CQ533=TRUE, 1)</f>
        <v>0</v>
      </c>
    </row>
    <row r="534" spans="1:100" x14ac:dyDescent="0.25">
      <c r="A534" s="8">
        <v>533</v>
      </c>
      <c r="B534" s="9">
        <v>105</v>
      </c>
      <c r="C534" s="10" t="s">
        <v>11</v>
      </c>
      <c r="D534" s="11" t="s">
        <v>130</v>
      </c>
      <c r="E534" s="12">
        <v>27338</v>
      </c>
      <c r="F534" s="13">
        <v>2</v>
      </c>
      <c r="G534" s="9">
        <v>43.255306243896484</v>
      </c>
      <c r="H534" s="12">
        <v>43137</v>
      </c>
      <c r="I534" s="9">
        <v>1</v>
      </c>
      <c r="J534" s="12">
        <v>43163</v>
      </c>
      <c r="K534" s="9">
        <v>0</v>
      </c>
      <c r="L534" s="9">
        <v>1</v>
      </c>
      <c r="M534" s="10" t="s">
        <v>401</v>
      </c>
      <c r="N534" s="9">
        <v>2</v>
      </c>
      <c r="O534" s="10" t="s">
        <v>145</v>
      </c>
      <c r="P534" s="9">
        <v>2</v>
      </c>
      <c r="Q534" s="10" t="s">
        <v>145</v>
      </c>
      <c r="R534" s="12">
        <v>43357</v>
      </c>
      <c r="S534" s="10" t="s">
        <v>145</v>
      </c>
      <c r="T534" s="9"/>
      <c r="U534" s="10" t="s">
        <v>401</v>
      </c>
      <c r="V534" s="10" t="s">
        <v>401</v>
      </c>
      <c r="W534" s="9"/>
      <c r="X534" s="9"/>
      <c r="Y534" s="9">
        <v>2</v>
      </c>
      <c r="Z534" s="19">
        <v>1</v>
      </c>
      <c r="AB534" s="9"/>
      <c r="AC534" s="9"/>
      <c r="AD534" s="9">
        <v>2</v>
      </c>
      <c r="AE534" s="9">
        <v>2</v>
      </c>
      <c r="AF534" s="9">
        <v>1</v>
      </c>
      <c r="AG534" s="9">
        <v>0</v>
      </c>
      <c r="AH534" s="9">
        <v>1</v>
      </c>
      <c r="AI534" s="9">
        <v>0</v>
      </c>
      <c r="AJ534" s="12">
        <v>43567</v>
      </c>
      <c r="AK534" s="9">
        <v>1</v>
      </c>
      <c r="AL534" s="12">
        <v>44981</v>
      </c>
      <c r="AM534" s="9">
        <v>2</v>
      </c>
      <c r="AN534" s="12">
        <v>43663</v>
      </c>
      <c r="AO534" s="12"/>
      <c r="AP534" s="12"/>
      <c r="AQ534" s="9">
        <v>2</v>
      </c>
      <c r="AR534" s="9">
        <f t="shared" si="195"/>
        <v>0</v>
      </c>
      <c r="AS534" s="9">
        <v>2</v>
      </c>
      <c r="AT534" s="9"/>
      <c r="AU534" s="9">
        <v>1</v>
      </c>
      <c r="AV534" s="9">
        <f t="shared" si="196"/>
        <v>0</v>
      </c>
      <c r="AW534" s="12">
        <v>44981</v>
      </c>
      <c r="AX534" s="9">
        <v>5500</v>
      </c>
      <c r="AY534" s="9">
        <v>3500</v>
      </c>
      <c r="AZ534" s="9">
        <v>900</v>
      </c>
      <c r="BA534" s="9">
        <v>3500</v>
      </c>
      <c r="BB534" s="9">
        <v>900.0001220703125</v>
      </c>
      <c r="BC534" s="9">
        <v>160000</v>
      </c>
      <c r="BD534" s="9">
        <v>700</v>
      </c>
      <c r="BE534" s="9">
        <v>100</v>
      </c>
      <c r="BF534" s="9"/>
      <c r="BG534" s="9">
        <v>5300</v>
      </c>
      <c r="BH534" s="9">
        <v>3500</v>
      </c>
      <c r="BI534" s="9">
        <v>1000</v>
      </c>
      <c r="BJ534" s="9">
        <v>208000</v>
      </c>
      <c r="BK534" s="9">
        <v>600</v>
      </c>
      <c r="BL534" s="9">
        <v>100</v>
      </c>
      <c r="BM534" s="9"/>
      <c r="BN534" s="9">
        <v>5100</v>
      </c>
      <c r="BO534" s="9">
        <v>3500</v>
      </c>
      <c r="BP534" s="9">
        <v>900</v>
      </c>
      <c r="BQ534" s="9">
        <v>164000</v>
      </c>
      <c r="BR534" s="9">
        <v>500</v>
      </c>
      <c r="BS534" s="9">
        <v>100</v>
      </c>
      <c r="BT534" s="9"/>
      <c r="BU534" s="9">
        <v>4600</v>
      </c>
      <c r="BV534" s="9">
        <v>2600</v>
      </c>
      <c r="BW534" s="9">
        <v>1200</v>
      </c>
      <c r="BX534" s="9">
        <v>166000</v>
      </c>
      <c r="BY534" s="9">
        <v>400</v>
      </c>
      <c r="BZ534" s="10" t="s">
        <v>542</v>
      </c>
      <c r="CA534" s="9">
        <v>300</v>
      </c>
      <c r="CB534" s="9"/>
      <c r="CC534" s="10">
        <f t="shared" si="197"/>
        <v>3.8888883614246472</v>
      </c>
      <c r="CD534" s="10">
        <f t="shared" si="198"/>
        <v>177.77775366512674</v>
      </c>
      <c r="CE534" s="10">
        <f t="shared" si="189"/>
        <v>622222.13782794354</v>
      </c>
      <c r="CF534" s="10">
        <f t="shared" si="207"/>
        <v>1</v>
      </c>
      <c r="CG534" s="10">
        <f t="shared" si="192"/>
        <v>1</v>
      </c>
      <c r="CH534" s="10">
        <f t="shared" si="193"/>
        <v>46</v>
      </c>
      <c r="CI534" s="9">
        <f t="shared" si="199"/>
        <v>0</v>
      </c>
      <c r="CJ534" s="10">
        <f t="shared" si="194"/>
        <v>46</v>
      </c>
      <c r="CK534" s="10" t="b">
        <f t="shared" si="200"/>
        <v>1</v>
      </c>
      <c r="CL534" s="10" t="b">
        <f t="shared" si="201"/>
        <v>1</v>
      </c>
      <c r="CM534" s="10" t="b">
        <f t="shared" si="202"/>
        <v>1</v>
      </c>
      <c r="CN534" s="9">
        <f t="shared" si="203"/>
        <v>0</v>
      </c>
      <c r="CO534" s="10">
        <f>CJ534</f>
        <v>46</v>
      </c>
      <c r="CP534" s="10" t="b">
        <f t="shared" si="204"/>
        <v>1</v>
      </c>
      <c r="CQ534" s="10" t="b">
        <f t="shared" si="205"/>
        <v>1</v>
      </c>
      <c r="CR534" s="10" cm="1">
        <f t="array" ref="CR534">_xlfn.IFS(AND($CI534=0, CK534=FALSE), NA(), AND($CI534=1, CK534=FALSE), 0, CK534=TRUE, 1)</f>
        <v>1</v>
      </c>
      <c r="CS534" s="10" cm="1">
        <f t="array" ref="CS534">_xlfn.IFS(AND($CI534=0, CL534=FALSE), NA(), AND($CI534=1, CL534=FALSE), 0, CL534=TRUE, 1)</f>
        <v>1</v>
      </c>
      <c r="CT534" s="10" cm="1">
        <f t="array" ref="CT534">_xlfn.IFS(AND($CI534=0, CM534=FALSE), NA(), AND($CI534=1, CM534=FALSE), 0, CM534=TRUE, 1)</f>
        <v>1</v>
      </c>
      <c r="CU534" s="10" cm="1">
        <f t="array" ref="CU534">_xlfn.IFS(AND($CN534=0, CP534=FALSE), NA(), AND($CN534=1, CP534=FALSE), 0, CP534=TRUE, 1)</f>
        <v>1</v>
      </c>
      <c r="CV534" s="10" cm="1">
        <f t="array" ref="CV534">_xlfn.IFS(AND($CN534=0, CQ534=FALSE), NA(), AND($CN534=1, CQ534=FALSE), 0, CQ534=TRUE, 1)</f>
        <v>1</v>
      </c>
    </row>
    <row r="535" spans="1:100" ht="15.75" x14ac:dyDescent="0.25">
      <c r="A535" s="8">
        <v>534</v>
      </c>
      <c r="B535" s="9">
        <v>452</v>
      </c>
      <c r="C535" s="10" t="s">
        <v>30</v>
      </c>
      <c r="D535" s="11" t="s">
        <v>196</v>
      </c>
      <c r="E535" s="12">
        <v>16754</v>
      </c>
      <c r="F535" s="13">
        <v>1</v>
      </c>
      <c r="G535" s="9">
        <v>72.2491455078125</v>
      </c>
      <c r="H535" s="12">
        <v>43143</v>
      </c>
      <c r="I535" s="9">
        <v>1</v>
      </c>
      <c r="J535" s="12">
        <v>43173</v>
      </c>
      <c r="K535" s="9">
        <v>1</v>
      </c>
      <c r="L535" s="9">
        <v>1</v>
      </c>
      <c r="M535" s="10" t="s">
        <v>401</v>
      </c>
      <c r="N535" s="9">
        <v>2</v>
      </c>
      <c r="O535" s="10" t="s">
        <v>145</v>
      </c>
      <c r="P535" s="9">
        <v>2</v>
      </c>
      <c r="Q535" s="10" t="s">
        <v>145</v>
      </c>
      <c r="R535" s="12">
        <v>43143</v>
      </c>
      <c r="S535" s="10" t="s">
        <v>145</v>
      </c>
      <c r="T535" s="9"/>
      <c r="U535" s="10" t="s">
        <v>401</v>
      </c>
      <c r="V535" s="10" t="s">
        <v>401</v>
      </c>
      <c r="W535" s="9"/>
      <c r="X535" s="9"/>
      <c r="Y535" s="9">
        <v>2</v>
      </c>
      <c r="Z535" s="14">
        <v>1</v>
      </c>
      <c r="AA535" s="17">
        <v>12.6</v>
      </c>
      <c r="AB535" s="18">
        <v>90</v>
      </c>
      <c r="AC535" s="18">
        <v>13</v>
      </c>
      <c r="AD535" s="9">
        <v>2</v>
      </c>
      <c r="AE535" s="9">
        <v>2</v>
      </c>
      <c r="AF535" s="9">
        <v>1</v>
      </c>
      <c r="AG535" s="9">
        <v>0</v>
      </c>
      <c r="AH535" s="9">
        <v>1</v>
      </c>
      <c r="AI535" s="9">
        <v>0</v>
      </c>
      <c r="AJ535" s="12">
        <v>43641</v>
      </c>
      <c r="AK535" s="9">
        <v>2</v>
      </c>
      <c r="AL535" s="12">
        <v>43852</v>
      </c>
      <c r="AM535" s="9">
        <v>3</v>
      </c>
      <c r="AN535" s="12">
        <v>43725</v>
      </c>
      <c r="AO535" s="12">
        <v>43859</v>
      </c>
      <c r="AP535" s="12">
        <v>43859</v>
      </c>
      <c r="AQ535" s="9">
        <v>1</v>
      </c>
      <c r="AR535" s="9">
        <f t="shared" si="195"/>
        <v>1</v>
      </c>
      <c r="AS535" s="9">
        <v>1</v>
      </c>
      <c r="AT535" s="9">
        <v>2</v>
      </c>
      <c r="AU535" s="9">
        <v>2</v>
      </c>
      <c r="AV535" s="9">
        <f t="shared" si="196"/>
        <v>1</v>
      </c>
      <c r="AW535" s="12">
        <v>43967</v>
      </c>
      <c r="AX535" s="9">
        <v>6200</v>
      </c>
      <c r="AY535" s="9">
        <v>3100</v>
      </c>
      <c r="AZ535" s="9">
        <v>2100</v>
      </c>
      <c r="BA535" s="9">
        <v>3100</v>
      </c>
      <c r="BB535" s="9">
        <v>2099.999755859375</v>
      </c>
      <c r="BC535" s="9">
        <v>114000</v>
      </c>
      <c r="BD535" s="9">
        <v>870</v>
      </c>
      <c r="BE535" s="9">
        <v>80</v>
      </c>
      <c r="BF535" s="9">
        <v>120</v>
      </c>
      <c r="BG535" s="9">
        <v>7760</v>
      </c>
      <c r="BH535" s="9">
        <v>4730</v>
      </c>
      <c r="BI535" s="9">
        <v>1980</v>
      </c>
      <c r="BJ535" s="9">
        <v>244000</v>
      </c>
      <c r="BK535" s="9">
        <v>730</v>
      </c>
      <c r="BL535" s="9">
        <v>280</v>
      </c>
      <c r="BM535" s="9"/>
      <c r="BN535" s="9">
        <v>8920</v>
      </c>
      <c r="BO535" s="9">
        <v>5180</v>
      </c>
      <c r="BP535" s="9">
        <v>2490</v>
      </c>
      <c r="BQ535" s="9">
        <v>275000</v>
      </c>
      <c r="BR535" s="9">
        <v>940</v>
      </c>
      <c r="BS535" s="9">
        <v>300</v>
      </c>
      <c r="BT535" s="9"/>
      <c r="BU535" s="9">
        <v>13580</v>
      </c>
      <c r="BV535" s="9">
        <v>5860</v>
      </c>
      <c r="BW535" s="9">
        <v>3340</v>
      </c>
      <c r="BX535" s="9">
        <v>297000</v>
      </c>
      <c r="BY535" s="9">
        <v>800</v>
      </c>
      <c r="BZ535" s="10" t="s">
        <v>579</v>
      </c>
      <c r="CA535" s="9">
        <v>3500</v>
      </c>
      <c r="CB535" s="9">
        <v>210</v>
      </c>
      <c r="CC535" s="10">
        <f t="shared" si="197"/>
        <v>1.4761906478086226</v>
      </c>
      <c r="CD535" s="10">
        <f t="shared" si="198"/>
        <v>54.285720596833215</v>
      </c>
      <c r="CE535" s="10">
        <f t="shared" si="189"/>
        <v>168285.73385018299</v>
      </c>
      <c r="CF535" s="10">
        <f t="shared" si="207"/>
        <v>1</v>
      </c>
      <c r="CG535" s="10">
        <f t="shared" si="192"/>
        <v>0</v>
      </c>
      <c r="CH535" s="10">
        <f t="shared" si="193"/>
        <v>7</v>
      </c>
      <c r="CI535" s="9">
        <f t="shared" si="199"/>
        <v>1</v>
      </c>
      <c r="CJ535" s="10">
        <f t="shared" si="194"/>
        <v>11</v>
      </c>
      <c r="CK535" s="10" t="b">
        <f t="shared" si="200"/>
        <v>1</v>
      </c>
      <c r="CL535" s="10" t="b">
        <f t="shared" si="201"/>
        <v>0</v>
      </c>
      <c r="CM535" s="10" t="b">
        <f t="shared" si="202"/>
        <v>0</v>
      </c>
      <c r="CN535" s="9">
        <f t="shared" si="203"/>
        <v>1</v>
      </c>
      <c r="CO535" s="10">
        <f t="shared" ref="CO535:CO554" si="208">(YEAR(AO535)-YEAR(AJ535))*12+MONTH(AO535)-MONTH(AJ535)</f>
        <v>7</v>
      </c>
      <c r="CP535" s="10" t="b">
        <f t="shared" si="204"/>
        <v>1</v>
      </c>
      <c r="CQ535" s="10" t="b">
        <f t="shared" si="205"/>
        <v>0</v>
      </c>
      <c r="CR535" s="10" cm="1">
        <f t="array" ref="CR535">_xlfn.IFS(AND($CI535=0, CK535=FALSE), NA(), AND($CI535=1, CK535=FALSE), 0, CK535=TRUE, 1)</f>
        <v>1</v>
      </c>
      <c r="CS535" s="10" cm="1">
        <f t="array" ref="CS535">_xlfn.IFS(AND($CI535=0, CL535=FALSE), NA(), AND($CI535=1, CL535=FALSE), 0, CL535=TRUE, 1)</f>
        <v>0</v>
      </c>
      <c r="CT535" s="10" cm="1">
        <f t="array" ref="CT535">_xlfn.IFS(AND($CI535=0, CM535=FALSE), NA(), AND($CI535=1, CM535=FALSE), 0, CM535=TRUE, 1)</f>
        <v>0</v>
      </c>
      <c r="CU535" s="10" cm="1">
        <f t="array" ref="CU535">_xlfn.IFS(AND($CN535=0, CP535=FALSE), NA(), AND($CN535=1, CP535=FALSE), 0, CP535=TRUE, 1)</f>
        <v>1</v>
      </c>
      <c r="CV535" s="10" cm="1">
        <f t="array" ref="CV535">_xlfn.IFS(AND($CN535=0, CQ535=FALSE), NA(), AND($CN535=1, CQ535=FALSE), 0, CQ535=TRUE, 1)</f>
        <v>0</v>
      </c>
    </row>
    <row r="536" spans="1:100" ht="15.75" x14ac:dyDescent="0.25">
      <c r="A536" s="8">
        <v>535</v>
      </c>
      <c r="B536" s="9">
        <v>353</v>
      </c>
      <c r="C536" s="10" t="s">
        <v>28</v>
      </c>
      <c r="D536" s="11" t="s">
        <v>262</v>
      </c>
      <c r="E536" s="12">
        <v>16343</v>
      </c>
      <c r="F536" s="13">
        <v>1</v>
      </c>
      <c r="G536" s="9">
        <v>73.37713623046875</v>
      </c>
      <c r="H536" s="12">
        <v>43144</v>
      </c>
      <c r="I536" s="9">
        <v>1</v>
      </c>
      <c r="J536" s="12">
        <v>43145</v>
      </c>
      <c r="K536" s="9">
        <v>1</v>
      </c>
      <c r="L536" s="9">
        <v>1</v>
      </c>
      <c r="M536" s="10" t="s">
        <v>401</v>
      </c>
      <c r="N536" s="9">
        <v>2</v>
      </c>
      <c r="O536" s="10" t="s">
        <v>409</v>
      </c>
      <c r="P536" s="9">
        <v>2</v>
      </c>
      <c r="Q536" s="10" t="s">
        <v>409</v>
      </c>
      <c r="R536" s="12">
        <v>43144</v>
      </c>
      <c r="S536" s="10" t="s">
        <v>146</v>
      </c>
      <c r="T536" s="9"/>
      <c r="U536" s="10" t="s">
        <v>401</v>
      </c>
      <c r="V536" s="10" t="s">
        <v>401</v>
      </c>
      <c r="W536" s="9"/>
      <c r="X536" s="9"/>
      <c r="Y536" s="9">
        <v>2</v>
      </c>
      <c r="Z536" s="14">
        <v>2</v>
      </c>
      <c r="AA536" s="21">
        <v>13.2</v>
      </c>
      <c r="AB536" s="22">
        <v>82</v>
      </c>
      <c r="AC536" s="22">
        <v>18</v>
      </c>
      <c r="AD536" s="9">
        <v>2</v>
      </c>
      <c r="AE536" s="9">
        <v>2</v>
      </c>
      <c r="AF536" s="9">
        <v>1</v>
      </c>
      <c r="AG536" s="9">
        <v>1</v>
      </c>
      <c r="AH536" s="9">
        <v>1</v>
      </c>
      <c r="AI536" s="9">
        <v>0</v>
      </c>
      <c r="AJ536" s="12">
        <v>43368</v>
      </c>
      <c r="AK536" s="9">
        <v>2</v>
      </c>
      <c r="AL536" s="12">
        <v>43439</v>
      </c>
      <c r="AM536" s="9">
        <v>3</v>
      </c>
      <c r="AN536" s="12">
        <v>43433</v>
      </c>
      <c r="AO536" s="12">
        <v>43524</v>
      </c>
      <c r="AP536" s="12">
        <v>43524</v>
      </c>
      <c r="AQ536" s="9">
        <v>1</v>
      </c>
      <c r="AR536" s="9">
        <f t="shared" si="195"/>
        <v>1</v>
      </c>
      <c r="AS536" s="9">
        <v>1</v>
      </c>
      <c r="AT536" s="9">
        <v>2</v>
      </c>
      <c r="AU536" s="9">
        <v>2</v>
      </c>
      <c r="AV536" s="9">
        <f t="shared" si="196"/>
        <v>1</v>
      </c>
      <c r="AW536" s="12">
        <v>43585</v>
      </c>
      <c r="AX536" s="9">
        <v>4890</v>
      </c>
      <c r="AY536" s="9">
        <v>3260</v>
      </c>
      <c r="AZ536" s="9">
        <v>1060</v>
      </c>
      <c r="BA536" s="9">
        <v>3260</v>
      </c>
      <c r="BB536" s="9">
        <v>1060.000244140625</v>
      </c>
      <c r="BC536" s="9">
        <v>178000</v>
      </c>
      <c r="BD536" s="9">
        <v>400</v>
      </c>
      <c r="BE536" s="9">
        <v>160</v>
      </c>
      <c r="BF536" s="9">
        <v>302</v>
      </c>
      <c r="BG536" s="9">
        <v>5710</v>
      </c>
      <c r="BH536" s="9">
        <v>4240</v>
      </c>
      <c r="BI536" s="9">
        <v>820</v>
      </c>
      <c r="BJ536" s="9">
        <v>219000</v>
      </c>
      <c r="BK536" s="9">
        <v>420</v>
      </c>
      <c r="BL536" s="9">
        <v>160</v>
      </c>
      <c r="BM536" s="9">
        <v>272</v>
      </c>
      <c r="BN536" s="9">
        <v>7320</v>
      </c>
      <c r="BO536" s="9">
        <v>5480</v>
      </c>
      <c r="BP536" s="9">
        <v>1050</v>
      </c>
      <c r="BQ536" s="9">
        <v>270000</v>
      </c>
      <c r="BR536" s="9">
        <v>460</v>
      </c>
      <c r="BS536" s="9">
        <v>230</v>
      </c>
      <c r="BT536" s="9">
        <v>329</v>
      </c>
      <c r="BU536" s="9">
        <v>6260</v>
      </c>
      <c r="BV536" s="9">
        <v>4520</v>
      </c>
      <c r="BW536" s="9">
        <v>1030</v>
      </c>
      <c r="BX536" s="9">
        <v>231000</v>
      </c>
      <c r="BY536" s="9">
        <v>440</v>
      </c>
      <c r="BZ536" s="10" t="s">
        <v>547</v>
      </c>
      <c r="CA536" s="9">
        <v>180</v>
      </c>
      <c r="CB536" s="9">
        <v>282</v>
      </c>
      <c r="CC536" s="10">
        <f t="shared" si="197"/>
        <v>3.0754709897665946</v>
      </c>
      <c r="CD536" s="10">
        <f t="shared" si="198"/>
        <v>167.92448962529261</v>
      </c>
      <c r="CE536" s="10">
        <f t="shared" si="189"/>
        <v>547433.83617845387</v>
      </c>
      <c r="CF536" s="10">
        <f t="shared" si="207"/>
        <v>1</v>
      </c>
      <c r="CG536" s="10">
        <f t="shared" si="192"/>
        <v>0</v>
      </c>
      <c r="CH536" s="10">
        <f t="shared" si="193"/>
        <v>3</v>
      </c>
      <c r="CI536" s="9">
        <f t="shared" si="199"/>
        <v>1</v>
      </c>
      <c r="CJ536" s="10">
        <f t="shared" si="194"/>
        <v>7</v>
      </c>
      <c r="CK536" s="10" t="b">
        <f t="shared" si="200"/>
        <v>1</v>
      </c>
      <c r="CL536" s="10" t="b">
        <f t="shared" si="201"/>
        <v>0</v>
      </c>
      <c r="CM536" s="10" t="b">
        <f t="shared" si="202"/>
        <v>0</v>
      </c>
      <c r="CN536" s="9">
        <f t="shared" si="203"/>
        <v>1</v>
      </c>
      <c r="CO536" s="10">
        <f t="shared" si="208"/>
        <v>5</v>
      </c>
      <c r="CP536" s="10" t="b">
        <f t="shared" si="204"/>
        <v>1</v>
      </c>
      <c r="CQ536" s="10" t="b">
        <f t="shared" si="205"/>
        <v>0</v>
      </c>
      <c r="CR536" s="10" cm="1">
        <f t="array" ref="CR536">_xlfn.IFS(AND($CI536=0, CK536=FALSE), NA(), AND($CI536=1, CK536=FALSE), 0, CK536=TRUE, 1)</f>
        <v>1</v>
      </c>
      <c r="CS536" s="10" cm="1">
        <f t="array" ref="CS536">_xlfn.IFS(AND($CI536=0, CL536=FALSE), NA(), AND($CI536=1, CL536=FALSE), 0, CL536=TRUE, 1)</f>
        <v>0</v>
      </c>
      <c r="CT536" s="10" cm="1">
        <f t="array" ref="CT536">_xlfn.IFS(AND($CI536=0, CM536=FALSE), NA(), AND($CI536=1, CM536=FALSE), 0, CM536=TRUE, 1)</f>
        <v>0</v>
      </c>
      <c r="CU536" s="10" cm="1">
        <f t="array" ref="CU536">_xlfn.IFS(AND($CN536=0, CP536=FALSE), NA(), AND($CN536=1, CP536=FALSE), 0, CP536=TRUE, 1)</f>
        <v>1</v>
      </c>
      <c r="CV536" s="10" cm="1">
        <f t="array" ref="CV536">_xlfn.IFS(AND($CN536=0, CQ536=FALSE), NA(), AND($CN536=1, CQ536=FALSE), 0, CQ536=TRUE, 1)</f>
        <v>0</v>
      </c>
    </row>
    <row r="537" spans="1:100" x14ac:dyDescent="0.25">
      <c r="A537" s="8">
        <v>536</v>
      </c>
      <c r="B537" s="9">
        <v>78</v>
      </c>
      <c r="C537" s="10" t="s">
        <v>9</v>
      </c>
      <c r="D537" s="11" t="s">
        <v>106</v>
      </c>
      <c r="E537" s="12">
        <v>19104</v>
      </c>
      <c r="F537" s="13">
        <v>2</v>
      </c>
      <c r="G537" s="9">
        <v>65.81793212890625</v>
      </c>
      <c r="H537" s="12">
        <v>43144</v>
      </c>
      <c r="I537" s="9">
        <v>1</v>
      </c>
      <c r="J537" s="12">
        <v>43148</v>
      </c>
      <c r="K537" s="9">
        <v>0</v>
      </c>
      <c r="L537" s="9">
        <v>3</v>
      </c>
      <c r="M537" s="10" t="s">
        <v>401</v>
      </c>
      <c r="N537" s="9">
        <v>2</v>
      </c>
      <c r="O537" s="10" t="s">
        <v>147</v>
      </c>
      <c r="P537" s="9">
        <v>2</v>
      </c>
      <c r="Q537" s="10" t="s">
        <v>147</v>
      </c>
      <c r="R537" s="12">
        <v>43536</v>
      </c>
      <c r="S537" s="10" t="s">
        <v>145</v>
      </c>
      <c r="T537" s="9"/>
      <c r="U537" s="10" t="s">
        <v>401</v>
      </c>
      <c r="V537" s="10" t="s">
        <v>401</v>
      </c>
      <c r="W537" s="9"/>
      <c r="X537" s="9"/>
      <c r="Y537" s="9">
        <v>2</v>
      </c>
      <c r="Z537" s="19">
        <v>1</v>
      </c>
      <c r="AB537" s="9"/>
      <c r="AC537" s="9"/>
      <c r="AD537" s="9">
        <v>1</v>
      </c>
      <c r="AE537" s="9">
        <v>1</v>
      </c>
      <c r="AF537" s="9">
        <v>1</v>
      </c>
      <c r="AG537" s="9">
        <v>1</v>
      </c>
      <c r="AH537" s="9">
        <v>1</v>
      </c>
      <c r="AI537" s="9">
        <v>0</v>
      </c>
      <c r="AJ537" s="12">
        <v>43623</v>
      </c>
      <c r="AK537" s="9">
        <v>2</v>
      </c>
      <c r="AL537" s="12">
        <v>44805</v>
      </c>
      <c r="AM537" s="9">
        <v>3</v>
      </c>
      <c r="AN537" s="12">
        <v>43736</v>
      </c>
      <c r="AO537" s="12">
        <v>44824</v>
      </c>
      <c r="AP537" s="12">
        <v>44824</v>
      </c>
      <c r="AQ537" s="9">
        <v>1</v>
      </c>
      <c r="AR537" s="9">
        <f t="shared" si="195"/>
        <v>1</v>
      </c>
      <c r="AS537" s="9">
        <v>1</v>
      </c>
      <c r="AT537" s="9">
        <v>2</v>
      </c>
      <c r="AU537" s="9">
        <v>1</v>
      </c>
      <c r="AV537" s="9">
        <f t="shared" si="196"/>
        <v>0</v>
      </c>
      <c r="AW537" s="12">
        <v>44939</v>
      </c>
      <c r="AX537" s="9"/>
      <c r="AY537" s="9"/>
      <c r="AZ537" s="9"/>
      <c r="BA537" s="9">
        <v>4286.41796875</v>
      </c>
      <c r="BB537" s="9">
        <v>1452.819580078125</v>
      </c>
      <c r="BC537" s="9"/>
      <c r="BD537" s="9"/>
      <c r="BE537" s="9"/>
      <c r="BF537" s="9"/>
      <c r="BG537" s="9">
        <v>9950</v>
      </c>
      <c r="BH537" s="9">
        <v>6880</v>
      </c>
      <c r="BI537" s="9">
        <v>2110</v>
      </c>
      <c r="BJ537" s="9">
        <v>231000</v>
      </c>
      <c r="BK537" s="9">
        <v>670</v>
      </c>
      <c r="BL537" s="9">
        <v>220</v>
      </c>
      <c r="BM537" s="9">
        <v>376</v>
      </c>
      <c r="BN537" s="9">
        <v>6220</v>
      </c>
      <c r="BO537" s="9">
        <v>3490</v>
      </c>
      <c r="BP537" s="9">
        <v>2020</v>
      </c>
      <c r="BQ537" s="9">
        <v>219000</v>
      </c>
      <c r="BR537" s="9">
        <v>420</v>
      </c>
      <c r="BS537" s="9">
        <v>400</v>
      </c>
      <c r="BT537" s="9">
        <v>328</v>
      </c>
      <c r="BU537" s="9">
        <v>7980</v>
      </c>
      <c r="BV537" s="9">
        <v>5480</v>
      </c>
      <c r="BW537" s="9">
        <v>1750</v>
      </c>
      <c r="BX537" s="9">
        <v>217000</v>
      </c>
      <c r="BY537" s="9">
        <v>410</v>
      </c>
      <c r="BZ537" s="10" t="s">
        <v>531</v>
      </c>
      <c r="CA537" s="9">
        <v>270</v>
      </c>
      <c r="CB537" s="9">
        <v>375</v>
      </c>
      <c r="CC537" s="10">
        <f t="shared" si="197"/>
        <v>2.950413132867812</v>
      </c>
      <c r="CF537" s="10">
        <f t="shared" si="207"/>
        <v>1</v>
      </c>
      <c r="CG537" s="10">
        <f t="shared" si="192"/>
        <v>0</v>
      </c>
      <c r="CH537" s="10">
        <f t="shared" si="193"/>
        <v>39</v>
      </c>
      <c r="CI537" s="9">
        <f t="shared" si="199"/>
        <v>0</v>
      </c>
      <c r="CJ537" s="10">
        <f t="shared" si="194"/>
        <v>43</v>
      </c>
      <c r="CK537" s="10" t="b">
        <f t="shared" si="200"/>
        <v>1</v>
      </c>
      <c r="CL537" s="10" t="b">
        <f t="shared" si="201"/>
        <v>1</v>
      </c>
      <c r="CM537" s="10" t="b">
        <f t="shared" si="202"/>
        <v>1</v>
      </c>
      <c r="CN537" s="9">
        <f t="shared" si="203"/>
        <v>1</v>
      </c>
      <c r="CO537" s="10">
        <f t="shared" si="208"/>
        <v>39</v>
      </c>
      <c r="CP537" s="10" t="b">
        <f t="shared" si="204"/>
        <v>1</v>
      </c>
      <c r="CQ537" s="10" t="b">
        <f t="shared" si="205"/>
        <v>1</v>
      </c>
      <c r="CR537" s="10" cm="1">
        <f t="array" ref="CR537">_xlfn.IFS(AND($CI537=0, CK537=FALSE), NA(), AND($CI537=1, CK537=FALSE), 0, CK537=TRUE, 1)</f>
        <v>1</v>
      </c>
      <c r="CS537" s="10" cm="1">
        <f t="array" ref="CS537">_xlfn.IFS(AND($CI537=0, CL537=FALSE), NA(), AND($CI537=1, CL537=FALSE), 0, CL537=TRUE, 1)</f>
        <v>1</v>
      </c>
      <c r="CT537" s="10" cm="1">
        <f t="array" ref="CT537">_xlfn.IFS(AND($CI537=0, CM537=FALSE), NA(), AND($CI537=1, CM537=FALSE), 0, CM537=TRUE, 1)</f>
        <v>1</v>
      </c>
      <c r="CU537" s="10" cm="1">
        <f t="array" ref="CU537">_xlfn.IFS(AND($CN537=0, CP537=FALSE), NA(), AND($CN537=1, CP537=FALSE), 0, CP537=TRUE, 1)</f>
        <v>1</v>
      </c>
      <c r="CV537" s="10" cm="1">
        <f t="array" ref="CV537">_xlfn.IFS(AND($CN537=0, CQ537=FALSE), NA(), AND($CN537=1, CQ537=FALSE), 0, CQ537=TRUE, 1)</f>
        <v>1</v>
      </c>
    </row>
    <row r="538" spans="1:100" ht="15.75" x14ac:dyDescent="0.25">
      <c r="A538" s="8">
        <v>537</v>
      </c>
      <c r="B538" s="9">
        <v>519</v>
      </c>
      <c r="C538" s="10" t="s">
        <v>33</v>
      </c>
      <c r="D538" s="11" t="s">
        <v>382</v>
      </c>
      <c r="E538" s="12">
        <v>21652</v>
      </c>
      <c r="F538" s="13">
        <v>2</v>
      </c>
      <c r="G538" s="9">
        <v>58.866531372070313</v>
      </c>
      <c r="H538" s="12">
        <v>43153</v>
      </c>
      <c r="I538" s="9">
        <v>1</v>
      </c>
      <c r="J538" s="12">
        <v>43181</v>
      </c>
      <c r="K538" s="9">
        <v>1</v>
      </c>
      <c r="L538" s="9">
        <v>1</v>
      </c>
      <c r="M538" s="10" t="s">
        <v>401</v>
      </c>
      <c r="N538" s="9"/>
      <c r="O538" s="10" t="s">
        <v>401</v>
      </c>
      <c r="P538" s="9"/>
      <c r="Q538" s="10" t="s">
        <v>401</v>
      </c>
      <c r="R538" s="12">
        <v>43153</v>
      </c>
      <c r="S538" s="10" t="s">
        <v>510</v>
      </c>
      <c r="T538" s="9"/>
      <c r="U538" s="10" t="s">
        <v>401</v>
      </c>
      <c r="V538" s="10" t="s">
        <v>401</v>
      </c>
      <c r="W538" s="9"/>
      <c r="X538" s="9"/>
      <c r="Y538" s="9">
        <v>2</v>
      </c>
      <c r="Z538" s="40"/>
      <c r="AA538" s="17">
        <v>12.4</v>
      </c>
      <c r="AB538" s="18">
        <v>77</v>
      </c>
      <c r="AC538" s="18">
        <v>17</v>
      </c>
      <c r="AD538" s="9"/>
      <c r="AE538" s="9"/>
      <c r="AF538" s="9"/>
      <c r="AG538" s="9">
        <v>1</v>
      </c>
      <c r="AH538" s="9">
        <v>1</v>
      </c>
      <c r="AI538" s="9">
        <v>1</v>
      </c>
      <c r="AJ538" s="12">
        <v>43402</v>
      </c>
      <c r="AK538" s="9">
        <v>2</v>
      </c>
      <c r="AL538" s="12">
        <v>43570</v>
      </c>
      <c r="AM538" s="9">
        <v>4</v>
      </c>
      <c r="AN538" s="12">
        <v>43482</v>
      </c>
      <c r="AO538" s="12">
        <v>43482</v>
      </c>
      <c r="AP538" s="12">
        <v>43567</v>
      </c>
      <c r="AQ538" s="9">
        <v>1</v>
      </c>
      <c r="AR538" s="9">
        <f t="shared" si="195"/>
        <v>1</v>
      </c>
      <c r="AS538" s="9">
        <v>1</v>
      </c>
      <c r="AT538" s="9">
        <v>1</v>
      </c>
      <c r="AU538" s="9">
        <v>2</v>
      </c>
      <c r="AV538" s="9">
        <f t="shared" si="196"/>
        <v>1</v>
      </c>
      <c r="AW538" s="12">
        <v>44362</v>
      </c>
      <c r="AX538" s="9"/>
      <c r="AY538" s="9"/>
      <c r="AZ538" s="9"/>
      <c r="BA538" s="9">
        <v>3792.24755859375</v>
      </c>
      <c r="BB538" s="9">
        <v>1089.4967041015625</v>
      </c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>
        <v>6760</v>
      </c>
      <c r="BO538" s="9">
        <v>4770</v>
      </c>
      <c r="BP538" s="9">
        <v>1280</v>
      </c>
      <c r="BQ538" s="9">
        <v>247000</v>
      </c>
      <c r="BR538" s="9">
        <v>590</v>
      </c>
      <c r="BS538" s="9">
        <v>80</v>
      </c>
      <c r="BT538" s="9"/>
      <c r="BU538" s="9"/>
      <c r="BV538" s="9"/>
      <c r="BW538" s="9"/>
      <c r="BX538" s="9"/>
      <c r="BY538" s="9"/>
      <c r="BZ538" s="10" t="s">
        <v>401</v>
      </c>
      <c r="CA538" s="9"/>
      <c r="CB538" s="9"/>
      <c r="CC538" s="10">
        <f t="shared" si="197"/>
        <v>3.4807333921408889</v>
      </c>
      <c r="CF538" s="10">
        <f t="shared" si="207"/>
        <v>0</v>
      </c>
      <c r="CG538" s="10">
        <f t="shared" si="192"/>
        <v>0</v>
      </c>
      <c r="CH538" s="10">
        <f t="shared" si="193"/>
        <v>6</v>
      </c>
      <c r="CI538" s="9">
        <f t="shared" si="199"/>
        <v>1</v>
      </c>
      <c r="CJ538" s="10">
        <f t="shared" si="194"/>
        <v>32</v>
      </c>
      <c r="CK538" s="10" t="b">
        <f t="shared" si="200"/>
        <v>1</v>
      </c>
      <c r="CL538" s="10" t="b">
        <f t="shared" si="201"/>
        <v>1</v>
      </c>
      <c r="CM538" s="10" t="b">
        <f t="shared" si="202"/>
        <v>1</v>
      </c>
      <c r="CN538" s="9">
        <f t="shared" si="203"/>
        <v>1</v>
      </c>
      <c r="CO538" s="10">
        <f t="shared" si="208"/>
        <v>3</v>
      </c>
      <c r="CP538" s="10" t="b">
        <f t="shared" si="204"/>
        <v>1</v>
      </c>
      <c r="CQ538" s="10" t="b">
        <f t="shared" si="205"/>
        <v>0</v>
      </c>
      <c r="CR538" s="10" cm="1">
        <f t="array" ref="CR538">_xlfn.IFS(AND($CI538=0, CK538=FALSE), NA(), AND($CI538=1, CK538=FALSE), 0, CK538=TRUE, 1)</f>
        <v>1</v>
      </c>
      <c r="CS538" s="10" cm="1">
        <f t="array" ref="CS538">_xlfn.IFS(AND($CI538=0, CL538=FALSE), NA(), AND($CI538=1, CL538=FALSE), 0, CL538=TRUE, 1)</f>
        <v>1</v>
      </c>
      <c r="CT538" s="10" cm="1">
        <f t="array" ref="CT538">_xlfn.IFS(AND($CI538=0, CM538=FALSE), NA(), AND($CI538=1, CM538=FALSE), 0, CM538=TRUE, 1)</f>
        <v>1</v>
      </c>
      <c r="CU538" s="10" cm="1">
        <f t="array" ref="CU538">_xlfn.IFS(AND($CN538=0, CP538=FALSE), NA(), AND($CN538=1, CP538=FALSE), 0, CP538=TRUE, 1)</f>
        <v>1</v>
      </c>
      <c r="CV538" s="10" cm="1">
        <f t="array" ref="CV538">_xlfn.IFS(AND($CN538=0, CQ538=FALSE), NA(), AND($CN538=1, CQ538=FALSE), 0, CQ538=TRUE, 1)</f>
        <v>0</v>
      </c>
    </row>
    <row r="539" spans="1:100" ht="15.75" x14ac:dyDescent="0.25">
      <c r="A539" s="8">
        <v>538</v>
      </c>
      <c r="B539" s="9">
        <v>149</v>
      </c>
      <c r="C539" s="10" t="s">
        <v>16</v>
      </c>
      <c r="D539" s="11" t="s">
        <v>141</v>
      </c>
      <c r="E539" s="12">
        <v>18064</v>
      </c>
      <c r="F539" s="13">
        <v>1</v>
      </c>
      <c r="G539" s="9">
        <v>68.725532531738281</v>
      </c>
      <c r="H539" s="12">
        <v>43166</v>
      </c>
      <c r="I539" s="9">
        <v>0</v>
      </c>
      <c r="J539" s="12"/>
      <c r="K539" s="9">
        <v>1</v>
      </c>
      <c r="L539" s="9">
        <v>1</v>
      </c>
      <c r="M539" s="10" t="s">
        <v>401</v>
      </c>
      <c r="N539" s="9">
        <v>2</v>
      </c>
      <c r="O539" s="10" t="s">
        <v>409</v>
      </c>
      <c r="P539" s="9">
        <v>3</v>
      </c>
      <c r="Q539" s="10" t="s">
        <v>417</v>
      </c>
      <c r="R539" s="12">
        <v>43166</v>
      </c>
      <c r="S539" s="10" t="s">
        <v>145</v>
      </c>
      <c r="T539" s="9"/>
      <c r="U539" s="10" t="s">
        <v>401</v>
      </c>
      <c r="V539" s="10" t="s">
        <v>401</v>
      </c>
      <c r="W539" s="9"/>
      <c r="X539" s="9"/>
      <c r="Y539" s="9">
        <v>2</v>
      </c>
      <c r="Z539" s="14">
        <v>1</v>
      </c>
      <c r="AA539" s="23">
        <v>7.7</v>
      </c>
      <c r="AB539" s="24">
        <v>96</v>
      </c>
      <c r="AC539" s="24">
        <v>19</v>
      </c>
      <c r="AD539" s="9">
        <v>2</v>
      </c>
      <c r="AE539" s="9">
        <v>3</v>
      </c>
      <c r="AF539" s="9">
        <v>1</v>
      </c>
      <c r="AG539" s="9">
        <v>0</v>
      </c>
      <c r="AH539" s="9">
        <v>1</v>
      </c>
      <c r="AI539" s="9">
        <v>1</v>
      </c>
      <c r="AJ539" s="12">
        <v>43287</v>
      </c>
      <c r="AK539" s="9">
        <v>2</v>
      </c>
      <c r="AL539" s="12">
        <v>43319</v>
      </c>
      <c r="AM539" s="9">
        <v>4</v>
      </c>
      <c r="AN539" s="12">
        <v>43334</v>
      </c>
      <c r="AO539" s="12">
        <v>43334</v>
      </c>
      <c r="AP539" s="12">
        <v>43334</v>
      </c>
      <c r="AQ539" s="9">
        <v>1</v>
      </c>
      <c r="AR539" s="9">
        <f t="shared" si="195"/>
        <v>1</v>
      </c>
      <c r="AS539" s="9">
        <v>1</v>
      </c>
      <c r="AT539" s="9">
        <v>2</v>
      </c>
      <c r="AU539" s="9">
        <v>2</v>
      </c>
      <c r="AV539" s="9">
        <f t="shared" si="196"/>
        <v>1</v>
      </c>
      <c r="AW539" s="12">
        <v>43344</v>
      </c>
      <c r="AX539" s="9">
        <v>2210</v>
      </c>
      <c r="AY539" s="9">
        <v>1350</v>
      </c>
      <c r="AZ539" s="9">
        <v>610</v>
      </c>
      <c r="BA539" s="9">
        <v>1350</v>
      </c>
      <c r="BB539" s="9">
        <v>609.99993896484375</v>
      </c>
      <c r="BC539" s="9">
        <v>81000</v>
      </c>
      <c r="BD539" s="9">
        <v>110</v>
      </c>
      <c r="BE539" s="9">
        <v>100</v>
      </c>
      <c r="BF539" s="9">
        <v>391</v>
      </c>
      <c r="BG539" s="9">
        <v>45780</v>
      </c>
      <c r="BH539" s="9">
        <v>42080</v>
      </c>
      <c r="BI539" s="9">
        <v>1400</v>
      </c>
      <c r="BJ539" s="9">
        <v>215000</v>
      </c>
      <c r="BK539" s="9">
        <v>1890</v>
      </c>
      <c r="BL539" s="9">
        <v>90</v>
      </c>
      <c r="BM539" s="9">
        <v>657</v>
      </c>
      <c r="BN539" s="9"/>
      <c r="BO539" s="9">
        <v>7500</v>
      </c>
      <c r="BP539" s="9">
        <v>400</v>
      </c>
      <c r="BQ539" s="9">
        <v>344000</v>
      </c>
      <c r="BR539" s="9">
        <v>600</v>
      </c>
      <c r="BS539" s="9">
        <v>100</v>
      </c>
      <c r="BT539" s="9"/>
      <c r="BU539" s="9">
        <v>8600</v>
      </c>
      <c r="BV539" s="9"/>
      <c r="BW539" s="9"/>
      <c r="BX539" s="9"/>
      <c r="BY539" s="9"/>
      <c r="BZ539" s="10" t="s">
        <v>401</v>
      </c>
      <c r="CA539" s="9"/>
      <c r="CB539" s="9"/>
      <c r="CC539" s="10">
        <f t="shared" si="197"/>
        <v>2.2131149755374069</v>
      </c>
      <c r="CD539" s="10">
        <f t="shared" si="198"/>
        <v>132.78689853224444</v>
      </c>
      <c r="CE539" s="10">
        <f t="shared" ref="CE539:CE572" si="209">BC539*CC539</f>
        <v>179262.31301852997</v>
      </c>
      <c r="CF539" s="10">
        <f t="shared" si="207"/>
        <v>0</v>
      </c>
      <c r="CG539" s="10">
        <f t="shared" si="192"/>
        <v>0</v>
      </c>
      <c r="CH539" s="10">
        <f t="shared" si="193"/>
        <v>1</v>
      </c>
      <c r="CI539" s="9">
        <f t="shared" si="199"/>
        <v>1</v>
      </c>
      <c r="CJ539" s="10">
        <f t="shared" si="194"/>
        <v>2</v>
      </c>
      <c r="CK539" s="10" t="b">
        <f t="shared" si="200"/>
        <v>0</v>
      </c>
      <c r="CL539" s="10" t="b">
        <f t="shared" si="201"/>
        <v>0</v>
      </c>
      <c r="CM539" s="10" t="b">
        <f t="shared" si="202"/>
        <v>0</v>
      </c>
      <c r="CN539" s="9">
        <f t="shared" si="203"/>
        <v>1</v>
      </c>
      <c r="CO539" s="10">
        <f t="shared" si="208"/>
        <v>1</v>
      </c>
      <c r="CP539" s="10" t="b">
        <f t="shared" si="204"/>
        <v>0</v>
      </c>
      <c r="CQ539" s="10" t="b">
        <f t="shared" si="205"/>
        <v>0</v>
      </c>
      <c r="CR539" s="10" cm="1">
        <f t="array" ref="CR539">_xlfn.IFS(AND($CI539=0, CK539=FALSE), NA(), AND($CI539=1, CK539=FALSE), 0, CK539=TRUE, 1)</f>
        <v>0</v>
      </c>
      <c r="CS539" s="10" cm="1">
        <f t="array" ref="CS539">_xlfn.IFS(AND($CI539=0, CL539=FALSE), NA(), AND($CI539=1, CL539=FALSE), 0, CL539=TRUE, 1)</f>
        <v>0</v>
      </c>
      <c r="CT539" s="10" cm="1">
        <f t="array" ref="CT539">_xlfn.IFS(AND($CI539=0, CM539=FALSE), NA(), AND($CI539=1, CM539=FALSE), 0, CM539=TRUE, 1)</f>
        <v>0</v>
      </c>
      <c r="CU539" s="10" cm="1">
        <f t="array" ref="CU539">_xlfn.IFS(AND($CN539=0, CP539=FALSE), NA(), AND($CN539=1, CP539=FALSE), 0, CP539=TRUE, 1)</f>
        <v>0</v>
      </c>
      <c r="CV539" s="10" cm="1">
        <f t="array" ref="CV539">_xlfn.IFS(AND($CN539=0, CQ539=FALSE), NA(), AND($CN539=1, CQ539=FALSE), 0, CQ539=TRUE, 1)</f>
        <v>0</v>
      </c>
    </row>
    <row r="540" spans="1:100" ht="15.75" x14ac:dyDescent="0.25">
      <c r="A540" s="8">
        <v>539</v>
      </c>
      <c r="B540" s="9">
        <v>375</v>
      </c>
      <c r="C540" s="10" t="s">
        <v>28</v>
      </c>
      <c r="D540" s="11" t="s">
        <v>293</v>
      </c>
      <c r="E540" s="12">
        <v>26845</v>
      </c>
      <c r="F540" s="13">
        <v>1</v>
      </c>
      <c r="G540" s="9">
        <v>44.706363677978516</v>
      </c>
      <c r="H540" s="12">
        <v>43174</v>
      </c>
      <c r="I540" s="9">
        <v>1</v>
      </c>
      <c r="J540" s="12">
        <v>43179</v>
      </c>
      <c r="K540" s="9">
        <v>1</v>
      </c>
      <c r="L540" s="9">
        <v>1</v>
      </c>
      <c r="M540" s="10" t="s">
        <v>401</v>
      </c>
      <c r="N540" s="9">
        <v>2</v>
      </c>
      <c r="O540" s="10" t="s">
        <v>409</v>
      </c>
      <c r="P540" s="9">
        <v>2</v>
      </c>
      <c r="Q540" s="10" t="s">
        <v>409</v>
      </c>
      <c r="R540" s="12">
        <v>43174</v>
      </c>
      <c r="S540" s="10" t="s">
        <v>510</v>
      </c>
      <c r="T540" s="9"/>
      <c r="U540" s="10" t="s">
        <v>401</v>
      </c>
      <c r="V540" s="10" t="s">
        <v>401</v>
      </c>
      <c r="W540" s="9"/>
      <c r="X540" s="9"/>
      <c r="Y540" s="9">
        <v>2</v>
      </c>
      <c r="Z540" s="40"/>
      <c r="AA540" s="21">
        <v>12.6</v>
      </c>
      <c r="AB540" s="22">
        <v>82</v>
      </c>
      <c r="AC540" s="22">
        <v>20</v>
      </c>
      <c r="AD540" s="9">
        <v>2</v>
      </c>
      <c r="AE540" s="9">
        <v>2</v>
      </c>
      <c r="AF540" s="9">
        <v>1</v>
      </c>
      <c r="AG540" s="9">
        <v>1</v>
      </c>
      <c r="AH540" s="9">
        <v>1</v>
      </c>
      <c r="AI540" s="9">
        <v>1</v>
      </c>
      <c r="AJ540" s="12">
        <v>43298</v>
      </c>
      <c r="AK540" s="9">
        <v>2</v>
      </c>
      <c r="AL540" s="12">
        <v>43298</v>
      </c>
      <c r="AM540" s="9">
        <v>4</v>
      </c>
      <c r="AN540" s="12">
        <v>43307</v>
      </c>
      <c r="AO540" s="12">
        <v>43307</v>
      </c>
      <c r="AP540" s="12">
        <v>43307</v>
      </c>
      <c r="AQ540" s="9">
        <v>1</v>
      </c>
      <c r="AR540" s="9">
        <f t="shared" si="195"/>
        <v>1</v>
      </c>
      <c r="AS540" s="9">
        <v>1</v>
      </c>
      <c r="AT540" s="9">
        <v>2</v>
      </c>
      <c r="AU540" s="9">
        <v>2</v>
      </c>
      <c r="AV540" s="9">
        <f t="shared" si="196"/>
        <v>1</v>
      </c>
      <c r="AW540" s="12">
        <v>43307</v>
      </c>
      <c r="AX540" s="9">
        <v>8670</v>
      </c>
      <c r="AY540" s="9">
        <v>6910</v>
      </c>
      <c r="AZ540" s="9">
        <v>1140</v>
      </c>
      <c r="BA540" s="9">
        <v>6910</v>
      </c>
      <c r="BB540" s="9">
        <v>1140</v>
      </c>
      <c r="BC540" s="9">
        <v>117000</v>
      </c>
      <c r="BD540" s="9">
        <v>450</v>
      </c>
      <c r="BE540" s="9">
        <v>40</v>
      </c>
      <c r="BF540" s="9">
        <v>855</v>
      </c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10" t="s">
        <v>401</v>
      </c>
      <c r="CA540" s="9"/>
      <c r="CB540" s="9"/>
      <c r="CC540" s="10">
        <f t="shared" si="197"/>
        <v>6.0614035087719298</v>
      </c>
      <c r="CD540" s="10">
        <f t="shared" si="198"/>
        <v>102.63157894736842</v>
      </c>
      <c r="CE540" s="10">
        <f t="shared" si="209"/>
        <v>709184.21052631573</v>
      </c>
      <c r="CF540" s="10">
        <f t="shared" si="207"/>
        <v>0</v>
      </c>
      <c r="CG540" s="10">
        <f t="shared" si="192"/>
        <v>0</v>
      </c>
      <c r="CH540" s="10">
        <f t="shared" si="193"/>
        <v>0</v>
      </c>
      <c r="CI540" s="9">
        <f t="shared" si="199"/>
        <v>1</v>
      </c>
      <c r="CJ540" s="10">
        <f t="shared" si="194"/>
        <v>0</v>
      </c>
      <c r="CK540" s="10" t="b">
        <f t="shared" si="200"/>
        <v>0</v>
      </c>
      <c r="CL540" s="10" t="b">
        <f t="shared" si="201"/>
        <v>0</v>
      </c>
      <c r="CM540" s="10" t="b">
        <f t="shared" si="202"/>
        <v>0</v>
      </c>
      <c r="CN540" s="9">
        <f t="shared" si="203"/>
        <v>1</v>
      </c>
      <c r="CO540" s="10">
        <f t="shared" si="208"/>
        <v>0</v>
      </c>
      <c r="CP540" s="10" t="b">
        <f t="shared" si="204"/>
        <v>0</v>
      </c>
      <c r="CQ540" s="10" t="b">
        <f t="shared" si="205"/>
        <v>0</v>
      </c>
      <c r="CR540" s="10" cm="1">
        <f t="array" ref="CR540">_xlfn.IFS(AND($CI540=0, CK540=FALSE), NA(), AND($CI540=1, CK540=FALSE), 0, CK540=TRUE, 1)</f>
        <v>0</v>
      </c>
      <c r="CS540" s="10" cm="1">
        <f t="array" ref="CS540">_xlfn.IFS(AND($CI540=0, CL540=FALSE), NA(), AND($CI540=1, CL540=FALSE), 0, CL540=TRUE, 1)</f>
        <v>0</v>
      </c>
      <c r="CT540" s="10" cm="1">
        <f t="array" ref="CT540">_xlfn.IFS(AND($CI540=0, CM540=FALSE), NA(), AND($CI540=1, CM540=FALSE), 0, CM540=TRUE, 1)</f>
        <v>0</v>
      </c>
      <c r="CU540" s="10" cm="1">
        <f t="array" ref="CU540">_xlfn.IFS(AND($CN540=0, CP540=FALSE), NA(), AND($CN540=1, CP540=FALSE), 0, CP540=TRUE, 1)</f>
        <v>0</v>
      </c>
      <c r="CV540" s="10" cm="1">
        <f t="array" ref="CV540">_xlfn.IFS(AND($CN540=0, CQ540=FALSE), NA(), AND($CN540=1, CQ540=FALSE), 0, CQ540=TRUE, 1)</f>
        <v>0</v>
      </c>
    </row>
    <row r="541" spans="1:100" ht="15.75" x14ac:dyDescent="0.25">
      <c r="A541" s="8">
        <v>540</v>
      </c>
      <c r="B541" s="9">
        <v>437</v>
      </c>
      <c r="C541" s="10" t="s">
        <v>29</v>
      </c>
      <c r="D541" s="11" t="s">
        <v>345</v>
      </c>
      <c r="E541" s="12">
        <v>17344</v>
      </c>
      <c r="F541" s="13">
        <v>2</v>
      </c>
      <c r="G541" s="9">
        <v>70.773445129394531</v>
      </c>
      <c r="H541" s="12">
        <v>43194</v>
      </c>
      <c r="I541" s="9">
        <v>1</v>
      </c>
      <c r="J541" s="12">
        <v>43181</v>
      </c>
      <c r="K541" s="9">
        <v>1</v>
      </c>
      <c r="L541" s="9">
        <v>3</v>
      </c>
      <c r="M541" s="10" t="s">
        <v>401</v>
      </c>
      <c r="N541" s="9">
        <v>2</v>
      </c>
      <c r="O541" s="10" t="s">
        <v>409</v>
      </c>
      <c r="P541" s="9">
        <v>2</v>
      </c>
      <c r="Q541" s="10" t="s">
        <v>409</v>
      </c>
      <c r="R541" s="12">
        <v>43269</v>
      </c>
      <c r="S541" s="10" t="s">
        <v>146</v>
      </c>
      <c r="T541" s="9"/>
      <c r="U541" s="10" t="s">
        <v>401</v>
      </c>
      <c r="V541" s="10" t="s">
        <v>401</v>
      </c>
      <c r="W541" s="9"/>
      <c r="X541" s="9"/>
      <c r="Y541" s="9">
        <v>2</v>
      </c>
      <c r="Z541" s="14">
        <v>2</v>
      </c>
      <c r="AA541" s="17">
        <v>12.3</v>
      </c>
      <c r="AB541" s="18">
        <v>91</v>
      </c>
      <c r="AC541" s="18">
        <v>16</v>
      </c>
      <c r="AD541" s="9">
        <v>2</v>
      </c>
      <c r="AE541" s="9">
        <v>2</v>
      </c>
      <c r="AF541" s="9">
        <v>1</v>
      </c>
      <c r="AG541" s="9">
        <v>0</v>
      </c>
      <c r="AH541" s="9">
        <v>1</v>
      </c>
      <c r="AI541" s="9">
        <v>0</v>
      </c>
      <c r="AJ541" s="12">
        <v>43383</v>
      </c>
      <c r="AK541" s="9">
        <v>2</v>
      </c>
      <c r="AL541" s="12">
        <v>43503</v>
      </c>
      <c r="AM541" s="9">
        <v>4</v>
      </c>
      <c r="AN541" s="12">
        <v>43545</v>
      </c>
      <c r="AO541" s="12">
        <v>43545</v>
      </c>
      <c r="AP541" s="12">
        <v>43545</v>
      </c>
      <c r="AQ541" s="9">
        <v>1</v>
      </c>
      <c r="AR541" s="9">
        <f t="shared" si="195"/>
        <v>1</v>
      </c>
      <c r="AS541" s="9">
        <v>1</v>
      </c>
      <c r="AT541" s="9">
        <v>2</v>
      </c>
      <c r="AU541" s="9">
        <v>2</v>
      </c>
      <c r="AV541" s="9">
        <f t="shared" si="196"/>
        <v>1</v>
      </c>
      <c r="AW541" s="12">
        <v>43691</v>
      </c>
      <c r="AX541" s="9">
        <v>5100</v>
      </c>
      <c r="AY541" s="9">
        <v>3960</v>
      </c>
      <c r="AZ541" s="9">
        <v>1090</v>
      </c>
      <c r="BA541" s="9">
        <v>3960</v>
      </c>
      <c r="BB541" s="9">
        <v>1090.000244140625</v>
      </c>
      <c r="BC541" s="9">
        <v>250000</v>
      </c>
      <c r="BD541" s="9">
        <v>440</v>
      </c>
      <c r="BE541" s="9">
        <v>140</v>
      </c>
      <c r="BF541" s="9"/>
      <c r="BG541" s="9">
        <v>5800</v>
      </c>
      <c r="BH541" s="9">
        <v>4420</v>
      </c>
      <c r="BI541" s="9">
        <v>1310</v>
      </c>
      <c r="BJ541" s="9">
        <v>284000</v>
      </c>
      <c r="BK541" s="9">
        <v>62</v>
      </c>
      <c r="BL541" s="9">
        <v>70</v>
      </c>
      <c r="BM541" s="9"/>
      <c r="BN541" s="9">
        <v>15030</v>
      </c>
      <c r="BO541" s="9">
        <v>12470</v>
      </c>
      <c r="BP541" s="9">
        <v>1590</v>
      </c>
      <c r="BQ541" s="9">
        <v>333000</v>
      </c>
      <c r="BR541" s="9">
        <v>1050</v>
      </c>
      <c r="BS541" s="9">
        <v>170</v>
      </c>
      <c r="BT541" s="9"/>
      <c r="BU541" s="9">
        <v>26000</v>
      </c>
      <c r="BV541" s="9">
        <v>23000</v>
      </c>
      <c r="BW541" s="9">
        <v>1404</v>
      </c>
      <c r="BX541" s="9">
        <v>400000</v>
      </c>
      <c r="BY541" s="9">
        <v>890</v>
      </c>
      <c r="BZ541" s="10" t="s">
        <v>540</v>
      </c>
      <c r="CA541" s="9">
        <v>150</v>
      </c>
      <c r="CB541" s="9"/>
      <c r="CC541" s="10">
        <f t="shared" si="197"/>
        <v>3.6330267092023747</v>
      </c>
      <c r="CD541" s="10">
        <f t="shared" si="198"/>
        <v>229.35774679307923</v>
      </c>
      <c r="CE541" s="10">
        <f t="shared" si="209"/>
        <v>908256.6773005937</v>
      </c>
      <c r="CF541" s="10">
        <f t="shared" si="207"/>
        <v>0</v>
      </c>
      <c r="CG541" s="10">
        <f t="shared" si="192"/>
        <v>0</v>
      </c>
      <c r="CH541" s="10">
        <f t="shared" si="193"/>
        <v>4</v>
      </c>
      <c r="CI541" s="9">
        <f t="shared" si="199"/>
        <v>1</v>
      </c>
      <c r="CJ541" s="10">
        <f t="shared" si="194"/>
        <v>10</v>
      </c>
      <c r="CK541" s="10" t="b">
        <f t="shared" si="200"/>
        <v>1</v>
      </c>
      <c r="CL541" s="10" t="b">
        <f t="shared" si="201"/>
        <v>0</v>
      </c>
      <c r="CM541" s="10" t="b">
        <f t="shared" si="202"/>
        <v>0</v>
      </c>
      <c r="CN541" s="9">
        <f t="shared" si="203"/>
        <v>1</v>
      </c>
      <c r="CO541" s="10">
        <f t="shared" si="208"/>
        <v>5</v>
      </c>
      <c r="CP541" s="10" t="b">
        <f t="shared" si="204"/>
        <v>1</v>
      </c>
      <c r="CQ541" s="10" t="b">
        <f t="shared" si="205"/>
        <v>0</v>
      </c>
      <c r="CR541" s="10" cm="1">
        <f t="array" ref="CR541">_xlfn.IFS(AND($CI541=0, CK541=FALSE), NA(), AND($CI541=1, CK541=FALSE), 0, CK541=TRUE, 1)</f>
        <v>1</v>
      </c>
      <c r="CS541" s="10" cm="1">
        <f t="array" ref="CS541">_xlfn.IFS(AND($CI541=0, CL541=FALSE), NA(), AND($CI541=1, CL541=FALSE), 0, CL541=TRUE, 1)</f>
        <v>0</v>
      </c>
      <c r="CT541" s="10" cm="1">
        <f t="array" ref="CT541">_xlfn.IFS(AND($CI541=0, CM541=FALSE), NA(), AND($CI541=1, CM541=FALSE), 0, CM541=TRUE, 1)</f>
        <v>0</v>
      </c>
      <c r="CU541" s="10" cm="1">
        <f t="array" ref="CU541">_xlfn.IFS(AND($CN541=0, CP541=FALSE), NA(), AND($CN541=1, CP541=FALSE), 0, CP541=TRUE, 1)</f>
        <v>1</v>
      </c>
      <c r="CV541" s="10" cm="1">
        <f t="array" ref="CV541">_xlfn.IFS(AND($CN541=0, CQ541=FALSE), NA(), AND($CN541=1, CQ541=FALSE), 0, CQ541=TRUE, 1)</f>
        <v>0</v>
      </c>
    </row>
    <row r="542" spans="1:100" ht="15.75" x14ac:dyDescent="0.25">
      <c r="A542" s="8">
        <v>541</v>
      </c>
      <c r="B542" s="9">
        <v>429</v>
      </c>
      <c r="C542" s="10" t="s">
        <v>29</v>
      </c>
      <c r="D542" s="11" t="s">
        <v>340</v>
      </c>
      <c r="E542" s="12">
        <v>24152</v>
      </c>
      <c r="F542" s="13">
        <v>1</v>
      </c>
      <c r="G542" s="9">
        <v>52.136894226074219</v>
      </c>
      <c r="H542" s="12">
        <v>43195</v>
      </c>
      <c r="I542" s="9">
        <v>1</v>
      </c>
      <c r="J542" s="12">
        <v>43195</v>
      </c>
      <c r="K542" s="9">
        <v>0</v>
      </c>
      <c r="L542" s="9">
        <v>2</v>
      </c>
      <c r="M542" s="10" t="s">
        <v>401</v>
      </c>
      <c r="N542" s="9">
        <v>2</v>
      </c>
      <c r="O542" s="10" t="s">
        <v>439</v>
      </c>
      <c r="P542" s="9">
        <v>2</v>
      </c>
      <c r="Q542" s="10" t="s">
        <v>439</v>
      </c>
      <c r="R542" s="12">
        <v>43224</v>
      </c>
      <c r="S542" s="10" t="s">
        <v>145</v>
      </c>
      <c r="T542" s="9"/>
      <c r="U542" s="10" t="s">
        <v>401</v>
      </c>
      <c r="V542" s="10" t="s">
        <v>401</v>
      </c>
      <c r="W542" s="9"/>
      <c r="X542" s="9"/>
      <c r="Y542" s="9">
        <v>2</v>
      </c>
      <c r="Z542" s="14">
        <v>1</v>
      </c>
      <c r="AA542" s="17">
        <v>10</v>
      </c>
      <c r="AB542" s="18">
        <v>71</v>
      </c>
      <c r="AC542" s="18">
        <v>23</v>
      </c>
      <c r="AD542" s="9">
        <v>2</v>
      </c>
      <c r="AE542" s="9">
        <v>2</v>
      </c>
      <c r="AF542" s="9">
        <v>1</v>
      </c>
      <c r="AG542" s="9">
        <v>1</v>
      </c>
      <c r="AH542" s="9">
        <v>1</v>
      </c>
      <c r="AI542" s="9">
        <v>0</v>
      </c>
      <c r="AJ542" s="12">
        <v>43572</v>
      </c>
      <c r="AK542" s="9">
        <v>2</v>
      </c>
      <c r="AL542" s="12">
        <v>43761</v>
      </c>
      <c r="AM542" s="9">
        <v>4</v>
      </c>
      <c r="AN542" s="12">
        <v>43705</v>
      </c>
      <c r="AO542" s="12">
        <v>43733</v>
      </c>
      <c r="AP542" s="12">
        <v>43733</v>
      </c>
      <c r="AQ542" s="9">
        <v>1</v>
      </c>
      <c r="AR542" s="9">
        <f t="shared" si="195"/>
        <v>1</v>
      </c>
      <c r="AS542" s="9">
        <v>1</v>
      </c>
      <c r="AT542" s="9">
        <v>2</v>
      </c>
      <c r="AU542" s="9">
        <v>2</v>
      </c>
      <c r="AV542" s="9">
        <f t="shared" si="196"/>
        <v>1</v>
      </c>
      <c r="AW542" s="12">
        <v>44756</v>
      </c>
      <c r="AX542" s="9">
        <v>7370</v>
      </c>
      <c r="AY542" s="9">
        <v>3810</v>
      </c>
      <c r="AZ542" s="9">
        <v>2690</v>
      </c>
      <c r="BA542" s="9">
        <v>3810</v>
      </c>
      <c r="BB542" s="9">
        <v>2690</v>
      </c>
      <c r="BC542" s="9">
        <v>182000</v>
      </c>
      <c r="BD542" s="9">
        <v>550</v>
      </c>
      <c r="BE542" s="9">
        <v>300</v>
      </c>
      <c r="BF542" s="9"/>
      <c r="BG542" s="9">
        <v>8880</v>
      </c>
      <c r="BH542" s="9">
        <v>4450</v>
      </c>
      <c r="BI542" s="9">
        <v>3950</v>
      </c>
      <c r="BJ542" s="9">
        <v>462000</v>
      </c>
      <c r="BK542" s="9">
        <v>500</v>
      </c>
      <c r="BL542" s="9">
        <v>300</v>
      </c>
      <c r="BM542" s="9"/>
      <c r="BN542" s="9">
        <v>9250</v>
      </c>
      <c r="BO542" s="9">
        <v>4970</v>
      </c>
      <c r="BP542" s="9">
        <v>2500</v>
      </c>
      <c r="BQ542" s="9">
        <v>312000</v>
      </c>
      <c r="BR542" s="9">
        <v>410</v>
      </c>
      <c r="BS542" s="9">
        <v>140</v>
      </c>
      <c r="BT542" s="9"/>
      <c r="BU542" s="9">
        <v>13600</v>
      </c>
      <c r="BV542" s="9">
        <v>11000</v>
      </c>
      <c r="BW542" s="9">
        <v>2300</v>
      </c>
      <c r="BX542" s="9">
        <v>389000</v>
      </c>
      <c r="BY542" s="9">
        <v>430</v>
      </c>
      <c r="BZ542" s="10" t="s">
        <v>530</v>
      </c>
      <c r="CA542" s="9">
        <v>140</v>
      </c>
      <c r="CB542" s="9"/>
      <c r="CC542" s="10">
        <f t="shared" si="197"/>
        <v>1.4163568773234201</v>
      </c>
      <c r="CD542" s="10">
        <f t="shared" si="198"/>
        <v>67.657992565055764</v>
      </c>
      <c r="CE542" s="10">
        <f t="shared" si="209"/>
        <v>257776.95167286246</v>
      </c>
      <c r="CF542" s="10">
        <f t="shared" si="207"/>
        <v>0</v>
      </c>
      <c r="CG542" s="10">
        <f t="shared" si="192"/>
        <v>0</v>
      </c>
      <c r="CH542" s="10">
        <f t="shared" si="193"/>
        <v>6</v>
      </c>
      <c r="CI542" s="9">
        <f t="shared" si="199"/>
        <v>1</v>
      </c>
      <c r="CJ542" s="10">
        <f t="shared" si="194"/>
        <v>39</v>
      </c>
      <c r="CK542" s="10" t="b">
        <f t="shared" si="200"/>
        <v>1</v>
      </c>
      <c r="CL542" s="10" t="b">
        <f t="shared" si="201"/>
        <v>1</v>
      </c>
      <c r="CM542" s="10" t="b">
        <f t="shared" si="202"/>
        <v>1</v>
      </c>
      <c r="CN542" s="9">
        <f t="shared" si="203"/>
        <v>1</v>
      </c>
      <c r="CO542" s="10">
        <f t="shared" si="208"/>
        <v>5</v>
      </c>
      <c r="CP542" s="10" t="b">
        <f t="shared" si="204"/>
        <v>1</v>
      </c>
      <c r="CQ542" s="10" t="b">
        <f t="shared" si="205"/>
        <v>0</v>
      </c>
      <c r="CR542" s="10" cm="1">
        <f t="array" ref="CR542">_xlfn.IFS(AND($CI542=0, CK542=FALSE), NA(), AND($CI542=1, CK542=FALSE), 0, CK542=TRUE, 1)</f>
        <v>1</v>
      </c>
      <c r="CS542" s="10" cm="1">
        <f t="array" ref="CS542">_xlfn.IFS(AND($CI542=0, CL542=FALSE), NA(), AND($CI542=1, CL542=FALSE), 0, CL542=TRUE, 1)</f>
        <v>1</v>
      </c>
      <c r="CT542" s="10" cm="1">
        <f t="array" ref="CT542">_xlfn.IFS(AND($CI542=0, CM542=FALSE), NA(), AND($CI542=1, CM542=FALSE), 0, CM542=TRUE, 1)</f>
        <v>1</v>
      </c>
      <c r="CU542" s="10" cm="1">
        <f t="array" ref="CU542">_xlfn.IFS(AND($CN542=0, CP542=FALSE), NA(), AND($CN542=1, CP542=FALSE), 0, CP542=TRUE, 1)</f>
        <v>1</v>
      </c>
      <c r="CV542" s="10" cm="1">
        <f t="array" ref="CV542">_xlfn.IFS(AND($CN542=0, CQ542=FALSE), NA(), AND($CN542=1, CQ542=FALSE), 0, CQ542=TRUE, 1)</f>
        <v>0</v>
      </c>
    </row>
    <row r="543" spans="1:100" ht="15.75" x14ac:dyDescent="0.25">
      <c r="A543" s="8">
        <v>542</v>
      </c>
      <c r="B543" s="9">
        <v>266</v>
      </c>
      <c r="C543" s="10" t="s">
        <v>21</v>
      </c>
      <c r="D543" s="11" t="s">
        <v>85</v>
      </c>
      <c r="E543" s="12">
        <v>20837</v>
      </c>
      <c r="F543" s="13">
        <v>1</v>
      </c>
      <c r="G543" s="9">
        <v>61.248458862304688</v>
      </c>
      <c r="H543" s="12">
        <v>43208</v>
      </c>
      <c r="I543" s="9">
        <v>0</v>
      </c>
      <c r="J543" s="12"/>
      <c r="K543" s="9">
        <v>1</v>
      </c>
      <c r="L543" s="9">
        <v>1</v>
      </c>
      <c r="M543" s="10" t="s">
        <v>401</v>
      </c>
      <c r="N543" s="9">
        <v>3</v>
      </c>
      <c r="O543" s="10" t="s">
        <v>424</v>
      </c>
      <c r="P543" s="9">
        <v>2</v>
      </c>
      <c r="Q543" s="10" t="s">
        <v>409</v>
      </c>
      <c r="R543" s="12">
        <v>43208</v>
      </c>
      <c r="S543" s="10" t="s">
        <v>145</v>
      </c>
      <c r="T543" s="9"/>
      <c r="U543" s="10" t="s">
        <v>401</v>
      </c>
      <c r="V543" s="10" t="s">
        <v>401</v>
      </c>
      <c r="W543" s="9"/>
      <c r="X543" s="9"/>
      <c r="Y543" s="9">
        <v>2</v>
      </c>
      <c r="Z543" s="14">
        <v>1</v>
      </c>
      <c r="AA543" s="15">
        <v>9.8000000000000007</v>
      </c>
      <c r="AB543" s="16">
        <v>90</v>
      </c>
      <c r="AC543" s="16">
        <v>18</v>
      </c>
      <c r="AD543" s="9">
        <v>2</v>
      </c>
      <c r="AE543" s="9">
        <v>2</v>
      </c>
      <c r="AF543" s="9">
        <v>1</v>
      </c>
      <c r="AG543" s="9">
        <v>0</v>
      </c>
      <c r="AH543" s="9">
        <v>1</v>
      </c>
      <c r="AI543" s="9">
        <v>1</v>
      </c>
      <c r="AJ543" s="12">
        <v>43410</v>
      </c>
      <c r="AK543" s="9">
        <v>2</v>
      </c>
      <c r="AL543" s="12">
        <v>43493</v>
      </c>
      <c r="AM543" s="9">
        <v>4</v>
      </c>
      <c r="AN543" s="12">
        <v>43465</v>
      </c>
      <c r="AO543" s="12">
        <v>43465</v>
      </c>
      <c r="AP543" s="12">
        <v>43465</v>
      </c>
      <c r="AQ543" s="9">
        <v>1</v>
      </c>
      <c r="AR543" s="9">
        <f t="shared" si="195"/>
        <v>1</v>
      </c>
      <c r="AS543" s="9">
        <v>1</v>
      </c>
      <c r="AT543" s="9">
        <v>2</v>
      </c>
      <c r="AU543" s="9">
        <v>2</v>
      </c>
      <c r="AV543" s="9">
        <f t="shared" si="196"/>
        <v>1</v>
      </c>
      <c r="AW543" s="12">
        <v>43525</v>
      </c>
      <c r="AX543" s="9">
        <v>8890</v>
      </c>
      <c r="AY543" s="9">
        <v>6650</v>
      </c>
      <c r="AZ543" s="9">
        <v>1370</v>
      </c>
      <c r="BA543" s="9">
        <v>6650</v>
      </c>
      <c r="BB543" s="9">
        <v>1370.0001220703125</v>
      </c>
      <c r="BC543" s="9">
        <v>228000</v>
      </c>
      <c r="BD543" s="9">
        <v>820</v>
      </c>
      <c r="BE543" s="9">
        <v>40</v>
      </c>
      <c r="BF543" s="9">
        <v>148</v>
      </c>
      <c r="BG543" s="9">
        <v>8010</v>
      </c>
      <c r="BH543" s="9">
        <v>6020</v>
      </c>
      <c r="BI543" s="9">
        <v>1130</v>
      </c>
      <c r="BJ543" s="9">
        <v>322000</v>
      </c>
      <c r="BK543" s="9">
        <v>820</v>
      </c>
      <c r="BL543" s="9">
        <v>30</v>
      </c>
      <c r="BM543" s="9"/>
      <c r="BN543" s="9">
        <v>8910</v>
      </c>
      <c r="BO543" s="9">
        <v>6650</v>
      </c>
      <c r="BP543" s="9">
        <v>1330</v>
      </c>
      <c r="BQ543" s="9">
        <v>404000</v>
      </c>
      <c r="BR543" s="9">
        <v>870</v>
      </c>
      <c r="BS543" s="9">
        <v>30</v>
      </c>
      <c r="BT543" s="9"/>
      <c r="BU543" s="9">
        <v>8370</v>
      </c>
      <c r="BV543" s="9">
        <v>5910</v>
      </c>
      <c r="BW543" s="9">
        <v>1410</v>
      </c>
      <c r="BX543" s="9">
        <v>433000</v>
      </c>
      <c r="BY543" s="9">
        <v>950</v>
      </c>
      <c r="BZ543" s="10" t="s">
        <v>337</v>
      </c>
      <c r="CA543" s="9">
        <v>50</v>
      </c>
      <c r="CB543" s="9"/>
      <c r="CC543" s="10">
        <f t="shared" si="197"/>
        <v>4.8540141660357472</v>
      </c>
      <c r="CD543" s="10">
        <f t="shared" si="198"/>
        <v>166.42334283551133</v>
      </c>
      <c r="CE543" s="10">
        <f t="shared" si="209"/>
        <v>1106715.2298561505</v>
      </c>
      <c r="CF543" s="10">
        <f t="shared" si="207"/>
        <v>0</v>
      </c>
      <c r="CG543" s="10">
        <f t="shared" si="192"/>
        <v>0</v>
      </c>
      <c r="CH543" s="10">
        <f t="shared" si="193"/>
        <v>2</v>
      </c>
      <c r="CI543" s="9">
        <f t="shared" si="199"/>
        <v>1</v>
      </c>
      <c r="CJ543" s="10">
        <f t="shared" si="194"/>
        <v>4</v>
      </c>
      <c r="CK543" s="10" t="b">
        <f t="shared" si="200"/>
        <v>0</v>
      </c>
      <c r="CL543" s="10" t="b">
        <f t="shared" si="201"/>
        <v>0</v>
      </c>
      <c r="CM543" s="10" t="b">
        <f t="shared" si="202"/>
        <v>0</v>
      </c>
      <c r="CN543" s="9">
        <f t="shared" si="203"/>
        <v>1</v>
      </c>
      <c r="CO543" s="10">
        <f t="shared" si="208"/>
        <v>1</v>
      </c>
      <c r="CP543" s="10" t="b">
        <f t="shared" si="204"/>
        <v>0</v>
      </c>
      <c r="CQ543" s="10" t="b">
        <f t="shared" si="205"/>
        <v>0</v>
      </c>
      <c r="CR543" s="10" cm="1">
        <f t="array" ref="CR543">_xlfn.IFS(AND($CI543=0, CK543=FALSE), NA(), AND($CI543=1, CK543=FALSE), 0, CK543=TRUE, 1)</f>
        <v>0</v>
      </c>
      <c r="CS543" s="10" cm="1">
        <f t="array" ref="CS543">_xlfn.IFS(AND($CI543=0, CL543=FALSE), NA(), AND($CI543=1, CL543=FALSE), 0, CL543=TRUE, 1)</f>
        <v>0</v>
      </c>
      <c r="CT543" s="10" cm="1">
        <f t="array" ref="CT543">_xlfn.IFS(AND($CI543=0, CM543=FALSE), NA(), AND($CI543=1, CM543=FALSE), 0, CM543=TRUE, 1)</f>
        <v>0</v>
      </c>
      <c r="CU543" s="10" cm="1">
        <f t="array" ref="CU543">_xlfn.IFS(AND($CN543=0, CP543=FALSE), NA(), AND($CN543=1, CP543=FALSE), 0, CP543=TRUE, 1)</f>
        <v>0</v>
      </c>
      <c r="CV543" s="10" cm="1">
        <f t="array" ref="CV543">_xlfn.IFS(AND($CN543=0, CQ543=FALSE), NA(), AND($CN543=1, CQ543=FALSE), 0, CQ543=TRUE, 1)</f>
        <v>0</v>
      </c>
    </row>
    <row r="544" spans="1:100" x14ac:dyDescent="0.25">
      <c r="A544" s="8">
        <v>543</v>
      </c>
      <c r="B544" s="9">
        <v>112</v>
      </c>
      <c r="C544" s="10" t="s">
        <v>12</v>
      </c>
      <c r="D544" s="11" t="s">
        <v>44</v>
      </c>
      <c r="E544" s="12">
        <v>15810</v>
      </c>
      <c r="F544" s="13">
        <v>1</v>
      </c>
      <c r="G544" s="9">
        <v>75.058181762695313</v>
      </c>
      <c r="H544" s="12">
        <v>43225</v>
      </c>
      <c r="I544" s="9">
        <v>1</v>
      </c>
      <c r="J544" s="12">
        <v>43245</v>
      </c>
      <c r="K544" s="9">
        <v>0</v>
      </c>
      <c r="L544" s="9">
        <v>1</v>
      </c>
      <c r="M544" s="10" t="s">
        <v>401</v>
      </c>
      <c r="N544" s="9">
        <v>2</v>
      </c>
      <c r="O544" s="10" t="s">
        <v>421</v>
      </c>
      <c r="P544" s="9">
        <v>2</v>
      </c>
      <c r="Q544" s="10" t="s">
        <v>421</v>
      </c>
      <c r="R544" s="12">
        <v>43322</v>
      </c>
      <c r="S544" s="10" t="s">
        <v>145</v>
      </c>
      <c r="T544" s="9"/>
      <c r="U544" s="10" t="s">
        <v>401</v>
      </c>
      <c r="V544" s="10" t="s">
        <v>401</v>
      </c>
      <c r="W544" s="9"/>
      <c r="X544" s="9"/>
      <c r="Y544" s="9">
        <v>2</v>
      </c>
      <c r="Z544" s="19">
        <v>1</v>
      </c>
      <c r="AB544" s="9"/>
      <c r="AC544" s="9"/>
      <c r="AD544" s="9">
        <v>3</v>
      </c>
      <c r="AE544" s="9">
        <v>3</v>
      </c>
      <c r="AF544" s="9">
        <v>2</v>
      </c>
      <c r="AG544" s="9">
        <v>0</v>
      </c>
      <c r="AH544" s="9">
        <v>1</v>
      </c>
      <c r="AI544" s="9">
        <v>1</v>
      </c>
      <c r="AJ544" s="12">
        <v>43426</v>
      </c>
      <c r="AK544" s="9">
        <v>2</v>
      </c>
      <c r="AL544" s="12">
        <v>43468</v>
      </c>
      <c r="AM544" s="9">
        <v>4</v>
      </c>
      <c r="AN544" s="12">
        <v>43475</v>
      </c>
      <c r="AO544" s="12">
        <v>43475</v>
      </c>
      <c r="AP544" s="12">
        <v>43475</v>
      </c>
      <c r="AQ544" s="9">
        <v>1</v>
      </c>
      <c r="AR544" s="9">
        <f t="shared" si="195"/>
        <v>1</v>
      </c>
      <c r="AS544" s="9">
        <v>1</v>
      </c>
      <c r="AT544" s="9">
        <v>2</v>
      </c>
      <c r="AU544" s="9">
        <v>2</v>
      </c>
      <c r="AV544" s="9">
        <f t="shared" si="196"/>
        <v>1</v>
      </c>
      <c r="AW544" s="12">
        <v>43495</v>
      </c>
      <c r="AX544" s="9">
        <v>4640</v>
      </c>
      <c r="AY544" s="9">
        <v>2700</v>
      </c>
      <c r="AZ544" s="9">
        <v>1000</v>
      </c>
      <c r="BA544" s="9">
        <v>2700</v>
      </c>
      <c r="BB544" s="9">
        <v>1000.0001220703125</v>
      </c>
      <c r="BC544" s="9">
        <v>281000</v>
      </c>
      <c r="BD544" s="9">
        <v>490</v>
      </c>
      <c r="BE544" s="9">
        <v>420</v>
      </c>
      <c r="BF544" s="9"/>
      <c r="BG544" s="9">
        <v>4910</v>
      </c>
      <c r="BH544" s="9">
        <v>3210</v>
      </c>
      <c r="BI544" s="9">
        <v>720</v>
      </c>
      <c r="BJ544" s="9">
        <v>236000</v>
      </c>
      <c r="BK544" s="9">
        <v>580</v>
      </c>
      <c r="BL544" s="9">
        <v>380</v>
      </c>
      <c r="BM544" s="9"/>
      <c r="BN544" s="9">
        <v>5320</v>
      </c>
      <c r="BO544" s="9">
        <v>3610</v>
      </c>
      <c r="BP544" s="9">
        <v>720</v>
      </c>
      <c r="BQ544" s="9">
        <v>242000</v>
      </c>
      <c r="BR544" s="9">
        <v>720</v>
      </c>
      <c r="BS544" s="9">
        <v>230</v>
      </c>
      <c r="BT544" s="9"/>
      <c r="BU544" s="9">
        <v>7730</v>
      </c>
      <c r="BV544" s="9">
        <v>5880</v>
      </c>
      <c r="BW544" s="9">
        <v>700</v>
      </c>
      <c r="BX544" s="9">
        <v>326000</v>
      </c>
      <c r="BY544" s="9">
        <v>910</v>
      </c>
      <c r="BZ544" s="10" t="s">
        <v>564</v>
      </c>
      <c r="CA544" s="9">
        <v>210</v>
      </c>
      <c r="CB544" s="9"/>
      <c r="CC544" s="10">
        <f t="shared" si="197"/>
        <v>2.6999996704101963</v>
      </c>
      <c r="CD544" s="10">
        <f t="shared" si="198"/>
        <v>280.9999656982464</v>
      </c>
      <c r="CE544" s="10">
        <f t="shared" si="209"/>
        <v>758699.90738526511</v>
      </c>
      <c r="CF544" s="10">
        <f t="shared" si="207"/>
        <v>0</v>
      </c>
      <c r="CG544" s="10">
        <f t="shared" si="192"/>
        <v>0</v>
      </c>
      <c r="CH544" s="10">
        <f t="shared" si="193"/>
        <v>2</v>
      </c>
      <c r="CI544" s="9">
        <f t="shared" si="199"/>
        <v>1</v>
      </c>
      <c r="CJ544" s="10">
        <f t="shared" si="194"/>
        <v>2</v>
      </c>
      <c r="CK544" s="10" t="b">
        <f t="shared" si="200"/>
        <v>0</v>
      </c>
      <c r="CL544" s="10" t="b">
        <f t="shared" si="201"/>
        <v>0</v>
      </c>
      <c r="CM544" s="10" t="b">
        <f t="shared" si="202"/>
        <v>0</v>
      </c>
      <c r="CN544" s="9">
        <f t="shared" si="203"/>
        <v>1</v>
      </c>
      <c r="CO544" s="10">
        <f t="shared" si="208"/>
        <v>2</v>
      </c>
      <c r="CP544" s="10" t="b">
        <f t="shared" si="204"/>
        <v>0</v>
      </c>
      <c r="CQ544" s="10" t="b">
        <f t="shared" si="205"/>
        <v>0</v>
      </c>
      <c r="CR544" s="10" cm="1">
        <f t="array" ref="CR544">_xlfn.IFS(AND($CI544=0, CK544=FALSE), NA(), AND($CI544=1, CK544=FALSE), 0, CK544=TRUE, 1)</f>
        <v>0</v>
      </c>
      <c r="CS544" s="10" cm="1">
        <f t="array" ref="CS544">_xlfn.IFS(AND($CI544=0, CL544=FALSE), NA(), AND($CI544=1, CL544=FALSE), 0, CL544=TRUE, 1)</f>
        <v>0</v>
      </c>
      <c r="CT544" s="10" cm="1">
        <f t="array" ref="CT544">_xlfn.IFS(AND($CI544=0, CM544=FALSE), NA(), AND($CI544=1, CM544=FALSE), 0, CM544=TRUE, 1)</f>
        <v>0</v>
      </c>
      <c r="CU544" s="10" cm="1">
        <f t="array" ref="CU544">_xlfn.IFS(AND($CN544=0, CP544=FALSE), NA(), AND($CN544=1, CP544=FALSE), 0, CP544=TRUE, 1)</f>
        <v>0</v>
      </c>
      <c r="CV544" s="10" cm="1">
        <f t="array" ref="CV544">_xlfn.IFS(AND($CN544=0, CQ544=FALSE), NA(), AND($CN544=1, CQ544=FALSE), 0, CQ544=TRUE, 1)</f>
        <v>0</v>
      </c>
    </row>
    <row r="545" spans="1:100" ht="15.75" x14ac:dyDescent="0.25">
      <c r="A545" s="8">
        <v>544</v>
      </c>
      <c r="B545" s="9">
        <v>395</v>
      </c>
      <c r="C545" s="10" t="s">
        <v>29</v>
      </c>
      <c r="D545" s="11" t="s">
        <v>309</v>
      </c>
      <c r="E545" s="12">
        <v>28765</v>
      </c>
      <c r="F545" s="13">
        <v>1</v>
      </c>
      <c r="G545" s="9">
        <v>39.619438171386719</v>
      </c>
      <c r="H545" s="12">
        <v>43236</v>
      </c>
      <c r="I545" s="9">
        <v>1</v>
      </c>
      <c r="J545" s="12">
        <v>43236</v>
      </c>
      <c r="K545" s="9">
        <v>1</v>
      </c>
      <c r="L545" s="9">
        <v>1</v>
      </c>
      <c r="M545" s="10" t="s">
        <v>401</v>
      </c>
      <c r="N545" s="9">
        <v>2</v>
      </c>
      <c r="O545" s="10" t="s">
        <v>411</v>
      </c>
      <c r="P545" s="9">
        <v>2</v>
      </c>
      <c r="Q545" s="10" t="s">
        <v>145</v>
      </c>
      <c r="R545" s="12">
        <v>43245</v>
      </c>
      <c r="S545" s="10" t="s">
        <v>145</v>
      </c>
      <c r="T545" s="9"/>
      <c r="U545" s="10" t="s">
        <v>401</v>
      </c>
      <c r="V545" s="10" t="s">
        <v>401</v>
      </c>
      <c r="W545" s="9"/>
      <c r="X545" s="9"/>
      <c r="Y545" s="9">
        <v>2</v>
      </c>
      <c r="Z545" s="14">
        <v>1</v>
      </c>
      <c r="AA545" s="17">
        <v>11.4</v>
      </c>
      <c r="AB545" s="18">
        <v>89</v>
      </c>
      <c r="AC545" s="18"/>
      <c r="AD545" s="9">
        <v>2</v>
      </c>
      <c r="AE545" s="9">
        <v>2</v>
      </c>
      <c r="AF545" s="9">
        <v>1</v>
      </c>
      <c r="AG545" s="9">
        <v>1</v>
      </c>
      <c r="AH545" s="9">
        <v>1</v>
      </c>
      <c r="AI545" s="9">
        <v>0</v>
      </c>
      <c r="AJ545" s="12">
        <v>43340</v>
      </c>
      <c r="AK545" s="9">
        <v>2</v>
      </c>
      <c r="AL545" s="12">
        <v>43446</v>
      </c>
      <c r="AM545" s="9">
        <v>3</v>
      </c>
      <c r="AN545" s="12">
        <v>43418</v>
      </c>
      <c r="AO545" s="12">
        <v>43474</v>
      </c>
      <c r="AP545" s="12">
        <v>43474</v>
      </c>
      <c r="AQ545" s="9">
        <v>1</v>
      </c>
      <c r="AR545" s="9">
        <f t="shared" si="195"/>
        <v>1</v>
      </c>
      <c r="AS545" s="9">
        <v>1</v>
      </c>
      <c r="AT545" s="9">
        <v>2</v>
      </c>
      <c r="AU545" s="9">
        <v>2</v>
      </c>
      <c r="AV545" s="9">
        <f t="shared" si="196"/>
        <v>1</v>
      </c>
      <c r="AW545" s="12">
        <v>43525</v>
      </c>
      <c r="AX545" s="9">
        <v>4400</v>
      </c>
      <c r="AY545" s="9">
        <v>3210</v>
      </c>
      <c r="AZ545" s="9">
        <v>770</v>
      </c>
      <c r="BA545" s="9">
        <v>3210</v>
      </c>
      <c r="BB545" s="9">
        <v>769.99993896484375</v>
      </c>
      <c r="BC545" s="9">
        <v>202000</v>
      </c>
      <c r="BD545" s="9">
        <v>36</v>
      </c>
      <c r="BE545" s="9">
        <v>10</v>
      </c>
      <c r="BF545" s="9"/>
      <c r="BG545" s="9">
        <v>8430</v>
      </c>
      <c r="BH545" s="9">
        <v>6920</v>
      </c>
      <c r="BI545" s="9">
        <v>810</v>
      </c>
      <c r="BJ545" s="9">
        <v>265000</v>
      </c>
      <c r="BK545" s="9">
        <v>64</v>
      </c>
      <c r="BL545" s="9">
        <v>3</v>
      </c>
      <c r="BM545" s="9"/>
      <c r="BN545" s="9">
        <v>6970</v>
      </c>
      <c r="BO545" s="9">
        <v>5840</v>
      </c>
      <c r="BP545" s="9">
        <v>610</v>
      </c>
      <c r="BQ545" s="9">
        <v>262000</v>
      </c>
      <c r="BR545" s="9">
        <v>47</v>
      </c>
      <c r="BS545" s="9">
        <v>2</v>
      </c>
      <c r="BT545" s="9"/>
      <c r="BU545" s="9">
        <v>8040</v>
      </c>
      <c r="BV545" s="9">
        <v>6870</v>
      </c>
      <c r="BW545" s="9">
        <v>690</v>
      </c>
      <c r="BX545" s="9">
        <v>218000</v>
      </c>
      <c r="BY545" s="9">
        <v>44</v>
      </c>
      <c r="BZ545" s="10" t="s">
        <v>150</v>
      </c>
      <c r="CA545" s="9">
        <v>6</v>
      </c>
      <c r="CB545" s="9"/>
      <c r="CC545" s="10">
        <f t="shared" si="197"/>
        <v>4.1688314992795865</v>
      </c>
      <c r="CD545" s="10">
        <f t="shared" si="198"/>
        <v>262.33768313223567</v>
      </c>
      <c r="CE545" s="10">
        <f t="shared" si="209"/>
        <v>842103.96285447653</v>
      </c>
      <c r="CF545" s="10">
        <f t="shared" si="207"/>
        <v>1</v>
      </c>
      <c r="CG545" s="10">
        <f t="shared" si="192"/>
        <v>0</v>
      </c>
      <c r="CH545" s="10">
        <f t="shared" si="193"/>
        <v>4</v>
      </c>
      <c r="CI545" s="9">
        <f t="shared" si="199"/>
        <v>1</v>
      </c>
      <c r="CJ545" s="10">
        <f t="shared" si="194"/>
        <v>7</v>
      </c>
      <c r="CK545" s="10" t="b">
        <f t="shared" si="200"/>
        <v>1</v>
      </c>
      <c r="CL545" s="10" t="b">
        <f t="shared" si="201"/>
        <v>0</v>
      </c>
      <c r="CM545" s="10" t="b">
        <f t="shared" si="202"/>
        <v>0</v>
      </c>
      <c r="CN545" s="9">
        <f t="shared" si="203"/>
        <v>1</v>
      </c>
      <c r="CO545" s="10">
        <f t="shared" si="208"/>
        <v>5</v>
      </c>
      <c r="CP545" s="10" t="b">
        <f t="shared" si="204"/>
        <v>1</v>
      </c>
      <c r="CQ545" s="10" t="b">
        <f t="shared" si="205"/>
        <v>0</v>
      </c>
      <c r="CR545" s="10" cm="1">
        <f t="array" ref="CR545">_xlfn.IFS(AND($CI545=0, CK545=FALSE), NA(), AND($CI545=1, CK545=FALSE), 0, CK545=TRUE, 1)</f>
        <v>1</v>
      </c>
      <c r="CS545" s="10" cm="1">
        <f t="array" ref="CS545">_xlfn.IFS(AND($CI545=0, CL545=FALSE), NA(), AND($CI545=1, CL545=FALSE), 0, CL545=TRUE, 1)</f>
        <v>0</v>
      </c>
      <c r="CT545" s="10" cm="1">
        <f t="array" ref="CT545">_xlfn.IFS(AND($CI545=0, CM545=FALSE), NA(), AND($CI545=1, CM545=FALSE), 0, CM545=TRUE, 1)</f>
        <v>0</v>
      </c>
      <c r="CU545" s="10" cm="1">
        <f t="array" ref="CU545">_xlfn.IFS(AND($CN545=0, CP545=FALSE), NA(), AND($CN545=1, CP545=FALSE), 0, CP545=TRUE, 1)</f>
        <v>1</v>
      </c>
      <c r="CV545" s="10" cm="1">
        <f t="array" ref="CV545">_xlfn.IFS(AND($CN545=0, CQ545=FALSE), NA(), AND($CN545=1, CQ545=FALSE), 0, CQ545=TRUE, 1)</f>
        <v>0</v>
      </c>
    </row>
    <row r="546" spans="1:100" ht="15.75" x14ac:dyDescent="0.25">
      <c r="A546" s="8">
        <v>545</v>
      </c>
      <c r="B546" s="9">
        <v>217</v>
      </c>
      <c r="C546" s="10" t="s">
        <v>19</v>
      </c>
      <c r="D546" s="11" t="s">
        <v>216</v>
      </c>
      <c r="E546" s="12">
        <v>19429</v>
      </c>
      <c r="F546" s="13">
        <v>1</v>
      </c>
      <c r="G546" s="9">
        <v>65.182754516601563</v>
      </c>
      <c r="H546" s="12">
        <v>43237</v>
      </c>
      <c r="I546" s="9">
        <v>0</v>
      </c>
      <c r="J546" s="12"/>
      <c r="K546" s="9">
        <v>1</v>
      </c>
      <c r="L546" s="9">
        <v>1</v>
      </c>
      <c r="M546" s="10" t="s">
        <v>401</v>
      </c>
      <c r="N546" s="9">
        <v>2</v>
      </c>
      <c r="O546" s="10" t="s">
        <v>145</v>
      </c>
      <c r="P546" s="9">
        <v>2</v>
      </c>
      <c r="Q546" s="10" t="s">
        <v>145</v>
      </c>
      <c r="R546" s="12">
        <v>43249</v>
      </c>
      <c r="S546" s="10" t="s">
        <v>146</v>
      </c>
      <c r="T546" s="9"/>
      <c r="U546" s="10" t="s">
        <v>401</v>
      </c>
      <c r="V546" s="10" t="s">
        <v>401</v>
      </c>
      <c r="W546" s="9"/>
      <c r="X546" s="9"/>
      <c r="Y546" s="9">
        <v>2</v>
      </c>
      <c r="Z546" s="14">
        <v>2</v>
      </c>
      <c r="AA546" s="34">
        <v>12.8</v>
      </c>
      <c r="AB546" s="14">
        <v>91</v>
      </c>
      <c r="AC546" s="14">
        <v>17</v>
      </c>
      <c r="AD546" s="9">
        <v>2</v>
      </c>
      <c r="AE546" s="9">
        <v>2</v>
      </c>
      <c r="AF546" s="9">
        <v>1</v>
      </c>
      <c r="AG546" s="9">
        <v>1</v>
      </c>
      <c r="AH546" s="9">
        <v>1</v>
      </c>
      <c r="AI546" s="9">
        <v>0</v>
      </c>
      <c r="AJ546" s="12">
        <v>43420</v>
      </c>
      <c r="AK546" s="9">
        <v>2</v>
      </c>
      <c r="AL546" s="12">
        <v>43437</v>
      </c>
      <c r="AM546" s="9">
        <v>2</v>
      </c>
      <c r="AN546" s="12">
        <v>43501</v>
      </c>
      <c r="AO546" s="12">
        <v>43573</v>
      </c>
      <c r="AP546" s="12">
        <v>43573</v>
      </c>
      <c r="AQ546" s="9">
        <v>1</v>
      </c>
      <c r="AR546" s="9">
        <f t="shared" si="195"/>
        <v>1</v>
      </c>
      <c r="AS546" s="9">
        <v>1</v>
      </c>
      <c r="AT546" s="9">
        <v>2</v>
      </c>
      <c r="AU546" s="9">
        <v>2</v>
      </c>
      <c r="AV546" s="9">
        <f t="shared" si="196"/>
        <v>1</v>
      </c>
      <c r="AW546" s="12">
        <v>43660</v>
      </c>
      <c r="AX546" s="9">
        <v>5920</v>
      </c>
      <c r="AY546" s="9">
        <v>4000</v>
      </c>
      <c r="AZ546" s="9">
        <v>1400</v>
      </c>
      <c r="BA546" s="9">
        <v>4000</v>
      </c>
      <c r="BB546" s="9">
        <v>1399.9998779296875</v>
      </c>
      <c r="BC546" s="9">
        <v>213000</v>
      </c>
      <c r="BD546" s="9">
        <v>300</v>
      </c>
      <c r="BE546" s="9">
        <v>200</v>
      </c>
      <c r="BF546" s="9">
        <v>476</v>
      </c>
      <c r="BG546" s="9">
        <v>7050</v>
      </c>
      <c r="BH546" s="9">
        <v>4900</v>
      </c>
      <c r="BI546" s="9">
        <v>1400</v>
      </c>
      <c r="BJ546" s="9">
        <v>187000</v>
      </c>
      <c r="BK546" s="9">
        <v>400</v>
      </c>
      <c r="BL546" s="9">
        <v>200</v>
      </c>
      <c r="BM546" s="9">
        <v>390</v>
      </c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10" t="s">
        <v>401</v>
      </c>
      <c r="CA546" s="9"/>
      <c r="CB546" s="9"/>
      <c r="CC546" s="10">
        <f t="shared" si="197"/>
        <v>2.8571431062659656</v>
      </c>
      <c r="CD546" s="10">
        <f t="shared" si="198"/>
        <v>152.14287040866267</v>
      </c>
      <c r="CE546" s="10">
        <f t="shared" si="209"/>
        <v>608571.48163465061</v>
      </c>
      <c r="CF546" s="10">
        <f t="shared" si="207"/>
        <v>1</v>
      </c>
      <c r="CG546" s="10">
        <f t="shared" si="192"/>
        <v>1</v>
      </c>
      <c r="CH546" s="10">
        <f t="shared" si="193"/>
        <v>1</v>
      </c>
      <c r="CI546" s="9">
        <f t="shared" si="199"/>
        <v>1</v>
      </c>
      <c r="CJ546" s="10">
        <f t="shared" si="194"/>
        <v>8</v>
      </c>
      <c r="CK546" s="10" t="b">
        <f t="shared" si="200"/>
        <v>1</v>
      </c>
      <c r="CL546" s="10" t="b">
        <f t="shared" si="201"/>
        <v>0</v>
      </c>
      <c r="CM546" s="10" t="b">
        <f t="shared" si="202"/>
        <v>0</v>
      </c>
      <c r="CN546" s="9">
        <f t="shared" si="203"/>
        <v>1</v>
      </c>
      <c r="CO546" s="10">
        <f t="shared" si="208"/>
        <v>5</v>
      </c>
      <c r="CP546" s="10" t="b">
        <f t="shared" si="204"/>
        <v>1</v>
      </c>
      <c r="CQ546" s="10" t="b">
        <f t="shared" si="205"/>
        <v>0</v>
      </c>
      <c r="CR546" s="10" cm="1">
        <f t="array" ref="CR546">_xlfn.IFS(AND($CI546=0, CK546=FALSE), NA(), AND($CI546=1, CK546=FALSE), 0, CK546=TRUE, 1)</f>
        <v>1</v>
      </c>
      <c r="CS546" s="10" cm="1">
        <f t="array" ref="CS546">_xlfn.IFS(AND($CI546=0, CL546=FALSE), NA(), AND($CI546=1, CL546=FALSE), 0, CL546=TRUE, 1)</f>
        <v>0</v>
      </c>
      <c r="CT546" s="10" cm="1">
        <f t="array" ref="CT546">_xlfn.IFS(AND($CI546=0, CM546=FALSE), NA(), AND($CI546=1, CM546=FALSE), 0, CM546=TRUE, 1)</f>
        <v>0</v>
      </c>
      <c r="CU546" s="10" cm="1">
        <f t="array" ref="CU546">_xlfn.IFS(AND($CN546=0, CP546=FALSE), NA(), AND($CN546=1, CP546=FALSE), 0, CP546=TRUE, 1)</f>
        <v>1</v>
      </c>
      <c r="CV546" s="10" cm="1">
        <f t="array" ref="CV546">_xlfn.IFS(AND($CN546=0, CQ546=FALSE), NA(), AND($CN546=1, CQ546=FALSE), 0, CQ546=TRUE, 1)</f>
        <v>0</v>
      </c>
    </row>
    <row r="547" spans="1:100" ht="15.75" x14ac:dyDescent="0.25">
      <c r="A547" s="8">
        <v>546</v>
      </c>
      <c r="B547" s="9">
        <v>190</v>
      </c>
      <c r="C547" s="10" t="s">
        <v>17</v>
      </c>
      <c r="D547" s="11" t="s">
        <v>197</v>
      </c>
      <c r="E547" s="12">
        <v>22078</v>
      </c>
      <c r="F547" s="13">
        <v>1</v>
      </c>
      <c r="G547" s="9">
        <v>57.93292236328125</v>
      </c>
      <c r="H547" s="12">
        <v>43238</v>
      </c>
      <c r="I547" s="9">
        <v>0</v>
      </c>
      <c r="J547" s="12"/>
      <c r="K547" s="9">
        <v>1</v>
      </c>
      <c r="L547" s="9">
        <v>1</v>
      </c>
      <c r="M547" s="10" t="s">
        <v>401</v>
      </c>
      <c r="N547" s="9">
        <v>2</v>
      </c>
      <c r="O547" s="10" t="s">
        <v>409</v>
      </c>
      <c r="P547" s="9">
        <v>2</v>
      </c>
      <c r="Q547" s="10" t="s">
        <v>409</v>
      </c>
      <c r="R547" s="12">
        <v>43238</v>
      </c>
      <c r="S547" s="10" t="s">
        <v>146</v>
      </c>
      <c r="T547" s="9"/>
      <c r="U547" s="10" t="s">
        <v>401</v>
      </c>
      <c r="V547" s="10" t="s">
        <v>401</v>
      </c>
      <c r="W547" s="9"/>
      <c r="X547" s="9"/>
      <c r="Y547" s="9">
        <v>2</v>
      </c>
      <c r="Z547" s="14">
        <v>2</v>
      </c>
      <c r="AA547" s="15">
        <v>8.6</v>
      </c>
      <c r="AB547" s="16">
        <v>91</v>
      </c>
      <c r="AC547" s="16">
        <v>19</v>
      </c>
      <c r="AD547" s="9">
        <v>3</v>
      </c>
      <c r="AE547" s="9">
        <v>3</v>
      </c>
      <c r="AF547" s="9">
        <v>2</v>
      </c>
      <c r="AG547" s="9">
        <v>1</v>
      </c>
      <c r="AH547" s="9">
        <v>0</v>
      </c>
      <c r="AI547" s="9">
        <v>0</v>
      </c>
      <c r="AJ547" s="12">
        <v>43305</v>
      </c>
      <c r="AK547" s="9">
        <v>2</v>
      </c>
      <c r="AL547" s="12">
        <v>43333</v>
      </c>
      <c r="AM547" s="9">
        <v>3</v>
      </c>
      <c r="AN547" s="12">
        <v>43363</v>
      </c>
      <c r="AO547" s="12">
        <v>43397</v>
      </c>
      <c r="AP547" s="12">
        <v>43397</v>
      </c>
      <c r="AQ547" s="9">
        <v>1</v>
      </c>
      <c r="AR547" s="9">
        <f t="shared" si="195"/>
        <v>1</v>
      </c>
      <c r="AS547" s="9">
        <v>1</v>
      </c>
      <c r="AT547" s="9">
        <v>2</v>
      </c>
      <c r="AU547" s="9">
        <v>2</v>
      </c>
      <c r="AV547" s="9">
        <f t="shared" si="196"/>
        <v>1</v>
      </c>
      <c r="AW547" s="12">
        <v>43397</v>
      </c>
      <c r="AX547" s="9">
        <v>11200</v>
      </c>
      <c r="AY547" s="9">
        <v>8700</v>
      </c>
      <c r="AZ547" s="9">
        <v>1200</v>
      </c>
      <c r="BA547" s="9">
        <v>8700</v>
      </c>
      <c r="BB547" s="9">
        <v>1200.0001220703125</v>
      </c>
      <c r="BC547" s="9">
        <v>566000</v>
      </c>
      <c r="BD547" s="9">
        <v>1200</v>
      </c>
      <c r="BE547" s="9">
        <v>100</v>
      </c>
      <c r="BF547" s="9"/>
      <c r="BG547" s="9">
        <v>9750</v>
      </c>
      <c r="BH547" s="9">
        <v>7900</v>
      </c>
      <c r="BI547" s="9">
        <v>900</v>
      </c>
      <c r="BJ547" s="9">
        <v>435000</v>
      </c>
      <c r="BK547" s="9">
        <v>800</v>
      </c>
      <c r="BL547" s="9">
        <v>100</v>
      </c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10" t="s">
        <v>401</v>
      </c>
      <c r="CA547" s="9"/>
      <c r="CB547" s="9"/>
      <c r="CC547" s="10">
        <f t="shared" si="197"/>
        <v>7.2499992624919374</v>
      </c>
      <c r="CD547" s="10">
        <f t="shared" si="198"/>
        <v>471.66661868625704</v>
      </c>
      <c r="CE547" s="10">
        <f t="shared" si="209"/>
        <v>4103499.5825704364</v>
      </c>
      <c r="CF547" s="10">
        <f t="shared" si="207"/>
        <v>1</v>
      </c>
      <c r="CG547" s="10">
        <f t="shared" si="192"/>
        <v>0</v>
      </c>
      <c r="CH547" s="10">
        <f t="shared" si="193"/>
        <v>1</v>
      </c>
      <c r="CI547" s="9">
        <f t="shared" si="199"/>
        <v>1</v>
      </c>
      <c r="CJ547" s="10">
        <f t="shared" si="194"/>
        <v>3</v>
      </c>
      <c r="CK547" s="10" t="b">
        <f t="shared" si="200"/>
        <v>0</v>
      </c>
      <c r="CL547" s="10" t="b">
        <f t="shared" si="201"/>
        <v>0</v>
      </c>
      <c r="CM547" s="10" t="b">
        <f t="shared" si="202"/>
        <v>0</v>
      </c>
      <c r="CN547" s="9">
        <f t="shared" si="203"/>
        <v>1</v>
      </c>
      <c r="CO547" s="10">
        <f t="shared" si="208"/>
        <v>3</v>
      </c>
      <c r="CP547" s="10" t="b">
        <f t="shared" si="204"/>
        <v>1</v>
      </c>
      <c r="CQ547" s="10" t="b">
        <f t="shared" si="205"/>
        <v>0</v>
      </c>
      <c r="CR547" s="10" cm="1">
        <f t="array" ref="CR547">_xlfn.IFS(AND($CI547=0, CK547=FALSE), NA(), AND($CI547=1, CK547=FALSE), 0, CK547=TRUE, 1)</f>
        <v>0</v>
      </c>
      <c r="CS547" s="10" cm="1">
        <f t="array" ref="CS547">_xlfn.IFS(AND($CI547=0, CL547=FALSE), NA(), AND($CI547=1, CL547=FALSE), 0, CL547=TRUE, 1)</f>
        <v>0</v>
      </c>
      <c r="CT547" s="10" cm="1">
        <f t="array" ref="CT547">_xlfn.IFS(AND($CI547=0, CM547=FALSE), NA(), AND($CI547=1, CM547=FALSE), 0, CM547=TRUE, 1)</f>
        <v>0</v>
      </c>
      <c r="CU547" s="10" cm="1">
        <f t="array" ref="CU547">_xlfn.IFS(AND($CN547=0, CP547=FALSE), NA(), AND($CN547=1, CP547=FALSE), 0, CP547=TRUE, 1)</f>
        <v>1</v>
      </c>
      <c r="CV547" s="10" cm="1">
        <f t="array" ref="CV547">_xlfn.IFS(AND($CN547=0, CQ547=FALSE), NA(), AND($CN547=1, CQ547=FALSE), 0, CQ547=TRUE, 1)</f>
        <v>0</v>
      </c>
    </row>
    <row r="548" spans="1:100" ht="15.75" x14ac:dyDescent="0.25">
      <c r="A548" s="8">
        <v>547</v>
      </c>
      <c r="B548" s="9">
        <v>203</v>
      </c>
      <c r="C548" s="10" t="s">
        <v>18</v>
      </c>
      <c r="D548" s="11" t="s">
        <v>208</v>
      </c>
      <c r="E548" s="12">
        <v>18537</v>
      </c>
      <c r="F548" s="13">
        <v>1</v>
      </c>
      <c r="G548" s="9">
        <v>67.638603210449219</v>
      </c>
      <c r="H548" s="12">
        <v>43242</v>
      </c>
      <c r="I548" s="9">
        <v>0</v>
      </c>
      <c r="J548" s="12"/>
      <c r="K548" s="9">
        <v>1</v>
      </c>
      <c r="L548" s="9">
        <v>1</v>
      </c>
      <c r="M548" s="10" t="s">
        <v>401</v>
      </c>
      <c r="N548" s="9">
        <v>2</v>
      </c>
      <c r="O548" s="10" t="s">
        <v>145</v>
      </c>
      <c r="P548" s="9">
        <v>2</v>
      </c>
      <c r="Q548" s="10" t="s">
        <v>145</v>
      </c>
      <c r="R548" s="12">
        <v>43242</v>
      </c>
      <c r="S548" s="10" t="s">
        <v>145</v>
      </c>
      <c r="T548" s="9"/>
      <c r="U548" s="10" t="s">
        <v>401</v>
      </c>
      <c r="V548" s="10" t="s">
        <v>401</v>
      </c>
      <c r="W548" s="9"/>
      <c r="X548" s="9"/>
      <c r="Y548" s="9">
        <v>2</v>
      </c>
      <c r="Z548" s="14">
        <v>1</v>
      </c>
      <c r="AA548" s="17">
        <v>11.1</v>
      </c>
      <c r="AB548" s="18">
        <v>11.8</v>
      </c>
      <c r="AC548" s="18">
        <v>14</v>
      </c>
      <c r="AD548" s="9">
        <v>3</v>
      </c>
      <c r="AE548" s="9">
        <v>3</v>
      </c>
      <c r="AF548" s="9">
        <v>1</v>
      </c>
      <c r="AG548" s="9">
        <v>0</v>
      </c>
      <c r="AH548" s="9">
        <v>1</v>
      </c>
      <c r="AI548" s="9">
        <v>0</v>
      </c>
      <c r="AJ548" s="12">
        <v>43447</v>
      </c>
      <c r="AK548" s="9">
        <v>2</v>
      </c>
      <c r="AL548" s="12">
        <v>43787</v>
      </c>
      <c r="AM548" s="9">
        <v>2</v>
      </c>
      <c r="AN548" s="12">
        <v>43529</v>
      </c>
      <c r="AO548" s="12">
        <v>43945</v>
      </c>
      <c r="AP548" s="12">
        <v>43945</v>
      </c>
      <c r="AQ548" s="9">
        <v>1</v>
      </c>
      <c r="AR548" s="9">
        <f t="shared" si="195"/>
        <v>1</v>
      </c>
      <c r="AS548" s="9">
        <v>1</v>
      </c>
      <c r="AT548" s="9">
        <v>2</v>
      </c>
      <c r="AU548" s="9">
        <v>2</v>
      </c>
      <c r="AV548" s="9">
        <f t="shared" si="196"/>
        <v>1</v>
      </c>
      <c r="AW548" s="12">
        <v>44818</v>
      </c>
      <c r="AX548" s="9">
        <v>7120</v>
      </c>
      <c r="AY548" s="9">
        <v>5240</v>
      </c>
      <c r="AZ548" s="9">
        <v>1160</v>
      </c>
      <c r="BA548" s="9">
        <v>5240</v>
      </c>
      <c r="BB548" s="9">
        <v>1160</v>
      </c>
      <c r="BC548" s="9">
        <v>294000</v>
      </c>
      <c r="BD548" s="9">
        <v>560</v>
      </c>
      <c r="BE548" s="9">
        <v>70</v>
      </c>
      <c r="BF548" s="9">
        <v>213</v>
      </c>
      <c r="BG548" s="9">
        <v>7190</v>
      </c>
      <c r="BH548" s="9">
        <v>5310</v>
      </c>
      <c r="BI548" s="9">
        <v>1270</v>
      </c>
      <c r="BJ548" s="9">
        <v>246000</v>
      </c>
      <c r="BK548" s="9">
        <v>510</v>
      </c>
      <c r="BL548" s="9">
        <v>40</v>
      </c>
      <c r="BM548" s="9"/>
      <c r="BN548" s="9">
        <v>5810</v>
      </c>
      <c r="BO548" s="9">
        <v>3970</v>
      </c>
      <c r="BP548" s="9">
        <v>1160</v>
      </c>
      <c r="BQ548" s="9">
        <v>239</v>
      </c>
      <c r="BR548" s="9">
        <v>540</v>
      </c>
      <c r="BS548" s="9">
        <v>80</v>
      </c>
      <c r="BT548" s="9"/>
      <c r="BU548" s="9">
        <v>5460</v>
      </c>
      <c r="BV548" s="9">
        <v>3480</v>
      </c>
      <c r="BW548" s="9">
        <v>1260</v>
      </c>
      <c r="BX548" s="9">
        <v>310000</v>
      </c>
      <c r="BY548" s="9">
        <v>550</v>
      </c>
      <c r="BZ548" s="10" t="s">
        <v>558</v>
      </c>
      <c r="CA548" s="9">
        <v>80</v>
      </c>
      <c r="CB548" s="9">
        <v>313</v>
      </c>
      <c r="CC548" s="10">
        <f t="shared" si="197"/>
        <v>4.5172413793103452</v>
      </c>
      <c r="CD548" s="10">
        <f t="shared" si="198"/>
        <v>253.44827586206895</v>
      </c>
      <c r="CE548" s="10">
        <f t="shared" si="209"/>
        <v>1328068.9655172415</v>
      </c>
      <c r="CF548" s="10">
        <f t="shared" si="207"/>
        <v>1</v>
      </c>
      <c r="CG548" s="10">
        <f t="shared" si="192"/>
        <v>1</v>
      </c>
      <c r="CH548" s="10">
        <f t="shared" si="193"/>
        <v>11</v>
      </c>
      <c r="CI548" s="9">
        <f t="shared" si="199"/>
        <v>1</v>
      </c>
      <c r="CJ548" s="10">
        <f t="shared" si="194"/>
        <v>45</v>
      </c>
      <c r="CK548" s="10" t="b">
        <f t="shared" si="200"/>
        <v>1</v>
      </c>
      <c r="CL548" s="10" t="b">
        <f t="shared" si="201"/>
        <v>1</v>
      </c>
      <c r="CM548" s="10" t="b">
        <f t="shared" si="202"/>
        <v>1</v>
      </c>
      <c r="CN548" s="9">
        <f t="shared" si="203"/>
        <v>1</v>
      </c>
      <c r="CO548" s="10">
        <f t="shared" si="208"/>
        <v>16</v>
      </c>
      <c r="CP548" s="10" t="b">
        <f t="shared" si="204"/>
        <v>1</v>
      </c>
      <c r="CQ548" s="10" t="b">
        <f t="shared" si="205"/>
        <v>1</v>
      </c>
      <c r="CR548" s="10" cm="1">
        <f t="array" ref="CR548">_xlfn.IFS(AND($CI548=0, CK548=FALSE), NA(), AND($CI548=1, CK548=FALSE), 0, CK548=TRUE, 1)</f>
        <v>1</v>
      </c>
      <c r="CS548" s="10" cm="1">
        <f t="array" ref="CS548">_xlfn.IFS(AND($CI548=0, CL548=FALSE), NA(), AND($CI548=1, CL548=FALSE), 0, CL548=TRUE, 1)</f>
        <v>1</v>
      </c>
      <c r="CT548" s="10" cm="1">
        <f t="array" ref="CT548">_xlfn.IFS(AND($CI548=0, CM548=FALSE), NA(), AND($CI548=1, CM548=FALSE), 0, CM548=TRUE, 1)</f>
        <v>1</v>
      </c>
      <c r="CU548" s="10" cm="1">
        <f t="array" ref="CU548">_xlfn.IFS(AND($CN548=0, CP548=FALSE), NA(), AND($CN548=1, CP548=FALSE), 0, CP548=TRUE, 1)</f>
        <v>1</v>
      </c>
      <c r="CV548" s="10" cm="1">
        <f t="array" ref="CV548">_xlfn.IFS(AND($CN548=0, CQ548=FALSE), NA(), AND($CN548=1, CQ548=FALSE), 0, CQ548=TRUE, 1)</f>
        <v>1</v>
      </c>
    </row>
    <row r="549" spans="1:100" ht="15.75" x14ac:dyDescent="0.25">
      <c r="A549" s="8">
        <v>548</v>
      </c>
      <c r="B549" s="9">
        <v>209</v>
      </c>
      <c r="C549" s="10" t="s">
        <v>18</v>
      </c>
      <c r="D549" s="11" t="s">
        <v>184</v>
      </c>
      <c r="E549" s="12">
        <v>25976</v>
      </c>
      <c r="F549" s="13">
        <v>1</v>
      </c>
      <c r="G549" s="9">
        <v>47.271732330322266</v>
      </c>
      <c r="H549" s="12">
        <v>43242</v>
      </c>
      <c r="I549" s="9">
        <v>1</v>
      </c>
      <c r="J549" s="12">
        <v>43258</v>
      </c>
      <c r="K549" s="9">
        <v>1</v>
      </c>
      <c r="L549" s="9">
        <v>2</v>
      </c>
      <c r="M549" s="10" t="s">
        <v>401</v>
      </c>
      <c r="N549" s="9">
        <v>2</v>
      </c>
      <c r="O549" s="10" t="s">
        <v>145</v>
      </c>
      <c r="P549" s="9">
        <v>2</v>
      </c>
      <c r="Q549" s="10" t="s">
        <v>145</v>
      </c>
      <c r="R549" s="12">
        <v>43973</v>
      </c>
      <c r="S549" s="10" t="s">
        <v>145</v>
      </c>
      <c r="T549" s="9"/>
      <c r="U549" s="10" t="s">
        <v>401</v>
      </c>
      <c r="V549" s="10" t="s">
        <v>401</v>
      </c>
      <c r="W549" s="9"/>
      <c r="X549" s="9"/>
      <c r="Y549" s="9">
        <v>2</v>
      </c>
      <c r="Z549" s="14">
        <v>1</v>
      </c>
      <c r="AA549" s="17">
        <v>14</v>
      </c>
      <c r="AB549" s="18">
        <v>13.1</v>
      </c>
      <c r="AC549" s="18">
        <v>13</v>
      </c>
      <c r="AD549" s="9">
        <v>2</v>
      </c>
      <c r="AE549" s="9">
        <v>2</v>
      </c>
      <c r="AF549" s="9">
        <v>1</v>
      </c>
      <c r="AG549" s="9">
        <v>1</v>
      </c>
      <c r="AH549" s="9">
        <v>0</v>
      </c>
      <c r="AI549" s="9">
        <v>0</v>
      </c>
      <c r="AJ549" s="12">
        <v>43685</v>
      </c>
      <c r="AK549" s="9">
        <v>2</v>
      </c>
      <c r="AL549" s="12">
        <v>43854</v>
      </c>
      <c r="AM549" s="9">
        <v>4</v>
      </c>
      <c r="AN549" s="12">
        <v>43853</v>
      </c>
      <c r="AO549" s="12">
        <v>43853</v>
      </c>
      <c r="AP549" s="12">
        <v>43853</v>
      </c>
      <c r="AQ549" s="9">
        <v>1</v>
      </c>
      <c r="AR549" s="9">
        <f t="shared" si="195"/>
        <v>1</v>
      </c>
      <c r="AS549" s="9">
        <v>1</v>
      </c>
      <c r="AT549" s="9">
        <v>2</v>
      </c>
      <c r="AU549" s="9">
        <v>2</v>
      </c>
      <c r="AV549" s="9">
        <f t="shared" si="196"/>
        <v>1</v>
      </c>
      <c r="AW549" s="12">
        <v>44363</v>
      </c>
      <c r="AX549" s="9">
        <v>6550</v>
      </c>
      <c r="AY549" s="9">
        <v>4110</v>
      </c>
      <c r="AZ549" s="9">
        <v>1570</v>
      </c>
      <c r="BA549" s="9">
        <v>4110</v>
      </c>
      <c r="BB549" s="9">
        <v>1570</v>
      </c>
      <c r="BC549" s="9">
        <v>236000</v>
      </c>
      <c r="BD549" s="9">
        <v>700</v>
      </c>
      <c r="BE549" s="9">
        <v>90</v>
      </c>
      <c r="BF549" s="9">
        <v>167</v>
      </c>
      <c r="BG549" s="9">
        <v>6130</v>
      </c>
      <c r="BH549" s="9">
        <v>4150</v>
      </c>
      <c r="BI549" s="9">
        <v>950</v>
      </c>
      <c r="BJ549" s="9">
        <v>221000</v>
      </c>
      <c r="BK549" s="9">
        <v>690</v>
      </c>
      <c r="BL549" s="9">
        <v>260</v>
      </c>
      <c r="BM549" s="9">
        <v>163</v>
      </c>
      <c r="BN549" s="9">
        <v>5990</v>
      </c>
      <c r="BO549" s="9">
        <v>4180</v>
      </c>
      <c r="BP549" s="9">
        <v>800</v>
      </c>
      <c r="BQ549" s="9">
        <v>224000</v>
      </c>
      <c r="BR549" s="9">
        <v>670</v>
      </c>
      <c r="BS549" s="9">
        <v>250</v>
      </c>
      <c r="BT549" s="9">
        <v>159</v>
      </c>
      <c r="BU549" s="9">
        <v>5970</v>
      </c>
      <c r="BV549" s="9">
        <v>4220</v>
      </c>
      <c r="BW549" s="9">
        <v>930</v>
      </c>
      <c r="BX549" s="9">
        <v>215000</v>
      </c>
      <c r="BY549" s="9">
        <v>530</v>
      </c>
      <c r="BZ549" s="10" t="s">
        <v>534</v>
      </c>
      <c r="CA549" s="9">
        <v>220</v>
      </c>
      <c r="CB549" s="9">
        <v>169</v>
      </c>
      <c r="CC549" s="10">
        <f t="shared" si="197"/>
        <v>2.6178343949044587</v>
      </c>
      <c r="CD549" s="10">
        <f t="shared" si="198"/>
        <v>150.31847133757961</v>
      </c>
      <c r="CE549" s="10">
        <f t="shared" si="209"/>
        <v>617808.91719745228</v>
      </c>
      <c r="CF549" s="10">
        <f t="shared" si="207"/>
        <v>0</v>
      </c>
      <c r="CG549" s="10">
        <f t="shared" si="192"/>
        <v>0</v>
      </c>
      <c r="CH549" s="10">
        <f t="shared" si="193"/>
        <v>5</v>
      </c>
      <c r="CI549" s="9">
        <f t="shared" si="199"/>
        <v>1</v>
      </c>
      <c r="CJ549" s="10">
        <f t="shared" si="194"/>
        <v>22</v>
      </c>
      <c r="CK549" s="10" t="b">
        <f t="shared" si="200"/>
        <v>1</v>
      </c>
      <c r="CL549" s="10" t="b">
        <f t="shared" si="201"/>
        <v>1</v>
      </c>
      <c r="CM549" s="10" t="b">
        <f t="shared" si="202"/>
        <v>0</v>
      </c>
      <c r="CN549" s="9">
        <f t="shared" si="203"/>
        <v>1</v>
      </c>
      <c r="CO549" s="10">
        <f t="shared" si="208"/>
        <v>5</v>
      </c>
      <c r="CP549" s="10" t="b">
        <f t="shared" si="204"/>
        <v>1</v>
      </c>
      <c r="CQ549" s="10" t="b">
        <f t="shared" si="205"/>
        <v>0</v>
      </c>
      <c r="CR549" s="10" cm="1">
        <f t="array" ref="CR549">_xlfn.IFS(AND($CI549=0, CK549=FALSE), NA(), AND($CI549=1, CK549=FALSE), 0, CK549=TRUE, 1)</f>
        <v>1</v>
      </c>
      <c r="CS549" s="10" cm="1">
        <f t="array" ref="CS549">_xlfn.IFS(AND($CI549=0, CL549=FALSE), NA(), AND($CI549=1, CL549=FALSE), 0, CL549=TRUE, 1)</f>
        <v>1</v>
      </c>
      <c r="CT549" s="10" cm="1">
        <f t="array" ref="CT549">_xlfn.IFS(AND($CI549=0, CM549=FALSE), NA(), AND($CI549=1, CM549=FALSE), 0, CM549=TRUE, 1)</f>
        <v>0</v>
      </c>
      <c r="CU549" s="10" cm="1">
        <f t="array" ref="CU549">_xlfn.IFS(AND($CN549=0, CP549=FALSE), NA(), AND($CN549=1, CP549=FALSE), 0, CP549=TRUE, 1)</f>
        <v>1</v>
      </c>
      <c r="CV549" s="10" cm="1">
        <f t="array" ref="CV549">_xlfn.IFS(AND($CN549=0, CQ549=FALSE), NA(), AND($CN549=1, CQ549=FALSE), 0, CQ549=TRUE, 1)</f>
        <v>0</v>
      </c>
    </row>
    <row r="550" spans="1:100" ht="15.75" x14ac:dyDescent="0.25">
      <c r="A550" s="8">
        <v>549</v>
      </c>
      <c r="B550" s="9">
        <v>356</v>
      </c>
      <c r="C550" s="10" t="s">
        <v>28</v>
      </c>
      <c r="D550" s="11" t="s">
        <v>287</v>
      </c>
      <c r="E550" s="12">
        <v>18831</v>
      </c>
      <c r="F550" s="13">
        <v>2</v>
      </c>
      <c r="G550" s="9">
        <v>66.839149475097656</v>
      </c>
      <c r="H550" s="12">
        <v>43244</v>
      </c>
      <c r="I550" s="9">
        <v>0</v>
      </c>
      <c r="J550" s="12"/>
      <c r="K550" s="9">
        <v>1</v>
      </c>
      <c r="L550" s="9">
        <v>1</v>
      </c>
      <c r="M550" s="10" t="s">
        <v>401</v>
      </c>
      <c r="N550" s="9">
        <v>3</v>
      </c>
      <c r="O550" s="10" t="s">
        <v>424</v>
      </c>
      <c r="P550" s="9">
        <v>3</v>
      </c>
      <c r="Q550" s="10" t="s">
        <v>417</v>
      </c>
      <c r="R550" s="12">
        <v>43229</v>
      </c>
      <c r="S550" s="10" t="s">
        <v>145</v>
      </c>
      <c r="T550" s="9"/>
      <c r="U550" s="10" t="s">
        <v>401</v>
      </c>
      <c r="V550" s="10" t="s">
        <v>401</v>
      </c>
      <c r="W550" s="9"/>
      <c r="X550" s="9"/>
      <c r="Y550" s="9">
        <v>2</v>
      </c>
      <c r="Z550" s="14">
        <v>1</v>
      </c>
      <c r="AA550" s="15">
        <v>8.9</v>
      </c>
      <c r="AB550" s="16">
        <v>87</v>
      </c>
      <c r="AC550" s="16">
        <v>17</v>
      </c>
      <c r="AD550" s="9">
        <v>3</v>
      </c>
      <c r="AE550" s="9">
        <v>3</v>
      </c>
      <c r="AF550" s="9">
        <v>1</v>
      </c>
      <c r="AG550" s="9">
        <v>1</v>
      </c>
      <c r="AH550" s="9">
        <v>1</v>
      </c>
      <c r="AI550" s="9">
        <v>1</v>
      </c>
      <c r="AJ550" s="12">
        <v>43425</v>
      </c>
      <c r="AK550" s="9">
        <v>2</v>
      </c>
      <c r="AL550" s="12">
        <v>43509</v>
      </c>
      <c r="AM550" s="9">
        <v>4</v>
      </c>
      <c r="AN550" s="12">
        <v>43510</v>
      </c>
      <c r="AO550" s="12">
        <v>43510</v>
      </c>
      <c r="AP550" s="12">
        <v>43510</v>
      </c>
      <c r="AQ550" s="9">
        <v>1</v>
      </c>
      <c r="AR550" s="9">
        <f t="shared" si="195"/>
        <v>1</v>
      </c>
      <c r="AS550" s="9">
        <v>1</v>
      </c>
      <c r="AT550" s="9">
        <v>2</v>
      </c>
      <c r="AU550" s="9">
        <v>2</v>
      </c>
      <c r="AV550" s="9">
        <f t="shared" si="196"/>
        <v>1</v>
      </c>
      <c r="AW550" s="12">
        <v>43688</v>
      </c>
      <c r="AX550" s="9">
        <v>10010</v>
      </c>
      <c r="AY550" s="9">
        <v>8370</v>
      </c>
      <c r="AZ550" s="9">
        <v>810</v>
      </c>
      <c r="BA550" s="9">
        <v>8370</v>
      </c>
      <c r="BB550" s="9">
        <v>810.00006103515625</v>
      </c>
      <c r="BC550" s="9">
        <v>560000</v>
      </c>
      <c r="BD550" s="9">
        <v>590</v>
      </c>
      <c r="BE550" s="9">
        <v>1000</v>
      </c>
      <c r="BF550" s="9">
        <v>639</v>
      </c>
      <c r="BG550" s="9">
        <v>10510</v>
      </c>
      <c r="BH550" s="9">
        <v>8540</v>
      </c>
      <c r="BI550" s="9">
        <v>1200</v>
      </c>
      <c r="BJ550" s="9">
        <v>543000</v>
      </c>
      <c r="BK550" s="9">
        <v>480</v>
      </c>
      <c r="BL550" s="9">
        <v>130</v>
      </c>
      <c r="BM550" s="9">
        <v>689</v>
      </c>
      <c r="BN550" s="9">
        <v>10620</v>
      </c>
      <c r="BO550" s="9">
        <v>9010</v>
      </c>
      <c r="BP550" s="9">
        <v>860</v>
      </c>
      <c r="BQ550" s="9">
        <v>433000</v>
      </c>
      <c r="BR550" s="9">
        <v>490</v>
      </c>
      <c r="BS550" s="9">
        <v>100</v>
      </c>
      <c r="BT550" s="9">
        <v>808</v>
      </c>
      <c r="BU550" s="9">
        <v>8340</v>
      </c>
      <c r="BV550" s="9">
        <v>6760</v>
      </c>
      <c r="BW550" s="9">
        <v>820</v>
      </c>
      <c r="BX550" s="9">
        <v>420000</v>
      </c>
      <c r="BY550" s="9">
        <v>470</v>
      </c>
      <c r="BZ550" s="10" t="s">
        <v>532</v>
      </c>
      <c r="CA550" s="9">
        <v>90</v>
      </c>
      <c r="CB550" s="9">
        <v>1093</v>
      </c>
      <c r="CC550" s="10">
        <f t="shared" si="197"/>
        <v>10.333332554695597</v>
      </c>
      <c r="CD550" s="10">
        <f t="shared" si="198"/>
        <v>691.35797259612116</v>
      </c>
      <c r="CE550" s="10">
        <f t="shared" si="209"/>
        <v>5786666.2306295345</v>
      </c>
      <c r="CF550" s="10">
        <f t="shared" si="207"/>
        <v>0</v>
      </c>
      <c r="CG550" s="10">
        <f t="shared" si="192"/>
        <v>0</v>
      </c>
      <c r="CH550" s="10">
        <f t="shared" si="193"/>
        <v>3</v>
      </c>
      <c r="CI550" s="9">
        <f t="shared" si="199"/>
        <v>1</v>
      </c>
      <c r="CJ550" s="10">
        <f t="shared" si="194"/>
        <v>9</v>
      </c>
      <c r="CK550" s="10" t="b">
        <f t="shared" si="200"/>
        <v>1</v>
      </c>
      <c r="CL550" s="10" t="b">
        <f t="shared" si="201"/>
        <v>0</v>
      </c>
      <c r="CM550" s="10" t="b">
        <f t="shared" si="202"/>
        <v>0</v>
      </c>
      <c r="CN550" s="9">
        <f t="shared" si="203"/>
        <v>1</v>
      </c>
      <c r="CO550" s="10">
        <f t="shared" si="208"/>
        <v>3</v>
      </c>
      <c r="CP550" s="10" t="b">
        <f t="shared" si="204"/>
        <v>1</v>
      </c>
      <c r="CQ550" s="10" t="b">
        <f t="shared" si="205"/>
        <v>0</v>
      </c>
      <c r="CR550" s="10" cm="1">
        <f t="array" ref="CR550">_xlfn.IFS(AND($CI550=0, CK550=FALSE), NA(), AND($CI550=1, CK550=FALSE), 0, CK550=TRUE, 1)</f>
        <v>1</v>
      </c>
      <c r="CS550" s="10" cm="1">
        <f t="array" ref="CS550">_xlfn.IFS(AND($CI550=0, CL550=FALSE), NA(), AND($CI550=1, CL550=FALSE), 0, CL550=TRUE, 1)</f>
        <v>0</v>
      </c>
      <c r="CT550" s="10" cm="1">
        <f t="array" ref="CT550">_xlfn.IFS(AND($CI550=0, CM550=FALSE), NA(), AND($CI550=1, CM550=FALSE), 0, CM550=TRUE, 1)</f>
        <v>0</v>
      </c>
      <c r="CU550" s="10" cm="1">
        <f t="array" ref="CU550">_xlfn.IFS(AND($CN550=0, CP550=FALSE), NA(), AND($CN550=1, CP550=FALSE), 0, CP550=TRUE, 1)</f>
        <v>1</v>
      </c>
      <c r="CV550" s="10" cm="1">
        <f t="array" ref="CV550">_xlfn.IFS(AND($CN550=0, CQ550=FALSE), NA(), AND($CN550=1, CQ550=FALSE), 0, CQ550=TRUE, 1)</f>
        <v>0</v>
      </c>
    </row>
    <row r="551" spans="1:100" ht="15.75" x14ac:dyDescent="0.25">
      <c r="A551" s="8">
        <v>550</v>
      </c>
      <c r="B551" s="9">
        <v>515</v>
      </c>
      <c r="C551" s="10" t="s">
        <v>33</v>
      </c>
      <c r="D551" s="11" t="s">
        <v>136</v>
      </c>
      <c r="E551" s="12">
        <v>21685</v>
      </c>
      <c r="F551" s="13">
        <v>1</v>
      </c>
      <c r="G551" s="9">
        <v>59.039012908935547</v>
      </c>
      <c r="H551" s="12">
        <v>43249</v>
      </c>
      <c r="I551" s="9">
        <v>0</v>
      </c>
      <c r="J551" s="12"/>
      <c r="K551" s="9">
        <v>1</v>
      </c>
      <c r="L551" s="9">
        <v>1</v>
      </c>
      <c r="M551" s="10" t="s">
        <v>401</v>
      </c>
      <c r="N551" s="9">
        <v>2</v>
      </c>
      <c r="O551" s="10" t="s">
        <v>409</v>
      </c>
      <c r="P551" s="9">
        <v>3</v>
      </c>
      <c r="Q551" s="10" t="s">
        <v>417</v>
      </c>
      <c r="R551" s="12">
        <v>43249</v>
      </c>
      <c r="S551" s="10" t="s">
        <v>145</v>
      </c>
      <c r="T551" s="9"/>
      <c r="U551" s="10" t="s">
        <v>401</v>
      </c>
      <c r="V551" s="10" t="s">
        <v>401</v>
      </c>
      <c r="W551" s="9"/>
      <c r="X551" s="9"/>
      <c r="Y551" s="9">
        <v>2</v>
      </c>
      <c r="Z551" s="14">
        <v>1</v>
      </c>
      <c r="AA551" s="17">
        <v>9</v>
      </c>
      <c r="AB551" s="18">
        <v>87</v>
      </c>
      <c r="AC551" s="18">
        <v>17</v>
      </c>
      <c r="AD551" s="9">
        <v>3</v>
      </c>
      <c r="AE551" s="9">
        <v>3</v>
      </c>
      <c r="AF551" s="9">
        <v>1</v>
      </c>
      <c r="AG551" s="9">
        <v>1</v>
      </c>
      <c r="AH551" s="9">
        <v>1</v>
      </c>
      <c r="AI551" s="9">
        <v>0</v>
      </c>
      <c r="AJ551" s="12">
        <v>43402</v>
      </c>
      <c r="AK551" s="9">
        <v>2</v>
      </c>
      <c r="AL551" s="12">
        <v>43490</v>
      </c>
      <c r="AM551" s="9">
        <v>4</v>
      </c>
      <c r="AN551" s="12">
        <v>43482</v>
      </c>
      <c r="AO551" s="12">
        <v>43482</v>
      </c>
      <c r="AP551" s="12">
        <v>43482</v>
      </c>
      <c r="AQ551" s="9">
        <v>1</v>
      </c>
      <c r="AR551" s="9">
        <f t="shared" si="195"/>
        <v>1</v>
      </c>
      <c r="AS551" s="9">
        <v>1</v>
      </c>
      <c r="AT551" s="9">
        <v>2</v>
      </c>
      <c r="AU551" s="9">
        <v>2</v>
      </c>
      <c r="AV551" s="9">
        <f t="shared" si="196"/>
        <v>1</v>
      </c>
      <c r="AW551" s="12">
        <v>43519</v>
      </c>
      <c r="AX551" s="9">
        <v>2340</v>
      </c>
      <c r="AY551" s="9">
        <v>1920</v>
      </c>
      <c r="AZ551" s="9">
        <v>230</v>
      </c>
      <c r="BA551" s="9">
        <v>1920</v>
      </c>
      <c r="BB551" s="9">
        <v>230.00001525878906</v>
      </c>
      <c r="BC551" s="9">
        <v>145000</v>
      </c>
      <c r="BD551" s="9">
        <v>180</v>
      </c>
      <c r="BE551" s="9">
        <v>0</v>
      </c>
      <c r="BF551" s="9"/>
      <c r="BG551" s="9"/>
      <c r="BH551" s="9"/>
      <c r="BI551" s="9"/>
      <c r="BJ551" s="9"/>
      <c r="BK551" s="9"/>
      <c r="BL551" s="9"/>
      <c r="BM551" s="9"/>
      <c r="BN551" s="9">
        <v>4330</v>
      </c>
      <c r="BO551" s="9">
        <v>3100</v>
      </c>
      <c r="BP551" s="9">
        <v>580</v>
      </c>
      <c r="BQ551" s="9">
        <v>198000</v>
      </c>
      <c r="BR551" s="9">
        <v>560</v>
      </c>
      <c r="BS551" s="9">
        <v>60</v>
      </c>
      <c r="BT551" s="9"/>
      <c r="BU551" s="9"/>
      <c r="BV551" s="9"/>
      <c r="BW551" s="9"/>
      <c r="BX551" s="9"/>
      <c r="BY551" s="9"/>
      <c r="BZ551" s="10" t="s">
        <v>401</v>
      </c>
      <c r="CA551" s="9"/>
      <c r="CB551" s="9"/>
      <c r="CC551" s="10">
        <f t="shared" si="197"/>
        <v>8.3478255331403961</v>
      </c>
      <c r="CD551" s="10">
        <f t="shared" si="198"/>
        <v>630.43474078404029</v>
      </c>
      <c r="CE551" s="10">
        <f t="shared" si="209"/>
        <v>1210434.7023053574</v>
      </c>
      <c r="CF551" s="10">
        <f t="shared" si="207"/>
        <v>0</v>
      </c>
      <c r="CG551" s="10">
        <f t="shared" si="192"/>
        <v>0</v>
      </c>
      <c r="CH551" s="10">
        <f t="shared" si="193"/>
        <v>3</v>
      </c>
      <c r="CI551" s="9">
        <f t="shared" si="199"/>
        <v>1</v>
      </c>
      <c r="CJ551" s="10">
        <f t="shared" si="194"/>
        <v>4</v>
      </c>
      <c r="CK551" s="10" t="b">
        <f t="shared" si="200"/>
        <v>0</v>
      </c>
      <c r="CL551" s="10" t="b">
        <f t="shared" si="201"/>
        <v>0</v>
      </c>
      <c r="CM551" s="10" t="b">
        <f t="shared" si="202"/>
        <v>0</v>
      </c>
      <c r="CN551" s="9">
        <f t="shared" si="203"/>
        <v>1</v>
      </c>
      <c r="CO551" s="10">
        <f t="shared" si="208"/>
        <v>3</v>
      </c>
      <c r="CP551" s="10" t="b">
        <f t="shared" si="204"/>
        <v>1</v>
      </c>
      <c r="CQ551" s="10" t="b">
        <f t="shared" si="205"/>
        <v>0</v>
      </c>
      <c r="CR551" s="10" cm="1">
        <f t="array" ref="CR551">_xlfn.IFS(AND($CI551=0, CK551=FALSE), NA(), AND($CI551=1, CK551=FALSE), 0, CK551=TRUE, 1)</f>
        <v>0</v>
      </c>
      <c r="CS551" s="10" cm="1">
        <f t="array" ref="CS551">_xlfn.IFS(AND($CI551=0, CL551=FALSE), NA(), AND($CI551=1, CL551=FALSE), 0, CL551=TRUE, 1)</f>
        <v>0</v>
      </c>
      <c r="CT551" s="10" cm="1">
        <f t="array" ref="CT551">_xlfn.IFS(AND($CI551=0, CM551=FALSE), NA(), AND($CI551=1, CM551=FALSE), 0, CM551=TRUE, 1)</f>
        <v>0</v>
      </c>
      <c r="CU551" s="10" cm="1">
        <f t="array" ref="CU551">_xlfn.IFS(AND($CN551=0, CP551=FALSE), NA(), AND($CN551=1, CP551=FALSE), 0, CP551=TRUE, 1)</f>
        <v>1</v>
      </c>
      <c r="CV551" s="10" cm="1">
        <f t="array" ref="CV551">_xlfn.IFS(AND($CN551=0, CQ551=FALSE), NA(), AND($CN551=1, CQ551=FALSE), 0, CQ551=TRUE, 1)</f>
        <v>0</v>
      </c>
    </row>
    <row r="552" spans="1:100" ht="15.75" x14ac:dyDescent="0.25">
      <c r="A552" s="8">
        <v>551</v>
      </c>
      <c r="B552" s="9">
        <v>244</v>
      </c>
      <c r="C552" s="10" t="s">
        <v>20</v>
      </c>
      <c r="D552" s="11" t="s">
        <v>235</v>
      </c>
      <c r="E552" s="12">
        <v>18917</v>
      </c>
      <c r="F552" s="13">
        <v>2</v>
      </c>
      <c r="G552" s="9">
        <v>66.655715942382813</v>
      </c>
      <c r="H552" s="12">
        <v>43263</v>
      </c>
      <c r="I552" s="9">
        <v>0</v>
      </c>
      <c r="J552" s="12"/>
      <c r="K552" s="9">
        <v>1</v>
      </c>
      <c r="L552" s="9"/>
      <c r="M552" s="10" t="s">
        <v>401</v>
      </c>
      <c r="N552" s="9">
        <v>3</v>
      </c>
      <c r="O552" s="10" t="s">
        <v>419</v>
      </c>
      <c r="P552" s="9">
        <v>3</v>
      </c>
      <c r="Q552" s="10" t="s">
        <v>419</v>
      </c>
      <c r="R552" s="12">
        <v>43263</v>
      </c>
      <c r="S552" s="10" t="s">
        <v>146</v>
      </c>
      <c r="T552" s="9"/>
      <c r="U552" s="10" t="s">
        <v>401</v>
      </c>
      <c r="V552" s="10" t="s">
        <v>401</v>
      </c>
      <c r="W552" s="9"/>
      <c r="X552" s="9"/>
      <c r="Y552" s="9">
        <v>2</v>
      </c>
      <c r="Z552" s="14">
        <v>2</v>
      </c>
      <c r="AB552" s="9"/>
      <c r="AC552" s="9"/>
      <c r="AD552" s="9">
        <v>3</v>
      </c>
      <c r="AE552" s="9">
        <v>3</v>
      </c>
      <c r="AF552" s="9">
        <v>2</v>
      </c>
      <c r="AG552" s="9">
        <v>0</v>
      </c>
      <c r="AH552" s="9">
        <v>1</v>
      </c>
      <c r="AI552" s="9">
        <v>1</v>
      </c>
      <c r="AJ552" s="12">
        <v>43518</v>
      </c>
      <c r="AK552" s="9">
        <v>2</v>
      </c>
      <c r="AL552" s="12">
        <v>43686</v>
      </c>
      <c r="AM552" s="9">
        <v>3</v>
      </c>
      <c r="AN552" s="12">
        <v>43600</v>
      </c>
      <c r="AO552" s="12">
        <v>43689</v>
      </c>
      <c r="AP552" s="12">
        <v>43689</v>
      </c>
      <c r="AQ552" s="9">
        <v>1</v>
      </c>
      <c r="AR552" s="9">
        <f t="shared" si="195"/>
        <v>1</v>
      </c>
      <c r="AS552" s="9">
        <v>1</v>
      </c>
      <c r="AT552" s="9">
        <v>2</v>
      </c>
      <c r="AU552" s="9">
        <v>2</v>
      </c>
      <c r="AV552" s="9">
        <f t="shared" si="196"/>
        <v>1</v>
      </c>
      <c r="AW552" s="12">
        <v>43885</v>
      </c>
      <c r="AX552" s="9">
        <v>4850</v>
      </c>
      <c r="AY552" s="9">
        <v>3152</v>
      </c>
      <c r="AZ552" s="9"/>
      <c r="BA552" s="9">
        <v>3152</v>
      </c>
      <c r="BB552" s="9">
        <v>1052.2021484375</v>
      </c>
      <c r="BC552" s="9">
        <v>285000</v>
      </c>
      <c r="BD552" s="9"/>
      <c r="BE552" s="9"/>
      <c r="BF552" s="9"/>
      <c r="BG552" s="9">
        <v>8100</v>
      </c>
      <c r="BH552" s="9">
        <v>5832</v>
      </c>
      <c r="BI552" s="9"/>
      <c r="BJ552" s="9">
        <v>367000</v>
      </c>
      <c r="BK552" s="9"/>
      <c r="BL552" s="9"/>
      <c r="BM552" s="9"/>
      <c r="BN552" s="9">
        <v>5900</v>
      </c>
      <c r="BO552" s="9">
        <v>4012</v>
      </c>
      <c r="BP552" s="9"/>
      <c r="BQ552" s="9">
        <v>347000</v>
      </c>
      <c r="BR552" s="9"/>
      <c r="BS552" s="9"/>
      <c r="BT552" s="9"/>
      <c r="BU552" s="9">
        <v>6230</v>
      </c>
      <c r="BV552" s="9">
        <v>4690</v>
      </c>
      <c r="BW552" s="9"/>
      <c r="BX552" s="9">
        <v>334000</v>
      </c>
      <c r="BY552" s="9"/>
      <c r="BZ552" s="10" t="s">
        <v>401</v>
      </c>
      <c r="CA552" s="9"/>
      <c r="CB552" s="9"/>
      <c r="CC552" s="10">
        <f t="shared" si="197"/>
        <v>2.9956220909457936</v>
      </c>
      <c r="CD552" s="10">
        <f t="shared" si="198"/>
        <v>270.86049997447691</v>
      </c>
      <c r="CE552" s="10">
        <f t="shared" si="209"/>
        <v>853752.29591955116</v>
      </c>
      <c r="CF552" s="10">
        <f t="shared" si="207"/>
        <v>1</v>
      </c>
      <c r="CG552" s="10">
        <f t="shared" si="192"/>
        <v>0</v>
      </c>
      <c r="CH552" s="10">
        <f t="shared" si="193"/>
        <v>6</v>
      </c>
      <c r="CI552" s="9">
        <f t="shared" si="199"/>
        <v>1</v>
      </c>
      <c r="CJ552" s="10">
        <f t="shared" si="194"/>
        <v>12</v>
      </c>
      <c r="CK552" s="10" t="b">
        <f t="shared" si="200"/>
        <v>1</v>
      </c>
      <c r="CL552" s="10" t="b">
        <f t="shared" si="201"/>
        <v>0</v>
      </c>
      <c r="CM552" s="10" t="b">
        <f t="shared" si="202"/>
        <v>0</v>
      </c>
      <c r="CN552" s="9">
        <f t="shared" si="203"/>
        <v>1</v>
      </c>
      <c r="CO552" s="10">
        <f t="shared" si="208"/>
        <v>6</v>
      </c>
      <c r="CP552" s="10" t="b">
        <f t="shared" si="204"/>
        <v>1</v>
      </c>
      <c r="CQ552" s="10" t="b">
        <f t="shared" si="205"/>
        <v>0</v>
      </c>
      <c r="CR552" s="10" cm="1">
        <f t="array" ref="CR552">_xlfn.IFS(AND($CI552=0, CK552=FALSE), NA(), AND($CI552=1, CK552=FALSE), 0, CK552=TRUE, 1)</f>
        <v>1</v>
      </c>
      <c r="CS552" s="10" cm="1">
        <f t="array" ref="CS552">_xlfn.IFS(AND($CI552=0, CL552=FALSE), NA(), AND($CI552=1, CL552=FALSE), 0, CL552=TRUE, 1)</f>
        <v>0</v>
      </c>
      <c r="CT552" s="10" cm="1">
        <f t="array" ref="CT552">_xlfn.IFS(AND($CI552=0, CM552=FALSE), NA(), AND($CI552=1, CM552=FALSE), 0, CM552=TRUE, 1)</f>
        <v>0</v>
      </c>
      <c r="CU552" s="10" cm="1">
        <f t="array" ref="CU552">_xlfn.IFS(AND($CN552=0, CP552=FALSE), NA(), AND($CN552=1, CP552=FALSE), 0, CP552=TRUE, 1)</f>
        <v>1</v>
      </c>
      <c r="CV552" s="10" cm="1">
        <f t="array" ref="CV552">_xlfn.IFS(AND($CN552=0, CQ552=FALSE), NA(), AND($CN552=1, CQ552=FALSE), 0, CQ552=TRUE, 1)</f>
        <v>0</v>
      </c>
    </row>
    <row r="553" spans="1:100" ht="15.75" x14ac:dyDescent="0.25">
      <c r="A553" s="8">
        <v>552</v>
      </c>
      <c r="B553" s="9">
        <v>361</v>
      </c>
      <c r="C553" s="10" t="s">
        <v>28</v>
      </c>
      <c r="D553" s="11" t="s">
        <v>89</v>
      </c>
      <c r="E553" s="12">
        <v>15113</v>
      </c>
      <c r="F553" s="13">
        <v>1</v>
      </c>
      <c r="G553" s="9">
        <v>77.078712463378906</v>
      </c>
      <c r="H553" s="12">
        <v>43266</v>
      </c>
      <c r="I553" s="9">
        <v>1</v>
      </c>
      <c r="J553" s="12">
        <v>43265</v>
      </c>
      <c r="K553" s="9">
        <v>0</v>
      </c>
      <c r="L553" s="9">
        <v>1</v>
      </c>
      <c r="M553" s="10" t="s">
        <v>401</v>
      </c>
      <c r="N553" s="9">
        <v>2</v>
      </c>
      <c r="O553" s="10" t="s">
        <v>145</v>
      </c>
      <c r="P553" s="9">
        <v>2</v>
      </c>
      <c r="Q553" s="10" t="s">
        <v>145</v>
      </c>
      <c r="R553" s="12">
        <v>43439</v>
      </c>
      <c r="S553" s="10" t="s">
        <v>146</v>
      </c>
      <c r="T553" s="9"/>
      <c r="U553" s="10" t="s">
        <v>401</v>
      </c>
      <c r="V553" s="10" t="s">
        <v>401</v>
      </c>
      <c r="W553" s="9"/>
      <c r="X553" s="9"/>
      <c r="Y553" s="9">
        <v>2</v>
      </c>
      <c r="Z553" s="14">
        <v>2</v>
      </c>
      <c r="AA553" s="15">
        <v>13.9</v>
      </c>
      <c r="AB553" s="16">
        <v>96</v>
      </c>
      <c r="AC553" s="16">
        <v>15</v>
      </c>
      <c r="AD553" s="9">
        <v>2</v>
      </c>
      <c r="AE553" s="9">
        <v>2</v>
      </c>
      <c r="AF553" s="9">
        <v>1</v>
      </c>
      <c r="AG553" s="9">
        <v>0</v>
      </c>
      <c r="AH553" s="9">
        <v>1</v>
      </c>
      <c r="AI553" s="9">
        <v>1</v>
      </c>
      <c r="AJ553" s="12">
        <v>43536</v>
      </c>
      <c r="AK553" s="9">
        <v>2</v>
      </c>
      <c r="AL553" s="12">
        <v>43592</v>
      </c>
      <c r="AM553" s="9">
        <v>4</v>
      </c>
      <c r="AN553" s="12">
        <v>43607</v>
      </c>
      <c r="AO553" s="12">
        <v>43607</v>
      </c>
      <c r="AP553" s="12">
        <v>43607</v>
      </c>
      <c r="AQ553" s="9">
        <v>1</v>
      </c>
      <c r="AR553" s="9">
        <f t="shared" si="195"/>
        <v>1</v>
      </c>
      <c r="AS553" s="9">
        <v>1</v>
      </c>
      <c r="AT553" s="9">
        <v>2</v>
      </c>
      <c r="AU553" s="9">
        <v>2</v>
      </c>
      <c r="AV553" s="9">
        <f t="shared" si="196"/>
        <v>1</v>
      </c>
      <c r="AW553" s="12">
        <v>44089</v>
      </c>
      <c r="AX553" s="9">
        <v>4810</v>
      </c>
      <c r="AY553" s="9">
        <v>2880</v>
      </c>
      <c r="AZ553" s="9">
        <v>1120</v>
      </c>
      <c r="BA553" s="9">
        <v>2880</v>
      </c>
      <c r="BB553" s="9">
        <v>1119.9998779296875</v>
      </c>
      <c r="BC553" s="9">
        <v>216000</v>
      </c>
      <c r="BD553" s="9">
        <v>630</v>
      </c>
      <c r="BE553" s="9">
        <v>160</v>
      </c>
      <c r="BF553" s="9">
        <v>369</v>
      </c>
      <c r="BG553" s="9">
        <v>6040</v>
      </c>
      <c r="BH553" s="9">
        <v>4320</v>
      </c>
      <c r="BI553" s="9">
        <v>900</v>
      </c>
      <c r="BJ553" s="9">
        <v>284000</v>
      </c>
      <c r="BK553" s="9">
        <v>390</v>
      </c>
      <c r="BL553" s="9">
        <v>260</v>
      </c>
      <c r="BM553" s="9">
        <v>360</v>
      </c>
      <c r="BN553" s="9">
        <v>7300</v>
      </c>
      <c r="BO553" s="9">
        <v>5180</v>
      </c>
      <c r="BP553" s="9">
        <v>960</v>
      </c>
      <c r="BQ553" s="9">
        <v>288000</v>
      </c>
      <c r="BR553" s="9">
        <v>490</v>
      </c>
      <c r="BS553" s="9">
        <v>450</v>
      </c>
      <c r="BT553" s="9">
        <v>588</v>
      </c>
      <c r="BU553" s="9">
        <v>6930</v>
      </c>
      <c r="BV553" s="9">
        <v>4940</v>
      </c>
      <c r="BW553" s="9">
        <v>870</v>
      </c>
      <c r="BX553" s="9">
        <v>321000</v>
      </c>
      <c r="BY553" s="9">
        <v>410</v>
      </c>
      <c r="BZ553" s="10" t="s">
        <v>580</v>
      </c>
      <c r="CA553" s="9">
        <v>550</v>
      </c>
      <c r="CB553" s="9">
        <v>376</v>
      </c>
      <c r="CC553" s="10">
        <f t="shared" si="197"/>
        <v>2.5714288516920747</v>
      </c>
      <c r="CD553" s="10">
        <f t="shared" si="198"/>
        <v>192.85716387690559</v>
      </c>
      <c r="CE553" s="10">
        <f t="shared" si="209"/>
        <v>555428.63196548808</v>
      </c>
      <c r="CF553" s="10">
        <f t="shared" si="207"/>
        <v>0</v>
      </c>
      <c r="CG553" s="10">
        <f t="shared" si="192"/>
        <v>0</v>
      </c>
      <c r="CH553" s="10">
        <f t="shared" si="193"/>
        <v>2</v>
      </c>
      <c r="CI553" s="9">
        <f t="shared" si="199"/>
        <v>1</v>
      </c>
      <c r="CJ553" s="10">
        <f t="shared" si="194"/>
        <v>18</v>
      </c>
      <c r="CK553" s="10" t="b">
        <f t="shared" si="200"/>
        <v>1</v>
      </c>
      <c r="CL553" s="10" t="b">
        <f t="shared" si="201"/>
        <v>1</v>
      </c>
      <c r="CM553" s="10" t="b">
        <f t="shared" si="202"/>
        <v>0</v>
      </c>
      <c r="CN553" s="9">
        <f t="shared" si="203"/>
        <v>1</v>
      </c>
      <c r="CO553" s="10">
        <f t="shared" si="208"/>
        <v>2</v>
      </c>
      <c r="CP553" s="10" t="b">
        <f t="shared" si="204"/>
        <v>0</v>
      </c>
      <c r="CQ553" s="10" t="b">
        <f t="shared" si="205"/>
        <v>0</v>
      </c>
      <c r="CR553" s="10" cm="1">
        <f t="array" ref="CR553">_xlfn.IFS(AND($CI553=0, CK553=FALSE), NA(), AND($CI553=1, CK553=FALSE), 0, CK553=TRUE, 1)</f>
        <v>1</v>
      </c>
      <c r="CS553" s="10" cm="1">
        <f t="array" ref="CS553">_xlfn.IFS(AND($CI553=0, CL553=FALSE), NA(), AND($CI553=1, CL553=FALSE), 0, CL553=TRUE, 1)</f>
        <v>1</v>
      </c>
      <c r="CT553" s="10" cm="1">
        <f t="array" ref="CT553">_xlfn.IFS(AND($CI553=0, CM553=FALSE), NA(), AND($CI553=1, CM553=FALSE), 0, CM553=TRUE, 1)</f>
        <v>0</v>
      </c>
      <c r="CU553" s="10" cm="1">
        <f t="array" ref="CU553">_xlfn.IFS(AND($CN553=0, CP553=FALSE), NA(), AND($CN553=1, CP553=FALSE), 0, CP553=TRUE, 1)</f>
        <v>0</v>
      </c>
      <c r="CV553" s="10" cm="1">
        <f t="array" ref="CV553">_xlfn.IFS(AND($CN553=0, CQ553=FALSE), NA(), AND($CN553=1, CQ553=FALSE), 0, CQ553=TRUE, 1)</f>
        <v>0</v>
      </c>
    </row>
    <row r="554" spans="1:100" ht="15.75" x14ac:dyDescent="0.25">
      <c r="A554" s="8">
        <v>553</v>
      </c>
      <c r="B554" s="9">
        <v>465</v>
      </c>
      <c r="C554" s="10" t="s">
        <v>30</v>
      </c>
      <c r="D554" s="11" t="s">
        <v>66</v>
      </c>
      <c r="E554" s="12">
        <v>23485</v>
      </c>
      <c r="F554" s="13">
        <v>1</v>
      </c>
      <c r="G554" s="9">
        <v>54.171115875244141</v>
      </c>
      <c r="H554" s="12">
        <v>43271</v>
      </c>
      <c r="I554" s="9">
        <v>0</v>
      </c>
      <c r="J554" s="12"/>
      <c r="K554" s="9">
        <v>1</v>
      </c>
      <c r="L554" s="9">
        <v>1</v>
      </c>
      <c r="M554" s="10" t="s">
        <v>401</v>
      </c>
      <c r="N554" s="9">
        <v>1</v>
      </c>
      <c r="O554" s="10" t="s">
        <v>401</v>
      </c>
      <c r="P554" s="9">
        <v>1</v>
      </c>
      <c r="Q554" s="10" t="s">
        <v>401</v>
      </c>
      <c r="R554" s="12">
        <v>43271</v>
      </c>
      <c r="S554" s="10" t="s">
        <v>145</v>
      </c>
      <c r="T554" s="9"/>
      <c r="U554" s="10" t="s">
        <v>401</v>
      </c>
      <c r="V554" s="10" t="s">
        <v>401</v>
      </c>
      <c r="W554" s="9"/>
      <c r="X554" s="9"/>
      <c r="Y554" s="9">
        <v>2</v>
      </c>
      <c r="Z554" s="14">
        <v>1</v>
      </c>
      <c r="AA554" s="17">
        <v>13.4</v>
      </c>
      <c r="AB554" s="18">
        <v>96</v>
      </c>
      <c r="AC554" s="18">
        <v>10</v>
      </c>
      <c r="AD554" s="9">
        <v>2</v>
      </c>
      <c r="AE554" s="9">
        <v>1</v>
      </c>
      <c r="AF554" s="9">
        <v>1</v>
      </c>
      <c r="AG554" s="9">
        <v>0</v>
      </c>
      <c r="AH554" s="9">
        <v>0</v>
      </c>
      <c r="AI554" s="9">
        <v>1</v>
      </c>
      <c r="AJ554" s="12">
        <v>43591</v>
      </c>
      <c r="AK554" s="9">
        <v>2</v>
      </c>
      <c r="AL554" s="12">
        <v>43619</v>
      </c>
      <c r="AM554" s="9">
        <v>4</v>
      </c>
      <c r="AN554" s="12">
        <v>43661</v>
      </c>
      <c r="AO554" s="12">
        <v>43661</v>
      </c>
      <c r="AP554" s="12">
        <v>43661</v>
      </c>
      <c r="AQ554" s="9">
        <v>1</v>
      </c>
      <c r="AR554" s="9">
        <f t="shared" si="195"/>
        <v>1</v>
      </c>
      <c r="AS554" s="9">
        <v>1</v>
      </c>
      <c r="AT554" s="9">
        <v>2</v>
      </c>
      <c r="AU554" s="9">
        <v>2</v>
      </c>
      <c r="AV554" s="9">
        <f t="shared" si="196"/>
        <v>1</v>
      </c>
      <c r="AW554" s="12">
        <v>43661</v>
      </c>
      <c r="AX554" s="9">
        <v>6820</v>
      </c>
      <c r="AY554" s="9">
        <v>4870</v>
      </c>
      <c r="AZ554" s="9">
        <v>810</v>
      </c>
      <c r="BA554" s="9">
        <v>4870</v>
      </c>
      <c r="BB554" s="9">
        <v>810.00006103515625</v>
      </c>
      <c r="BC554" s="9">
        <v>226000</v>
      </c>
      <c r="BD554" s="9">
        <v>370</v>
      </c>
      <c r="BE554" s="9">
        <v>80</v>
      </c>
      <c r="BF554" s="9">
        <v>160</v>
      </c>
      <c r="BG554" s="9">
        <v>9010</v>
      </c>
      <c r="BH554" s="9">
        <v>7480</v>
      </c>
      <c r="BI554" s="9">
        <v>980</v>
      </c>
      <c r="BJ554" s="9">
        <v>416000</v>
      </c>
      <c r="BK554" s="9">
        <v>450</v>
      </c>
      <c r="BL554" s="9">
        <v>90</v>
      </c>
      <c r="BM554" s="9">
        <v>160</v>
      </c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10" t="s">
        <v>401</v>
      </c>
      <c r="CA554" s="9"/>
      <c r="CB554" s="9"/>
      <c r="CC554" s="10">
        <f t="shared" si="197"/>
        <v>6.0123452259698391</v>
      </c>
      <c r="CD554" s="10">
        <f t="shared" si="198"/>
        <v>279.01232465486316</v>
      </c>
      <c r="CE554" s="10">
        <f t="shared" si="209"/>
        <v>1358790.0210691837</v>
      </c>
      <c r="CF554" s="10">
        <f t="shared" si="207"/>
        <v>0</v>
      </c>
      <c r="CG554" s="10">
        <f t="shared" si="192"/>
        <v>0</v>
      </c>
      <c r="CH554" s="10">
        <f t="shared" si="193"/>
        <v>1</v>
      </c>
      <c r="CI554" s="9">
        <f t="shared" si="199"/>
        <v>1</v>
      </c>
      <c r="CJ554" s="10">
        <f t="shared" si="194"/>
        <v>2</v>
      </c>
      <c r="CK554" s="10" t="b">
        <f t="shared" si="200"/>
        <v>0</v>
      </c>
      <c r="CL554" s="10" t="b">
        <f t="shared" si="201"/>
        <v>0</v>
      </c>
      <c r="CM554" s="10" t="b">
        <f t="shared" si="202"/>
        <v>0</v>
      </c>
      <c r="CN554" s="9">
        <f t="shared" si="203"/>
        <v>1</v>
      </c>
      <c r="CO554" s="10">
        <f t="shared" si="208"/>
        <v>2</v>
      </c>
      <c r="CP554" s="10" t="b">
        <f t="shared" si="204"/>
        <v>0</v>
      </c>
      <c r="CQ554" s="10" t="b">
        <f t="shared" si="205"/>
        <v>0</v>
      </c>
      <c r="CR554" s="10" cm="1">
        <f t="array" ref="CR554">_xlfn.IFS(AND($CI554=0, CK554=FALSE), NA(), AND($CI554=1, CK554=FALSE), 0, CK554=TRUE, 1)</f>
        <v>0</v>
      </c>
      <c r="CS554" s="10" cm="1">
        <f t="array" ref="CS554">_xlfn.IFS(AND($CI554=0, CL554=FALSE), NA(), AND($CI554=1, CL554=FALSE), 0, CL554=TRUE, 1)</f>
        <v>0</v>
      </c>
      <c r="CT554" s="10" cm="1">
        <f t="array" ref="CT554">_xlfn.IFS(AND($CI554=0, CM554=FALSE), NA(), AND($CI554=1, CM554=FALSE), 0, CM554=TRUE, 1)</f>
        <v>0</v>
      </c>
      <c r="CU554" s="10" cm="1">
        <f t="array" ref="CU554">_xlfn.IFS(AND($CN554=0, CP554=FALSE), NA(), AND($CN554=1, CP554=FALSE), 0, CP554=TRUE, 1)</f>
        <v>0</v>
      </c>
      <c r="CV554" s="10" cm="1">
        <f t="array" ref="CV554">_xlfn.IFS(AND($CN554=0, CQ554=FALSE), NA(), AND($CN554=1, CQ554=FALSE), 0, CQ554=TRUE, 1)</f>
        <v>0</v>
      </c>
    </row>
    <row r="555" spans="1:100" ht="15.75" x14ac:dyDescent="0.25">
      <c r="A555" s="8">
        <v>554</v>
      </c>
      <c r="B555" s="9">
        <v>230</v>
      </c>
      <c r="C555" s="10" t="s">
        <v>20</v>
      </c>
      <c r="D555" s="11" t="s">
        <v>226</v>
      </c>
      <c r="E555" s="12">
        <v>26358</v>
      </c>
      <c r="F555" s="13">
        <v>2</v>
      </c>
      <c r="G555" s="9">
        <v>46.318958282470703</v>
      </c>
      <c r="H555" s="12">
        <v>43276</v>
      </c>
      <c r="I555" s="9">
        <v>1</v>
      </c>
      <c r="J555" s="12">
        <v>43276</v>
      </c>
      <c r="K555" s="9">
        <v>1</v>
      </c>
      <c r="L555" s="9">
        <v>1</v>
      </c>
      <c r="M555" s="10" t="s">
        <v>401</v>
      </c>
      <c r="N555" s="9">
        <v>2</v>
      </c>
      <c r="O555" s="10" t="s">
        <v>420</v>
      </c>
      <c r="P555" s="9">
        <v>2</v>
      </c>
      <c r="Q555" s="10" t="s">
        <v>420</v>
      </c>
      <c r="R555" s="12">
        <v>43271</v>
      </c>
      <c r="S555" s="10">
        <v>1</v>
      </c>
      <c r="T555" s="9">
        <v>4</v>
      </c>
      <c r="U555" s="10" t="s">
        <v>401</v>
      </c>
      <c r="V555" s="10" t="s">
        <v>401</v>
      </c>
      <c r="W555" s="9"/>
      <c r="X555" s="9"/>
      <c r="Y555" s="9">
        <v>3</v>
      </c>
      <c r="Z555" s="14">
        <v>1</v>
      </c>
      <c r="AB555" s="9"/>
      <c r="AC555" s="9"/>
      <c r="AD555" s="9">
        <v>2</v>
      </c>
      <c r="AE555" s="9">
        <v>2</v>
      </c>
      <c r="AF555" s="9">
        <v>2</v>
      </c>
      <c r="AG555" s="9">
        <v>1</v>
      </c>
      <c r="AH555" s="9">
        <v>0</v>
      </c>
      <c r="AI555" s="9">
        <v>0</v>
      </c>
      <c r="AJ555" s="12">
        <v>43798</v>
      </c>
      <c r="AK555" s="9">
        <v>1</v>
      </c>
      <c r="AL555" s="12">
        <v>44971</v>
      </c>
      <c r="AM555" s="9">
        <v>2</v>
      </c>
      <c r="AN555" s="12">
        <v>44862</v>
      </c>
      <c r="AO555" s="12"/>
      <c r="AP555" s="12"/>
      <c r="AQ555" s="9">
        <v>2</v>
      </c>
      <c r="AR555" s="9">
        <f t="shared" si="195"/>
        <v>0</v>
      </c>
      <c r="AS555" s="9">
        <v>2</v>
      </c>
      <c r="AT555" s="9"/>
      <c r="AU555" s="9">
        <v>1</v>
      </c>
      <c r="AV555" s="9">
        <f t="shared" si="196"/>
        <v>0</v>
      </c>
      <c r="AW555" s="12">
        <v>44971</v>
      </c>
      <c r="AX555" s="9">
        <v>5000</v>
      </c>
      <c r="AY555" s="9">
        <v>3000</v>
      </c>
      <c r="AZ555" s="9"/>
      <c r="BA555" s="9">
        <v>3000</v>
      </c>
      <c r="BB555" s="9">
        <v>1267.077392578125</v>
      </c>
      <c r="BC555" s="9">
        <v>238000</v>
      </c>
      <c r="BD555" s="9"/>
      <c r="BE555" s="9"/>
      <c r="BF555" s="9"/>
      <c r="BG555" s="9">
        <v>6600</v>
      </c>
      <c r="BH555" s="9">
        <v>4550</v>
      </c>
      <c r="BI555" s="9"/>
      <c r="BJ555" s="9">
        <v>198000</v>
      </c>
      <c r="BK555" s="9"/>
      <c r="BL555" s="9"/>
      <c r="BM555" s="9"/>
      <c r="BN555" s="9">
        <v>8060</v>
      </c>
      <c r="BO555" s="9">
        <v>5300</v>
      </c>
      <c r="BP555" s="9"/>
      <c r="BQ555" s="9">
        <v>209000</v>
      </c>
      <c r="BR555" s="9"/>
      <c r="BS555" s="9"/>
      <c r="BT555" s="9"/>
      <c r="BU555" s="9">
        <v>7600</v>
      </c>
      <c r="BV555" s="9">
        <v>5000</v>
      </c>
      <c r="BW555" s="9"/>
      <c r="BX555" s="9">
        <v>191000</v>
      </c>
      <c r="BY555" s="9"/>
      <c r="BZ555" s="10" t="s">
        <v>401</v>
      </c>
      <c r="CA555" s="9"/>
      <c r="CB555" s="9"/>
      <c r="CC555" s="10">
        <f t="shared" si="197"/>
        <v>2.3676533237609849</v>
      </c>
      <c r="CD555" s="10">
        <f t="shared" si="198"/>
        <v>187.83383035170482</v>
      </c>
      <c r="CE555" s="10">
        <f t="shared" si="209"/>
        <v>563501.49105511443</v>
      </c>
      <c r="CF555" s="10">
        <f t="shared" si="207"/>
        <v>1</v>
      </c>
      <c r="CG555" s="10">
        <f t="shared" si="192"/>
        <v>1</v>
      </c>
      <c r="CH555" s="10">
        <f t="shared" si="193"/>
        <v>39</v>
      </c>
      <c r="CI555" s="9">
        <f t="shared" si="199"/>
        <v>0</v>
      </c>
      <c r="CJ555" s="10">
        <f t="shared" si="194"/>
        <v>39</v>
      </c>
      <c r="CK555" s="10" t="b">
        <f t="shared" si="200"/>
        <v>1</v>
      </c>
      <c r="CL555" s="10" t="b">
        <f t="shared" si="201"/>
        <v>1</v>
      </c>
      <c r="CM555" s="10" t="b">
        <f t="shared" si="202"/>
        <v>1</v>
      </c>
      <c r="CN555" s="9">
        <f t="shared" si="203"/>
        <v>0</v>
      </c>
      <c r="CO555" s="10">
        <f>CJ555</f>
        <v>39</v>
      </c>
      <c r="CP555" s="10" t="b">
        <f t="shared" si="204"/>
        <v>1</v>
      </c>
      <c r="CQ555" s="10" t="b">
        <f t="shared" si="205"/>
        <v>1</v>
      </c>
      <c r="CR555" s="10" cm="1">
        <f t="array" ref="CR555">_xlfn.IFS(AND($CI555=0, CK555=FALSE), NA(), AND($CI555=1, CK555=FALSE), 0, CK555=TRUE, 1)</f>
        <v>1</v>
      </c>
      <c r="CS555" s="10" cm="1">
        <f t="array" ref="CS555">_xlfn.IFS(AND($CI555=0, CL555=FALSE), NA(), AND($CI555=1, CL555=FALSE), 0, CL555=TRUE, 1)</f>
        <v>1</v>
      </c>
      <c r="CT555" s="10" cm="1">
        <f t="array" ref="CT555">_xlfn.IFS(AND($CI555=0, CM555=FALSE), NA(), AND($CI555=1, CM555=FALSE), 0, CM555=TRUE, 1)</f>
        <v>1</v>
      </c>
      <c r="CU555" s="10" cm="1">
        <f t="array" ref="CU555">_xlfn.IFS(AND($CN555=0, CP555=FALSE), NA(), AND($CN555=1, CP555=FALSE), 0, CP555=TRUE, 1)</f>
        <v>1</v>
      </c>
      <c r="CV555" s="10" cm="1">
        <f t="array" ref="CV555">_xlfn.IFS(AND($CN555=0, CQ555=FALSE), NA(), AND($CN555=1, CQ555=FALSE), 0, CQ555=TRUE, 1)</f>
        <v>1</v>
      </c>
    </row>
    <row r="556" spans="1:100" ht="15.75" x14ac:dyDescent="0.25">
      <c r="A556" s="8">
        <v>555</v>
      </c>
      <c r="B556" s="9">
        <v>549</v>
      </c>
      <c r="C556" s="10" t="s">
        <v>35</v>
      </c>
      <c r="D556" s="11" t="s">
        <v>70</v>
      </c>
      <c r="E556" s="12">
        <v>14014</v>
      </c>
      <c r="F556" s="13">
        <v>1</v>
      </c>
      <c r="G556" s="9">
        <v>80.136894226074219</v>
      </c>
      <c r="H556" s="12">
        <v>43284</v>
      </c>
      <c r="I556" s="9">
        <v>0</v>
      </c>
      <c r="J556" s="12"/>
      <c r="K556" s="9">
        <v>1</v>
      </c>
      <c r="L556" s="9">
        <v>1</v>
      </c>
      <c r="M556" s="10" t="s">
        <v>401</v>
      </c>
      <c r="N556" s="9">
        <v>2</v>
      </c>
      <c r="O556" s="10" t="s">
        <v>422</v>
      </c>
      <c r="P556" s="9">
        <v>2</v>
      </c>
      <c r="Q556" s="10" t="s">
        <v>422</v>
      </c>
      <c r="R556" s="12">
        <v>43284</v>
      </c>
      <c r="S556" s="10" t="s">
        <v>145</v>
      </c>
      <c r="T556" s="9"/>
      <c r="U556" s="10" t="s">
        <v>401</v>
      </c>
      <c r="V556" s="10" t="s">
        <v>401</v>
      </c>
      <c r="W556" s="9"/>
      <c r="X556" s="9"/>
      <c r="Y556" s="9">
        <v>2</v>
      </c>
      <c r="Z556" s="14">
        <v>1</v>
      </c>
      <c r="AA556" s="17">
        <v>9.1999999999999993</v>
      </c>
      <c r="AB556" s="18">
        <v>97</v>
      </c>
      <c r="AC556" s="9"/>
      <c r="AD556" s="9">
        <v>2</v>
      </c>
      <c r="AE556" s="9">
        <v>2</v>
      </c>
      <c r="AF556" s="9">
        <v>1</v>
      </c>
      <c r="AG556" s="9">
        <v>0</v>
      </c>
      <c r="AH556" s="9">
        <v>1</v>
      </c>
      <c r="AI556" s="9">
        <v>0</v>
      </c>
      <c r="AJ556" s="12">
        <v>43452</v>
      </c>
      <c r="AK556" s="9">
        <v>2</v>
      </c>
      <c r="AL556" s="12">
        <v>43452</v>
      </c>
      <c r="AM556" s="9">
        <v>4</v>
      </c>
      <c r="AN556" s="12">
        <v>43499</v>
      </c>
      <c r="AO556" s="12">
        <v>43499</v>
      </c>
      <c r="AP556" s="12">
        <v>43499</v>
      </c>
      <c r="AQ556" s="9">
        <v>1</v>
      </c>
      <c r="AR556" s="9">
        <f t="shared" si="195"/>
        <v>1</v>
      </c>
      <c r="AS556" s="9">
        <v>1</v>
      </c>
      <c r="AT556" s="9">
        <v>2</v>
      </c>
      <c r="AU556" s="9">
        <v>2</v>
      </c>
      <c r="AV556" s="9">
        <f t="shared" si="196"/>
        <v>1</v>
      </c>
      <c r="AW556" s="12">
        <v>43499</v>
      </c>
      <c r="AX556" s="9">
        <v>8400</v>
      </c>
      <c r="AY556" s="9">
        <v>5480</v>
      </c>
      <c r="AZ556" s="9">
        <v>1660</v>
      </c>
      <c r="BA556" s="9">
        <v>5480</v>
      </c>
      <c r="BB556" s="9">
        <v>1659.999755859375</v>
      </c>
      <c r="BC556" s="9">
        <v>330000</v>
      </c>
      <c r="BD556" s="9">
        <v>1110</v>
      </c>
      <c r="BE556" s="9">
        <v>140</v>
      </c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10" t="s">
        <v>401</v>
      </c>
      <c r="CA556" s="9"/>
      <c r="CB556" s="9"/>
      <c r="CC556" s="10">
        <f t="shared" si="197"/>
        <v>3.3012053047941725</v>
      </c>
      <c r="CD556" s="10">
        <f t="shared" si="198"/>
        <v>198.79520996023302</v>
      </c>
      <c r="CE556" s="10">
        <f t="shared" si="209"/>
        <v>1089397.7505820768</v>
      </c>
      <c r="CF556" s="10">
        <f t="shared" si="207"/>
        <v>0</v>
      </c>
      <c r="CG556" s="10">
        <f t="shared" si="192"/>
        <v>0</v>
      </c>
      <c r="CH556" s="10">
        <f t="shared" si="193"/>
        <v>0</v>
      </c>
      <c r="CI556" s="9">
        <f t="shared" si="199"/>
        <v>1</v>
      </c>
      <c r="CJ556" s="10">
        <f t="shared" si="194"/>
        <v>2</v>
      </c>
      <c r="CK556" s="10" t="b">
        <f t="shared" si="200"/>
        <v>0</v>
      </c>
      <c r="CL556" s="10" t="b">
        <f t="shared" si="201"/>
        <v>0</v>
      </c>
      <c r="CM556" s="10" t="b">
        <f t="shared" si="202"/>
        <v>0</v>
      </c>
      <c r="CN556" s="9">
        <f t="shared" si="203"/>
        <v>1</v>
      </c>
      <c r="CO556" s="10">
        <f>(YEAR(AO556)-YEAR(AJ556))*12+MONTH(AO556)-MONTH(AJ556)</f>
        <v>2</v>
      </c>
      <c r="CP556" s="10" t="b">
        <f t="shared" si="204"/>
        <v>0</v>
      </c>
      <c r="CQ556" s="10" t="b">
        <f t="shared" si="205"/>
        <v>0</v>
      </c>
      <c r="CR556" s="10" cm="1">
        <f t="array" ref="CR556">_xlfn.IFS(AND($CI556=0, CK556=FALSE), NA(), AND($CI556=1, CK556=FALSE), 0, CK556=TRUE, 1)</f>
        <v>0</v>
      </c>
      <c r="CS556" s="10" cm="1">
        <f t="array" ref="CS556">_xlfn.IFS(AND($CI556=0, CL556=FALSE), NA(), AND($CI556=1, CL556=FALSE), 0, CL556=TRUE, 1)</f>
        <v>0</v>
      </c>
      <c r="CT556" s="10" cm="1">
        <f t="array" ref="CT556">_xlfn.IFS(AND($CI556=0, CM556=FALSE), NA(), AND($CI556=1, CM556=FALSE), 0, CM556=TRUE, 1)</f>
        <v>0</v>
      </c>
      <c r="CU556" s="10" cm="1">
        <f t="array" ref="CU556">_xlfn.IFS(AND($CN556=0, CP556=FALSE), NA(), AND($CN556=1, CP556=FALSE), 0, CP556=TRUE, 1)</f>
        <v>0</v>
      </c>
      <c r="CV556" s="10" cm="1">
        <f t="array" ref="CV556">_xlfn.IFS(AND($CN556=0, CQ556=FALSE), NA(), AND($CN556=1, CQ556=FALSE), 0, CQ556=TRUE, 1)</f>
        <v>0</v>
      </c>
    </row>
    <row r="557" spans="1:100" ht="15.75" x14ac:dyDescent="0.25">
      <c r="A557" s="8">
        <v>556</v>
      </c>
      <c r="B557" s="9">
        <v>216</v>
      </c>
      <c r="C557" s="10" t="s">
        <v>19</v>
      </c>
      <c r="D557" s="11" t="s">
        <v>85</v>
      </c>
      <c r="E557" s="12">
        <v>22885</v>
      </c>
      <c r="F557" s="13">
        <v>1</v>
      </c>
      <c r="G557" s="9">
        <v>55.852157592773438</v>
      </c>
      <c r="H557" s="12">
        <v>43285</v>
      </c>
      <c r="I557" s="9">
        <v>0</v>
      </c>
      <c r="J557" s="12"/>
      <c r="K557" s="9">
        <v>1</v>
      </c>
      <c r="L557" s="9"/>
      <c r="M557" s="10" t="s">
        <v>401</v>
      </c>
      <c r="N557" s="9">
        <v>2</v>
      </c>
      <c r="O557" s="10" t="s">
        <v>145</v>
      </c>
      <c r="P557" s="9">
        <v>2</v>
      </c>
      <c r="Q557" s="10" t="s">
        <v>145</v>
      </c>
      <c r="R557" s="12">
        <v>43285</v>
      </c>
      <c r="S557" s="10" t="s">
        <v>145</v>
      </c>
      <c r="T557" s="9"/>
      <c r="U557" s="10" t="s">
        <v>401</v>
      </c>
      <c r="V557" s="10" t="s">
        <v>401</v>
      </c>
      <c r="W557" s="9"/>
      <c r="X557" s="9"/>
      <c r="Y557" s="9">
        <v>2</v>
      </c>
      <c r="Z557" s="14">
        <v>1</v>
      </c>
      <c r="AA557" s="31">
        <v>13.5</v>
      </c>
      <c r="AB557" s="37">
        <v>105</v>
      </c>
      <c r="AC557" s="37">
        <v>16</v>
      </c>
      <c r="AD557" s="9">
        <v>2</v>
      </c>
      <c r="AE557" s="9">
        <v>2</v>
      </c>
      <c r="AF557" s="9">
        <v>1</v>
      </c>
      <c r="AG557" s="9">
        <v>1</v>
      </c>
      <c r="AH557" s="9">
        <v>1</v>
      </c>
      <c r="AI557" s="9">
        <v>0</v>
      </c>
      <c r="AJ557" s="12">
        <v>43446</v>
      </c>
      <c r="AK557" s="9">
        <v>2</v>
      </c>
      <c r="AL557" s="12">
        <v>43615</v>
      </c>
      <c r="AM557" s="9">
        <v>4</v>
      </c>
      <c r="AN557" s="12">
        <v>43525</v>
      </c>
      <c r="AO557" s="12">
        <v>43525</v>
      </c>
      <c r="AP557" s="12">
        <v>43620</v>
      </c>
      <c r="AQ557" s="9">
        <v>1</v>
      </c>
      <c r="AR557" s="9">
        <f t="shared" si="195"/>
        <v>1</v>
      </c>
      <c r="AS557" s="9">
        <v>1</v>
      </c>
      <c r="AT557" s="9">
        <v>1</v>
      </c>
      <c r="AU557" s="9">
        <v>2</v>
      </c>
      <c r="AV557" s="9">
        <f t="shared" si="196"/>
        <v>1</v>
      </c>
      <c r="AW557" s="12">
        <v>44110</v>
      </c>
      <c r="AX557" s="9">
        <v>4230</v>
      </c>
      <c r="AY557" s="9">
        <v>1900</v>
      </c>
      <c r="AZ557" s="9">
        <v>1800</v>
      </c>
      <c r="BA557" s="9">
        <v>1900</v>
      </c>
      <c r="BB557" s="9">
        <v>1800.000244140625</v>
      </c>
      <c r="BC557" s="9">
        <v>210000</v>
      </c>
      <c r="BD557" s="9">
        <v>400</v>
      </c>
      <c r="BE557" s="9">
        <v>0</v>
      </c>
      <c r="BF557" s="9">
        <v>467</v>
      </c>
      <c r="BG557" s="9">
        <v>6280</v>
      </c>
      <c r="BH557" s="9">
        <v>4400</v>
      </c>
      <c r="BI557" s="9">
        <v>1200</v>
      </c>
      <c r="BJ557" s="9">
        <v>239000</v>
      </c>
      <c r="BK557" s="9">
        <v>500</v>
      </c>
      <c r="BL557" s="9">
        <v>0</v>
      </c>
      <c r="BM557" s="9">
        <v>477</v>
      </c>
      <c r="BN557" s="9">
        <v>4640</v>
      </c>
      <c r="BO557" s="9">
        <v>3200</v>
      </c>
      <c r="BP557" s="9">
        <v>1000</v>
      </c>
      <c r="BQ557" s="9">
        <v>297000</v>
      </c>
      <c r="BR557" s="9">
        <v>300</v>
      </c>
      <c r="BS557" s="9">
        <v>0</v>
      </c>
      <c r="BT557" s="9">
        <v>467</v>
      </c>
      <c r="BU557" s="9">
        <v>5240</v>
      </c>
      <c r="BV557" s="9">
        <v>3900</v>
      </c>
      <c r="BW557" s="9">
        <v>900</v>
      </c>
      <c r="BX557" s="9">
        <v>268000</v>
      </c>
      <c r="BY557" s="9">
        <v>300</v>
      </c>
      <c r="BZ557" s="10" t="s">
        <v>442</v>
      </c>
      <c r="CA557" s="9">
        <v>0</v>
      </c>
      <c r="CB557" s="9">
        <v>407</v>
      </c>
      <c r="CC557" s="10">
        <f t="shared" si="197"/>
        <v>1.0555554123866899</v>
      </c>
      <c r="CD557" s="10">
        <f t="shared" si="198"/>
        <v>116.66665084273941</v>
      </c>
      <c r="CE557" s="10">
        <f t="shared" si="209"/>
        <v>221666.6366012049</v>
      </c>
      <c r="CF557" s="10">
        <f t="shared" si="207"/>
        <v>0</v>
      </c>
      <c r="CG557" s="10">
        <f t="shared" si="192"/>
        <v>0</v>
      </c>
      <c r="CH557" s="10">
        <f t="shared" si="193"/>
        <v>5</v>
      </c>
      <c r="CI557" s="9">
        <f t="shared" si="199"/>
        <v>1</v>
      </c>
      <c r="CJ557" s="10">
        <f t="shared" si="194"/>
        <v>22</v>
      </c>
      <c r="CK557" s="10" t="b">
        <f t="shared" si="200"/>
        <v>1</v>
      </c>
      <c r="CL557" s="10" t="b">
        <f t="shared" si="201"/>
        <v>1</v>
      </c>
      <c r="CM557" s="10" t="b">
        <f t="shared" si="202"/>
        <v>0</v>
      </c>
      <c r="CN557" s="9">
        <f t="shared" si="203"/>
        <v>1</v>
      </c>
      <c r="CO557" s="10">
        <f>(YEAR(AO557)-YEAR(AJ557))*12+MONTH(AO557)-MONTH(AJ557)</f>
        <v>3</v>
      </c>
      <c r="CP557" s="10" t="b">
        <f t="shared" si="204"/>
        <v>1</v>
      </c>
      <c r="CQ557" s="10" t="b">
        <f t="shared" si="205"/>
        <v>0</v>
      </c>
      <c r="CR557" s="10" cm="1">
        <f t="array" ref="CR557">_xlfn.IFS(AND($CI557=0, CK557=FALSE), NA(), AND($CI557=1, CK557=FALSE), 0, CK557=TRUE, 1)</f>
        <v>1</v>
      </c>
      <c r="CS557" s="10" cm="1">
        <f t="array" ref="CS557">_xlfn.IFS(AND($CI557=0, CL557=FALSE), NA(), AND($CI557=1, CL557=FALSE), 0, CL557=TRUE, 1)</f>
        <v>1</v>
      </c>
      <c r="CT557" s="10" cm="1">
        <f t="array" ref="CT557">_xlfn.IFS(AND($CI557=0, CM557=FALSE), NA(), AND($CI557=1, CM557=FALSE), 0, CM557=TRUE, 1)</f>
        <v>0</v>
      </c>
      <c r="CU557" s="10" cm="1">
        <f t="array" ref="CU557">_xlfn.IFS(AND($CN557=0, CP557=FALSE), NA(), AND($CN557=1, CP557=FALSE), 0, CP557=TRUE, 1)</f>
        <v>1</v>
      </c>
      <c r="CV557" s="10" cm="1">
        <f t="array" ref="CV557">_xlfn.IFS(AND($CN557=0, CQ557=FALSE), NA(), AND($CN557=1, CQ557=FALSE), 0, CQ557=TRUE, 1)</f>
        <v>0</v>
      </c>
    </row>
    <row r="558" spans="1:100" ht="15.75" x14ac:dyDescent="0.25">
      <c r="A558" s="8">
        <v>557</v>
      </c>
      <c r="B558" s="9">
        <v>562</v>
      </c>
      <c r="C558" s="10" t="s">
        <v>36</v>
      </c>
      <c r="D558" s="11" t="s">
        <v>188</v>
      </c>
      <c r="E558" s="12">
        <v>22657</v>
      </c>
      <c r="F558" s="13">
        <v>1</v>
      </c>
      <c r="G558" s="9">
        <v>56.492813110351563</v>
      </c>
      <c r="H558" s="12">
        <v>43291</v>
      </c>
      <c r="I558" s="9">
        <v>0</v>
      </c>
      <c r="J558" s="12"/>
      <c r="K558" s="9">
        <v>1</v>
      </c>
      <c r="L558" s="9">
        <v>1</v>
      </c>
      <c r="M558" s="10" t="s">
        <v>401</v>
      </c>
      <c r="N558" s="9">
        <v>2</v>
      </c>
      <c r="O558" s="10" t="s">
        <v>145</v>
      </c>
      <c r="P558" s="9">
        <v>2</v>
      </c>
      <c r="Q558" s="10" t="s">
        <v>145</v>
      </c>
      <c r="R558" s="12">
        <v>43291</v>
      </c>
      <c r="S558" s="10" t="s">
        <v>145</v>
      </c>
      <c r="T558" s="9"/>
      <c r="U558" s="10" t="s">
        <v>401</v>
      </c>
      <c r="V558" s="10" t="s">
        <v>401</v>
      </c>
      <c r="W558" s="9"/>
      <c r="X558" s="9"/>
      <c r="Y558" s="9">
        <v>2</v>
      </c>
      <c r="Z558" s="14">
        <v>1</v>
      </c>
      <c r="AA558" s="17">
        <v>10.8</v>
      </c>
      <c r="AB558" s="18">
        <v>91</v>
      </c>
      <c r="AC558" s="18">
        <v>16</v>
      </c>
      <c r="AD558" s="9">
        <v>2</v>
      </c>
      <c r="AE558" s="9">
        <v>2</v>
      </c>
      <c r="AF558" s="9">
        <v>1</v>
      </c>
      <c r="AG558" s="9">
        <v>1</v>
      </c>
      <c r="AH558" s="9">
        <v>1</v>
      </c>
      <c r="AI558" s="9">
        <v>0</v>
      </c>
      <c r="AJ558" s="12">
        <v>43427</v>
      </c>
      <c r="AK558" s="9">
        <v>2</v>
      </c>
      <c r="AL558" s="12">
        <v>43493</v>
      </c>
      <c r="AM558" s="9">
        <v>4</v>
      </c>
      <c r="AN558" s="12">
        <v>43502</v>
      </c>
      <c r="AO558" s="12">
        <v>43502</v>
      </c>
      <c r="AP558" s="12">
        <v>43502</v>
      </c>
      <c r="AQ558" s="9">
        <v>1</v>
      </c>
      <c r="AR558" s="9">
        <f t="shared" si="195"/>
        <v>1</v>
      </c>
      <c r="AS558" s="9">
        <v>1</v>
      </c>
      <c r="AT558" s="9">
        <v>2</v>
      </c>
      <c r="AU558" s="9">
        <v>2</v>
      </c>
      <c r="AV558" s="9">
        <f t="shared" si="196"/>
        <v>1</v>
      </c>
      <c r="AW558" s="12">
        <v>43502</v>
      </c>
      <c r="AX558" s="9">
        <v>9200</v>
      </c>
      <c r="AY558" s="9">
        <v>6800</v>
      </c>
      <c r="AZ558" s="9">
        <v>1300</v>
      </c>
      <c r="BA558" s="9">
        <v>6800</v>
      </c>
      <c r="BB558" s="9">
        <v>1300.000244140625</v>
      </c>
      <c r="BC558" s="9">
        <v>900</v>
      </c>
      <c r="BD558" s="9">
        <v>900</v>
      </c>
      <c r="BE558" s="9">
        <v>100</v>
      </c>
      <c r="BF558" s="9">
        <v>186</v>
      </c>
      <c r="BG558" s="9">
        <v>22000</v>
      </c>
      <c r="BH558" s="9">
        <v>17800</v>
      </c>
      <c r="BI558" s="9">
        <v>2200</v>
      </c>
      <c r="BJ558" s="9">
        <v>296000</v>
      </c>
      <c r="BK558" s="9">
        <v>1700</v>
      </c>
      <c r="BL558" s="9">
        <v>200</v>
      </c>
      <c r="BM558" s="9">
        <v>199</v>
      </c>
      <c r="BN558" s="9">
        <v>20000</v>
      </c>
      <c r="BO558" s="9">
        <v>15200</v>
      </c>
      <c r="BP558" s="9">
        <v>2400</v>
      </c>
      <c r="BQ558" s="9">
        <v>301000</v>
      </c>
      <c r="BR558" s="9">
        <v>2100</v>
      </c>
      <c r="BS558" s="9">
        <v>100</v>
      </c>
      <c r="BT558" s="9">
        <v>197</v>
      </c>
      <c r="BU558" s="9">
        <v>28600</v>
      </c>
      <c r="BV558" s="9">
        <v>23100</v>
      </c>
      <c r="BW558" s="9">
        <v>2100</v>
      </c>
      <c r="BX558" s="9">
        <v>339000</v>
      </c>
      <c r="BY558" s="9">
        <v>3300</v>
      </c>
      <c r="BZ558" s="10" t="s">
        <v>525</v>
      </c>
      <c r="CA558" s="9">
        <v>100</v>
      </c>
      <c r="CB558" s="9">
        <v>292</v>
      </c>
      <c r="CC558" s="10">
        <f t="shared" si="197"/>
        <v>5.230768248428439</v>
      </c>
      <c r="CD558" s="10">
        <f t="shared" si="198"/>
        <v>0.6923075622919993</v>
      </c>
      <c r="CE558" s="10">
        <f t="shared" si="209"/>
        <v>4707.6914235855947</v>
      </c>
      <c r="CF558" s="10">
        <f t="shared" si="207"/>
        <v>0</v>
      </c>
      <c r="CG558" s="10">
        <f t="shared" si="192"/>
        <v>0</v>
      </c>
      <c r="CH558" s="10">
        <f t="shared" si="193"/>
        <v>2</v>
      </c>
      <c r="CI558" s="9">
        <f t="shared" si="199"/>
        <v>1</v>
      </c>
      <c r="CJ558" s="10">
        <f t="shared" si="194"/>
        <v>3</v>
      </c>
      <c r="CK558" s="10" t="b">
        <f t="shared" si="200"/>
        <v>0</v>
      </c>
      <c r="CL558" s="10" t="b">
        <f t="shared" si="201"/>
        <v>0</v>
      </c>
      <c r="CM558" s="10" t="b">
        <f t="shared" si="202"/>
        <v>0</v>
      </c>
      <c r="CN558" s="9">
        <f t="shared" si="203"/>
        <v>1</v>
      </c>
      <c r="CO558" s="10">
        <f>(YEAR(AO558)-YEAR(AJ558))*12+MONTH(AO558)-MONTH(AJ558)</f>
        <v>3</v>
      </c>
      <c r="CP558" s="10" t="b">
        <f t="shared" si="204"/>
        <v>1</v>
      </c>
      <c r="CQ558" s="10" t="b">
        <f t="shared" si="205"/>
        <v>0</v>
      </c>
      <c r="CR558" s="10" cm="1">
        <f t="array" ref="CR558">_xlfn.IFS(AND($CI558=0, CK558=FALSE), NA(), AND($CI558=1, CK558=FALSE), 0, CK558=TRUE, 1)</f>
        <v>0</v>
      </c>
      <c r="CS558" s="10" cm="1">
        <f t="array" ref="CS558">_xlfn.IFS(AND($CI558=0, CL558=FALSE), NA(), AND($CI558=1, CL558=FALSE), 0, CL558=TRUE, 1)</f>
        <v>0</v>
      </c>
      <c r="CT558" s="10" cm="1">
        <f t="array" ref="CT558">_xlfn.IFS(AND($CI558=0, CM558=FALSE), NA(), AND($CI558=1, CM558=FALSE), 0, CM558=TRUE, 1)</f>
        <v>0</v>
      </c>
      <c r="CU558" s="10" cm="1">
        <f t="array" ref="CU558">_xlfn.IFS(AND($CN558=0, CP558=FALSE), NA(), AND($CN558=1, CP558=FALSE), 0, CP558=TRUE, 1)</f>
        <v>1</v>
      </c>
      <c r="CV558" s="10" cm="1">
        <f t="array" ref="CV558">_xlfn.IFS(AND($CN558=0, CQ558=FALSE), NA(), AND($CN558=1, CQ558=FALSE), 0, CQ558=TRUE, 1)</f>
        <v>0</v>
      </c>
    </row>
    <row r="559" spans="1:100" ht="15.75" x14ac:dyDescent="0.25">
      <c r="A559" s="8">
        <v>558</v>
      </c>
      <c r="B559" s="9">
        <v>404</v>
      </c>
      <c r="C559" s="10" t="s">
        <v>29</v>
      </c>
      <c r="D559" s="11" t="s">
        <v>317</v>
      </c>
      <c r="E559" s="12">
        <v>22735</v>
      </c>
      <c r="F559" s="13">
        <v>1</v>
      </c>
      <c r="G559" s="9">
        <v>56.2874755859375</v>
      </c>
      <c r="H559" s="12">
        <v>43294</v>
      </c>
      <c r="I559" s="9">
        <v>1</v>
      </c>
      <c r="J559" s="12">
        <v>43294</v>
      </c>
      <c r="K559" s="9">
        <v>1</v>
      </c>
      <c r="L559" s="9">
        <v>1</v>
      </c>
      <c r="M559" s="10" t="s">
        <v>401</v>
      </c>
      <c r="N559" s="9">
        <v>2</v>
      </c>
      <c r="O559" s="10" t="s">
        <v>411</v>
      </c>
      <c r="P559" s="9">
        <v>2</v>
      </c>
      <c r="Q559" s="10" t="s">
        <v>145</v>
      </c>
      <c r="R559" s="12">
        <v>43297</v>
      </c>
      <c r="S559" s="10" t="s">
        <v>145</v>
      </c>
      <c r="T559" s="9"/>
      <c r="U559" s="10" t="s">
        <v>401</v>
      </c>
      <c r="V559" s="10" t="s">
        <v>401</v>
      </c>
      <c r="W559" s="9"/>
      <c r="X559" s="9"/>
      <c r="Y559" s="9">
        <v>2</v>
      </c>
      <c r="Z559" s="14">
        <v>1</v>
      </c>
      <c r="AA559" s="17">
        <v>14.9</v>
      </c>
      <c r="AB559" s="18">
        <v>107</v>
      </c>
      <c r="AC559" s="18"/>
      <c r="AD559" s="9">
        <v>2</v>
      </c>
      <c r="AE559" s="9">
        <v>2</v>
      </c>
      <c r="AF559" s="9">
        <v>1</v>
      </c>
      <c r="AG559" s="9">
        <v>1</v>
      </c>
      <c r="AH559" s="9">
        <v>1</v>
      </c>
      <c r="AI559" s="9">
        <v>0</v>
      </c>
      <c r="AJ559" s="12">
        <v>43741</v>
      </c>
      <c r="AK559" s="9">
        <v>2</v>
      </c>
      <c r="AL559" s="12">
        <v>43844</v>
      </c>
      <c r="AM559" s="9">
        <v>2</v>
      </c>
      <c r="AN559" s="12">
        <v>43242</v>
      </c>
      <c r="AO559" s="12">
        <v>43848</v>
      </c>
      <c r="AP559" s="12">
        <v>43848</v>
      </c>
      <c r="AQ559" s="9">
        <v>1</v>
      </c>
      <c r="AR559" s="9">
        <f t="shared" si="195"/>
        <v>1</v>
      </c>
      <c r="AS559" s="9">
        <v>1</v>
      </c>
      <c r="AT559" s="9">
        <v>2</v>
      </c>
      <c r="AU559" s="9">
        <v>2</v>
      </c>
      <c r="AV559" s="9">
        <f t="shared" si="196"/>
        <v>1</v>
      </c>
      <c r="AW559" s="12">
        <v>44526</v>
      </c>
      <c r="AX559" s="9">
        <v>3080</v>
      </c>
      <c r="AY559" s="9">
        <v>1250</v>
      </c>
      <c r="AZ559" s="9">
        <v>870</v>
      </c>
      <c r="BA559" s="9">
        <v>1250</v>
      </c>
      <c r="BB559" s="9">
        <v>869.99993896484375</v>
      </c>
      <c r="BC559" s="9">
        <v>133000</v>
      </c>
      <c r="BD559" s="9">
        <v>70</v>
      </c>
      <c r="BE559" s="9">
        <v>5</v>
      </c>
      <c r="BF559" s="9"/>
      <c r="BG559" s="9">
        <v>3330</v>
      </c>
      <c r="BH559" s="9">
        <v>6800</v>
      </c>
      <c r="BI559" s="9">
        <v>1400</v>
      </c>
      <c r="BJ559" s="9">
        <v>200000</v>
      </c>
      <c r="BK559" s="9">
        <v>60</v>
      </c>
      <c r="BL559" s="9">
        <v>10</v>
      </c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10" t="s">
        <v>401</v>
      </c>
      <c r="CA559" s="9"/>
      <c r="CB559" s="9"/>
      <c r="CC559" s="10">
        <f t="shared" si="197"/>
        <v>1.4367817099933289</v>
      </c>
      <c r="CD559" s="10">
        <f t="shared" si="198"/>
        <v>152.87357394329021</v>
      </c>
      <c r="CE559" s="10">
        <f t="shared" si="209"/>
        <v>191091.96742911273</v>
      </c>
      <c r="CF559" s="10">
        <f t="shared" si="207"/>
        <v>1</v>
      </c>
      <c r="CG559" s="10">
        <f t="shared" si="192"/>
        <v>1</v>
      </c>
      <c r="CH559" s="10">
        <f t="shared" si="193"/>
        <v>3</v>
      </c>
      <c r="CI559" s="9">
        <f t="shared" si="199"/>
        <v>1</v>
      </c>
      <c r="CJ559" s="10">
        <f t="shared" si="194"/>
        <v>25</v>
      </c>
      <c r="CK559" s="10" t="b">
        <f t="shared" si="200"/>
        <v>1</v>
      </c>
      <c r="CL559" s="10" t="b">
        <f t="shared" si="201"/>
        <v>1</v>
      </c>
      <c r="CM559" s="10" t="b">
        <f t="shared" si="202"/>
        <v>1</v>
      </c>
      <c r="CN559" s="9">
        <f t="shared" si="203"/>
        <v>1</v>
      </c>
      <c r="CO559" s="10">
        <f>(YEAR(AO559)-YEAR(AJ559))*12+MONTH(AO559)-MONTH(AJ559)</f>
        <v>3</v>
      </c>
      <c r="CP559" s="10" t="b">
        <f t="shared" si="204"/>
        <v>1</v>
      </c>
      <c r="CQ559" s="10" t="b">
        <f t="shared" si="205"/>
        <v>0</v>
      </c>
      <c r="CR559" s="10" cm="1">
        <f t="array" ref="CR559">_xlfn.IFS(AND($CI559=0, CK559=FALSE), NA(), AND($CI559=1, CK559=FALSE), 0, CK559=TRUE, 1)</f>
        <v>1</v>
      </c>
      <c r="CS559" s="10" cm="1">
        <f t="array" ref="CS559">_xlfn.IFS(AND($CI559=0, CL559=FALSE), NA(), AND($CI559=1, CL559=FALSE), 0, CL559=TRUE, 1)</f>
        <v>1</v>
      </c>
      <c r="CT559" s="10" cm="1">
        <f t="array" ref="CT559">_xlfn.IFS(AND($CI559=0, CM559=FALSE), NA(), AND($CI559=1, CM559=FALSE), 0, CM559=TRUE, 1)</f>
        <v>1</v>
      </c>
      <c r="CU559" s="10" cm="1">
        <f t="array" ref="CU559">_xlfn.IFS(AND($CN559=0, CP559=FALSE), NA(), AND($CN559=1, CP559=FALSE), 0, CP559=TRUE, 1)</f>
        <v>1</v>
      </c>
      <c r="CV559" s="10" cm="1">
        <f t="array" ref="CV559">_xlfn.IFS(AND($CN559=0, CQ559=FALSE), NA(), AND($CN559=1, CQ559=FALSE), 0, CQ559=TRUE, 1)</f>
        <v>0</v>
      </c>
    </row>
    <row r="560" spans="1:100" ht="15.75" x14ac:dyDescent="0.25">
      <c r="A560" s="8">
        <v>559</v>
      </c>
      <c r="B560" s="9">
        <v>147</v>
      </c>
      <c r="C560" s="10" t="s">
        <v>16</v>
      </c>
      <c r="D560" s="11" t="s">
        <v>185</v>
      </c>
      <c r="E560" s="12">
        <v>17774</v>
      </c>
      <c r="F560" s="13">
        <v>2</v>
      </c>
      <c r="G560" s="9">
        <v>69.897331237792969</v>
      </c>
      <c r="H560" s="12">
        <v>43304</v>
      </c>
      <c r="I560" s="9">
        <v>0</v>
      </c>
      <c r="J560" s="12"/>
      <c r="K560" s="9">
        <v>1</v>
      </c>
      <c r="L560" s="9">
        <v>1</v>
      </c>
      <c r="M560" s="10" t="s">
        <v>401</v>
      </c>
      <c r="N560" s="9">
        <v>3</v>
      </c>
      <c r="O560" s="10" t="s">
        <v>429</v>
      </c>
      <c r="P560" s="9">
        <v>3</v>
      </c>
      <c r="Q560" s="10" t="s">
        <v>441</v>
      </c>
      <c r="R560" s="12">
        <v>43304</v>
      </c>
      <c r="S560" s="10" t="s">
        <v>145</v>
      </c>
      <c r="T560" s="9"/>
      <c r="U560" s="10" t="s">
        <v>401</v>
      </c>
      <c r="V560" s="10" t="s">
        <v>401</v>
      </c>
      <c r="W560" s="9"/>
      <c r="X560" s="9"/>
      <c r="Y560" s="9">
        <v>2</v>
      </c>
      <c r="Z560" s="14">
        <v>1</v>
      </c>
      <c r="AA560" s="15">
        <v>8.6999999999999993</v>
      </c>
      <c r="AB560" s="16">
        <v>96</v>
      </c>
      <c r="AC560" s="16">
        <v>21</v>
      </c>
      <c r="AD560" s="9">
        <v>3</v>
      </c>
      <c r="AE560" s="9">
        <v>3</v>
      </c>
      <c r="AF560" s="9">
        <v>2</v>
      </c>
      <c r="AG560" s="9">
        <v>1</v>
      </c>
      <c r="AH560" s="9">
        <v>0</v>
      </c>
      <c r="AI560" s="9">
        <v>1</v>
      </c>
      <c r="AJ560" s="12">
        <v>43398</v>
      </c>
      <c r="AK560" s="9">
        <v>2</v>
      </c>
      <c r="AL560" s="12">
        <v>43419</v>
      </c>
      <c r="AM560" s="9">
        <v>4</v>
      </c>
      <c r="AN560" s="12">
        <v>43435</v>
      </c>
      <c r="AO560" s="12">
        <v>43435</v>
      </c>
      <c r="AP560" s="12">
        <v>43435</v>
      </c>
      <c r="AQ560" s="9">
        <v>1</v>
      </c>
      <c r="AR560" s="9">
        <f t="shared" si="195"/>
        <v>1</v>
      </c>
      <c r="AS560" s="9">
        <v>1</v>
      </c>
      <c r="AT560" s="9">
        <v>2</v>
      </c>
      <c r="AU560" s="9">
        <v>2</v>
      </c>
      <c r="AV560" s="9">
        <f t="shared" si="196"/>
        <v>1</v>
      </c>
      <c r="AW560" s="12">
        <v>43435</v>
      </c>
      <c r="AX560" s="9">
        <v>6640</v>
      </c>
      <c r="AY560" s="9">
        <v>4500</v>
      </c>
      <c r="AZ560" s="9"/>
      <c r="BA560" s="9">
        <v>4500</v>
      </c>
      <c r="BB560" s="9">
        <v>1030.222412109375</v>
      </c>
      <c r="BC560" s="9">
        <v>336000</v>
      </c>
      <c r="BD560" s="9"/>
      <c r="BE560" s="9"/>
      <c r="BF560" s="9">
        <v>231</v>
      </c>
      <c r="BG560" s="9">
        <v>17900</v>
      </c>
      <c r="BH560" s="9">
        <v>16500</v>
      </c>
      <c r="BI560" s="9">
        <v>400</v>
      </c>
      <c r="BJ560" s="9">
        <v>265000</v>
      </c>
      <c r="BK560" s="9">
        <v>900</v>
      </c>
      <c r="BL560" s="9">
        <v>100</v>
      </c>
      <c r="BM560" s="9">
        <v>168</v>
      </c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10" t="s">
        <v>401</v>
      </c>
      <c r="CA560" s="9"/>
      <c r="CB560" s="9"/>
      <c r="CC560" s="10">
        <f t="shared" si="197"/>
        <v>4.3679888411535073</v>
      </c>
      <c r="CD560" s="10">
        <f t="shared" si="198"/>
        <v>326.14316680612853</v>
      </c>
      <c r="CE560" s="10">
        <f t="shared" si="209"/>
        <v>1467644.2506275785</v>
      </c>
      <c r="CF560" s="10">
        <f t="shared" si="207"/>
        <v>0</v>
      </c>
      <c r="CG560" s="10">
        <f t="shared" si="192"/>
        <v>0</v>
      </c>
      <c r="CH560" s="10">
        <f t="shared" si="193"/>
        <v>1</v>
      </c>
      <c r="CI560" s="9">
        <f t="shared" si="199"/>
        <v>1</v>
      </c>
      <c r="CJ560" s="10">
        <f t="shared" si="194"/>
        <v>2</v>
      </c>
      <c r="CK560" s="10" t="b">
        <f t="shared" si="200"/>
        <v>0</v>
      </c>
      <c r="CL560" s="10" t="b">
        <f t="shared" si="201"/>
        <v>0</v>
      </c>
      <c r="CM560" s="10" t="b">
        <f t="shared" si="202"/>
        <v>0</v>
      </c>
      <c r="CN560" s="9">
        <f t="shared" si="203"/>
        <v>1</v>
      </c>
      <c r="CO560" s="10">
        <f>(YEAR(AO560)-YEAR(AJ560))*12+MONTH(AO560)-MONTH(AJ560)</f>
        <v>2</v>
      </c>
      <c r="CP560" s="10" t="b">
        <f t="shared" si="204"/>
        <v>0</v>
      </c>
      <c r="CQ560" s="10" t="b">
        <f t="shared" si="205"/>
        <v>0</v>
      </c>
      <c r="CR560" s="10" cm="1">
        <f t="array" ref="CR560">_xlfn.IFS(AND($CI560=0, CK560=FALSE), NA(), AND($CI560=1, CK560=FALSE), 0, CK560=TRUE, 1)</f>
        <v>0</v>
      </c>
      <c r="CS560" s="10" cm="1">
        <f t="array" ref="CS560">_xlfn.IFS(AND($CI560=0, CL560=FALSE), NA(), AND($CI560=1, CL560=FALSE), 0, CL560=TRUE, 1)</f>
        <v>0</v>
      </c>
      <c r="CT560" s="10" cm="1">
        <f t="array" ref="CT560">_xlfn.IFS(AND($CI560=0, CM560=FALSE), NA(), AND($CI560=1, CM560=FALSE), 0, CM560=TRUE, 1)</f>
        <v>0</v>
      </c>
      <c r="CU560" s="10" cm="1">
        <f t="array" ref="CU560">_xlfn.IFS(AND($CN560=0, CP560=FALSE), NA(), AND($CN560=1, CP560=FALSE), 0, CP560=TRUE, 1)</f>
        <v>0</v>
      </c>
      <c r="CV560" s="10" cm="1">
        <f t="array" ref="CV560">_xlfn.IFS(AND($CN560=0, CQ560=FALSE), NA(), AND($CN560=1, CQ560=FALSE), 0, CQ560=TRUE, 1)</f>
        <v>0</v>
      </c>
    </row>
    <row r="561" spans="1:100" ht="15.75" x14ac:dyDescent="0.25">
      <c r="A561" s="8">
        <v>560</v>
      </c>
      <c r="B561" s="9">
        <v>245</v>
      </c>
      <c r="C561" s="10" t="s">
        <v>20</v>
      </c>
      <c r="D561" s="11" t="s">
        <v>44</v>
      </c>
      <c r="E561" s="12">
        <v>17294</v>
      </c>
      <c r="F561" s="13">
        <v>2</v>
      </c>
      <c r="G561" s="9">
        <v>71.274467468261719</v>
      </c>
      <c r="H561" s="12">
        <v>43327</v>
      </c>
      <c r="I561" s="9">
        <v>1</v>
      </c>
      <c r="J561" s="12">
        <v>43327</v>
      </c>
      <c r="K561" s="9">
        <v>1</v>
      </c>
      <c r="L561" s="9">
        <v>1</v>
      </c>
      <c r="M561" s="10" t="s">
        <v>401</v>
      </c>
      <c r="N561" s="9">
        <v>2</v>
      </c>
      <c r="O561" s="10" t="s">
        <v>432</v>
      </c>
      <c r="P561" s="9">
        <v>2</v>
      </c>
      <c r="Q561" s="10" t="s">
        <v>148</v>
      </c>
      <c r="R561" s="12">
        <v>43668</v>
      </c>
      <c r="S561" s="10" t="s">
        <v>148</v>
      </c>
      <c r="T561" s="9"/>
      <c r="U561" s="10" t="s">
        <v>401</v>
      </c>
      <c r="V561" s="10" t="s">
        <v>401</v>
      </c>
      <c r="W561" s="9"/>
      <c r="X561" s="9"/>
      <c r="Y561" s="9">
        <v>2</v>
      </c>
      <c r="Z561" s="40"/>
      <c r="AB561" s="9"/>
      <c r="AC561" s="9"/>
      <c r="AD561" s="9">
        <v>2</v>
      </c>
      <c r="AE561" s="9">
        <v>2</v>
      </c>
      <c r="AF561" s="9">
        <v>1</v>
      </c>
      <c r="AG561" s="9">
        <v>0</v>
      </c>
      <c r="AH561" s="9">
        <v>1</v>
      </c>
      <c r="AI561" s="9">
        <v>0</v>
      </c>
      <c r="AJ561" s="12">
        <v>43902</v>
      </c>
      <c r="AK561" s="9">
        <v>1</v>
      </c>
      <c r="AL561" s="12">
        <v>44972</v>
      </c>
      <c r="AM561" s="9">
        <v>2</v>
      </c>
      <c r="AN561" s="12">
        <v>44167</v>
      </c>
      <c r="AO561" s="12"/>
      <c r="AP561" s="12"/>
      <c r="AQ561" s="9">
        <v>2</v>
      </c>
      <c r="AR561" s="9">
        <f t="shared" si="195"/>
        <v>0</v>
      </c>
      <c r="AS561" s="9">
        <v>2</v>
      </c>
      <c r="AT561" s="9"/>
      <c r="AU561" s="9">
        <v>1</v>
      </c>
      <c r="AV561" s="9">
        <f t="shared" si="196"/>
        <v>0</v>
      </c>
      <c r="AW561" s="12">
        <v>44972</v>
      </c>
      <c r="AX561" s="9">
        <v>8400</v>
      </c>
      <c r="AY561" s="9">
        <v>6100</v>
      </c>
      <c r="AZ561" s="9"/>
      <c r="BA561" s="9">
        <v>6100</v>
      </c>
      <c r="BB561" s="9">
        <v>1294.5054931640625</v>
      </c>
      <c r="BC561" s="9">
        <v>356000</v>
      </c>
      <c r="BD561" s="9"/>
      <c r="BE561" s="9"/>
      <c r="BF561" s="9"/>
      <c r="BG561" s="9">
        <v>8560</v>
      </c>
      <c r="BH561" s="9">
        <v>6330</v>
      </c>
      <c r="BI561" s="9"/>
      <c r="BJ561" s="9">
        <v>443</v>
      </c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10" t="s">
        <v>401</v>
      </c>
      <c r="CA561" s="9"/>
      <c r="CB561" s="9"/>
      <c r="CC561" s="10">
        <f t="shared" si="197"/>
        <v>4.7122241135417884</v>
      </c>
      <c r="CD561" s="10">
        <f t="shared" si="198"/>
        <v>275.00848924932404</v>
      </c>
      <c r="CE561" s="10">
        <f t="shared" si="209"/>
        <v>1677551.7844208768</v>
      </c>
      <c r="CF561" s="10">
        <f t="shared" si="207"/>
        <v>1</v>
      </c>
      <c r="CG561" s="10">
        <f t="shared" si="192"/>
        <v>1</v>
      </c>
      <c r="CH561" s="10">
        <f t="shared" si="193"/>
        <v>35</v>
      </c>
      <c r="CI561" s="9">
        <f t="shared" si="199"/>
        <v>0</v>
      </c>
      <c r="CJ561" s="10">
        <f t="shared" si="194"/>
        <v>35</v>
      </c>
      <c r="CK561" s="10" t="b">
        <f t="shared" si="200"/>
        <v>1</v>
      </c>
      <c r="CL561" s="10" t="b">
        <f t="shared" si="201"/>
        <v>1</v>
      </c>
      <c r="CM561" s="10" t="b">
        <f t="shared" si="202"/>
        <v>1</v>
      </c>
      <c r="CN561" s="9">
        <f t="shared" si="203"/>
        <v>0</v>
      </c>
      <c r="CO561" s="10">
        <f>CJ561</f>
        <v>35</v>
      </c>
      <c r="CP561" s="10" t="b">
        <f t="shared" si="204"/>
        <v>1</v>
      </c>
      <c r="CQ561" s="10" t="b">
        <f t="shared" si="205"/>
        <v>1</v>
      </c>
      <c r="CR561" s="10" cm="1">
        <f t="array" ref="CR561">_xlfn.IFS(AND($CI561=0, CK561=FALSE), NA(), AND($CI561=1, CK561=FALSE), 0, CK561=TRUE, 1)</f>
        <v>1</v>
      </c>
      <c r="CS561" s="10" cm="1">
        <f t="array" ref="CS561">_xlfn.IFS(AND($CI561=0, CL561=FALSE), NA(), AND($CI561=1, CL561=FALSE), 0, CL561=TRUE, 1)</f>
        <v>1</v>
      </c>
      <c r="CT561" s="10" cm="1">
        <f t="array" ref="CT561">_xlfn.IFS(AND($CI561=0, CM561=FALSE), NA(), AND($CI561=1, CM561=FALSE), 0, CM561=TRUE, 1)</f>
        <v>1</v>
      </c>
      <c r="CU561" s="10" cm="1">
        <f t="array" ref="CU561">_xlfn.IFS(AND($CN561=0, CP561=FALSE), NA(), AND($CN561=1, CP561=FALSE), 0, CP561=TRUE, 1)</f>
        <v>1</v>
      </c>
      <c r="CV561" s="10" cm="1">
        <f t="array" ref="CV561">_xlfn.IFS(AND($CN561=0, CQ561=FALSE), NA(), AND($CN561=1, CQ561=FALSE), 0, CQ561=TRUE, 1)</f>
        <v>1</v>
      </c>
    </row>
    <row r="562" spans="1:100" ht="15.75" x14ac:dyDescent="0.25">
      <c r="A562" s="8">
        <v>561</v>
      </c>
      <c r="B562" s="9">
        <v>402</v>
      </c>
      <c r="C562" s="10" t="s">
        <v>29</v>
      </c>
      <c r="D562" s="11" t="s">
        <v>316</v>
      </c>
      <c r="E562" s="12">
        <v>22290</v>
      </c>
      <c r="F562" s="13">
        <v>2</v>
      </c>
      <c r="G562" s="9">
        <v>57.629020690917969</v>
      </c>
      <c r="H562" s="12">
        <v>43339</v>
      </c>
      <c r="I562" s="9">
        <v>0</v>
      </c>
      <c r="J562" s="12"/>
      <c r="K562" s="9">
        <v>1</v>
      </c>
      <c r="L562" s="9">
        <v>1</v>
      </c>
      <c r="M562" s="10" t="s">
        <v>401</v>
      </c>
      <c r="N562" s="9">
        <v>3</v>
      </c>
      <c r="O562" s="10" t="s">
        <v>424</v>
      </c>
      <c r="P562" s="9">
        <v>2</v>
      </c>
      <c r="Q562" s="10" t="s">
        <v>409</v>
      </c>
      <c r="R562" s="12">
        <v>43719</v>
      </c>
      <c r="S562" s="10" t="s">
        <v>145</v>
      </c>
      <c r="T562" s="9"/>
      <c r="U562" s="10" t="s">
        <v>401</v>
      </c>
      <c r="V562" s="10" t="s">
        <v>401</v>
      </c>
      <c r="W562" s="9"/>
      <c r="X562" s="9"/>
      <c r="Y562" s="9">
        <v>2</v>
      </c>
      <c r="Z562" s="14">
        <v>1</v>
      </c>
      <c r="AA562" s="17">
        <v>12.1</v>
      </c>
      <c r="AB562" s="18">
        <v>89</v>
      </c>
      <c r="AC562" s="18">
        <v>21</v>
      </c>
      <c r="AD562" s="9">
        <v>3</v>
      </c>
      <c r="AE562" s="9">
        <v>3</v>
      </c>
      <c r="AF562" s="9">
        <v>1</v>
      </c>
      <c r="AG562" s="9">
        <v>0</v>
      </c>
      <c r="AH562" s="9">
        <v>0</v>
      </c>
      <c r="AI562" s="9">
        <v>1</v>
      </c>
      <c r="AJ562" s="12">
        <v>43452</v>
      </c>
      <c r="AK562" s="9">
        <v>2</v>
      </c>
      <c r="AL562" s="12">
        <v>43480</v>
      </c>
      <c r="AM562" s="9">
        <v>4</v>
      </c>
      <c r="AN562" s="12">
        <v>43496</v>
      </c>
      <c r="AO562" s="12">
        <v>43496</v>
      </c>
      <c r="AP562" s="12">
        <v>43496</v>
      </c>
      <c r="AQ562" s="9">
        <v>1</v>
      </c>
      <c r="AR562" s="9">
        <f t="shared" si="195"/>
        <v>1</v>
      </c>
      <c r="AS562" s="9">
        <v>1</v>
      </c>
      <c r="AT562" s="9">
        <v>2</v>
      </c>
      <c r="AU562" s="9">
        <v>2</v>
      </c>
      <c r="AV562" s="9">
        <f t="shared" si="196"/>
        <v>1</v>
      </c>
      <c r="AW562" s="12">
        <v>43549</v>
      </c>
      <c r="AX562" s="9">
        <v>4250</v>
      </c>
      <c r="AY562" s="9">
        <v>3430</v>
      </c>
      <c r="AZ562" s="9">
        <v>640</v>
      </c>
      <c r="BA562" s="9">
        <v>3430</v>
      </c>
      <c r="BB562" s="9">
        <v>640</v>
      </c>
      <c r="BC562" s="9">
        <v>284000</v>
      </c>
      <c r="BD562" s="9">
        <v>64</v>
      </c>
      <c r="BE562" s="9">
        <v>15</v>
      </c>
      <c r="BF562" s="9"/>
      <c r="BG562" s="9">
        <v>4040</v>
      </c>
      <c r="BH562" s="9">
        <v>2530</v>
      </c>
      <c r="BI562" s="9">
        <v>1070</v>
      </c>
      <c r="BJ562" s="9">
        <v>296000</v>
      </c>
      <c r="BK562" s="9">
        <v>39</v>
      </c>
      <c r="BL562" s="9">
        <v>4</v>
      </c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10" t="s">
        <v>401</v>
      </c>
      <c r="CA562" s="9"/>
      <c r="CB562" s="9"/>
      <c r="CC562" s="10">
        <f t="shared" si="197"/>
        <v>5.359375</v>
      </c>
      <c r="CD562" s="10">
        <f t="shared" si="198"/>
        <v>443.75</v>
      </c>
      <c r="CE562" s="10">
        <f t="shared" si="209"/>
        <v>1522062.5</v>
      </c>
      <c r="CF562" s="10">
        <f t="shared" si="207"/>
        <v>0</v>
      </c>
      <c r="CG562" s="10">
        <f t="shared" si="192"/>
        <v>0</v>
      </c>
      <c r="CH562" s="10">
        <f t="shared" si="193"/>
        <v>1</v>
      </c>
      <c r="CI562" s="9">
        <f t="shared" si="199"/>
        <v>1</v>
      </c>
      <c r="CJ562" s="10">
        <f t="shared" si="194"/>
        <v>3</v>
      </c>
      <c r="CK562" s="10" t="b">
        <f t="shared" si="200"/>
        <v>0</v>
      </c>
      <c r="CL562" s="10" t="b">
        <f t="shared" si="201"/>
        <v>0</v>
      </c>
      <c r="CM562" s="10" t="b">
        <f t="shared" si="202"/>
        <v>0</v>
      </c>
      <c r="CN562" s="9">
        <f t="shared" si="203"/>
        <v>1</v>
      </c>
      <c r="CO562" s="10">
        <f t="shared" ref="CO562:CO568" si="210">(YEAR(AO562)-YEAR(AJ562))*12+MONTH(AO562)-MONTH(AJ562)</f>
        <v>1</v>
      </c>
      <c r="CP562" s="10" t="b">
        <f t="shared" si="204"/>
        <v>0</v>
      </c>
      <c r="CQ562" s="10" t="b">
        <f t="shared" si="205"/>
        <v>0</v>
      </c>
      <c r="CR562" s="10" cm="1">
        <f t="array" ref="CR562">_xlfn.IFS(AND($CI562=0, CK562=FALSE), NA(), AND($CI562=1, CK562=FALSE), 0, CK562=TRUE, 1)</f>
        <v>0</v>
      </c>
      <c r="CS562" s="10" cm="1">
        <f t="array" ref="CS562">_xlfn.IFS(AND($CI562=0, CL562=FALSE), NA(), AND($CI562=1, CL562=FALSE), 0, CL562=TRUE, 1)</f>
        <v>0</v>
      </c>
      <c r="CT562" s="10" cm="1">
        <f t="array" ref="CT562">_xlfn.IFS(AND($CI562=0, CM562=FALSE), NA(), AND($CI562=1, CM562=FALSE), 0, CM562=TRUE, 1)</f>
        <v>0</v>
      </c>
      <c r="CU562" s="10" cm="1">
        <f t="array" ref="CU562">_xlfn.IFS(AND($CN562=0, CP562=FALSE), NA(), AND($CN562=1, CP562=FALSE), 0, CP562=TRUE, 1)</f>
        <v>0</v>
      </c>
      <c r="CV562" s="10" cm="1">
        <f t="array" ref="CV562">_xlfn.IFS(AND($CN562=0, CQ562=FALSE), NA(), AND($CN562=1, CQ562=FALSE), 0, CQ562=TRUE, 1)</f>
        <v>0</v>
      </c>
    </row>
    <row r="563" spans="1:100" ht="15.75" x14ac:dyDescent="0.25">
      <c r="A563" s="8">
        <v>562</v>
      </c>
      <c r="B563" s="9">
        <v>345</v>
      </c>
      <c r="C563" s="10" t="s">
        <v>27</v>
      </c>
      <c r="D563" s="11" t="s">
        <v>281</v>
      </c>
      <c r="E563" s="12">
        <v>21822</v>
      </c>
      <c r="F563" s="13">
        <v>1</v>
      </c>
      <c r="G563" s="9">
        <v>58.956878662109375</v>
      </c>
      <c r="H563" s="12">
        <v>43356</v>
      </c>
      <c r="I563" s="9">
        <v>1</v>
      </c>
      <c r="J563" s="12">
        <v>43374</v>
      </c>
      <c r="K563" s="9">
        <v>1</v>
      </c>
      <c r="L563" s="9">
        <v>1</v>
      </c>
      <c r="M563" s="10" t="s">
        <v>401</v>
      </c>
      <c r="N563" s="9">
        <v>2</v>
      </c>
      <c r="O563" s="10" t="s">
        <v>409</v>
      </c>
      <c r="P563" s="9">
        <v>2</v>
      </c>
      <c r="Q563" s="10" t="s">
        <v>409</v>
      </c>
      <c r="R563" s="12">
        <v>43535</v>
      </c>
      <c r="S563" s="10" t="s">
        <v>145</v>
      </c>
      <c r="T563" s="9"/>
      <c r="U563" s="10" t="s">
        <v>401</v>
      </c>
      <c r="V563" s="10" t="s">
        <v>401</v>
      </c>
      <c r="W563" s="9"/>
      <c r="X563" s="9"/>
      <c r="Y563" s="9">
        <v>2</v>
      </c>
      <c r="Z563" s="14">
        <v>1</v>
      </c>
      <c r="AA563" s="21"/>
      <c r="AB563" s="22"/>
      <c r="AC563" s="22"/>
      <c r="AD563" s="9">
        <v>1</v>
      </c>
      <c r="AE563" s="9">
        <v>1</v>
      </c>
      <c r="AF563" s="9">
        <v>1</v>
      </c>
      <c r="AG563" s="9">
        <v>1</v>
      </c>
      <c r="AH563" s="9">
        <v>1</v>
      </c>
      <c r="AI563" s="9">
        <v>0</v>
      </c>
      <c r="AJ563" s="12">
        <v>43538</v>
      </c>
      <c r="AK563" s="9">
        <v>2</v>
      </c>
      <c r="AL563" s="12">
        <v>44741</v>
      </c>
      <c r="AM563" s="9">
        <v>2</v>
      </c>
      <c r="AN563" s="12">
        <v>43822</v>
      </c>
      <c r="AO563" s="12">
        <v>44812</v>
      </c>
      <c r="AP563" s="12">
        <v>44812</v>
      </c>
      <c r="AQ563" s="9">
        <v>1</v>
      </c>
      <c r="AR563" s="9">
        <f t="shared" si="195"/>
        <v>1</v>
      </c>
      <c r="AS563" s="9">
        <v>1</v>
      </c>
      <c r="AT563" s="9">
        <v>2</v>
      </c>
      <c r="AU563" s="9">
        <v>1</v>
      </c>
      <c r="AV563" s="9">
        <f t="shared" si="196"/>
        <v>0</v>
      </c>
      <c r="AW563" s="12">
        <v>44911</v>
      </c>
      <c r="AX563" s="9">
        <v>12520</v>
      </c>
      <c r="AY563" s="9">
        <v>10000</v>
      </c>
      <c r="AZ563" s="9">
        <v>1600</v>
      </c>
      <c r="BA563" s="9">
        <v>10000</v>
      </c>
      <c r="BB563" s="9">
        <v>1600.0001220703125</v>
      </c>
      <c r="BC563" s="9">
        <v>340000</v>
      </c>
      <c r="BD563" s="9">
        <v>800</v>
      </c>
      <c r="BE563" s="9">
        <v>0</v>
      </c>
      <c r="BF563" s="9">
        <v>214</v>
      </c>
      <c r="BG563" s="9">
        <v>8120</v>
      </c>
      <c r="BH563" s="9">
        <v>5600</v>
      </c>
      <c r="BI563" s="9">
        <v>1400</v>
      </c>
      <c r="BJ563" s="9">
        <v>404000</v>
      </c>
      <c r="BK563" s="9">
        <v>700</v>
      </c>
      <c r="BL563" s="9">
        <v>200</v>
      </c>
      <c r="BM563" s="9">
        <v>297</v>
      </c>
      <c r="BN563" s="9">
        <v>13070</v>
      </c>
      <c r="BO563" s="9">
        <v>10500</v>
      </c>
      <c r="BP563" s="9">
        <v>1800</v>
      </c>
      <c r="BQ563" s="9">
        <v>488000</v>
      </c>
      <c r="BR563" s="9">
        <v>600</v>
      </c>
      <c r="BS563" s="9">
        <v>100</v>
      </c>
      <c r="BT563" s="9">
        <v>228</v>
      </c>
      <c r="BU563" s="9">
        <v>9320</v>
      </c>
      <c r="BV563" s="9">
        <v>6500</v>
      </c>
      <c r="BW563" s="9">
        <v>1900</v>
      </c>
      <c r="BX563" s="9">
        <v>204000</v>
      </c>
      <c r="BY563" s="9">
        <v>500</v>
      </c>
      <c r="BZ563" s="10" t="s">
        <v>542</v>
      </c>
      <c r="CA563" s="9">
        <v>300</v>
      </c>
      <c r="CB563" s="9">
        <v>186</v>
      </c>
      <c r="CC563" s="10">
        <f t="shared" si="197"/>
        <v>6.2499995231628782</v>
      </c>
      <c r="CD563" s="10">
        <f t="shared" si="198"/>
        <v>212.49998378753787</v>
      </c>
      <c r="CE563" s="10">
        <f t="shared" si="209"/>
        <v>2124999.8378753788</v>
      </c>
      <c r="CF563" s="10">
        <f t="shared" si="207"/>
        <v>1</v>
      </c>
      <c r="CG563" s="10">
        <f t="shared" si="192"/>
        <v>1</v>
      </c>
      <c r="CH563" s="10">
        <f t="shared" si="193"/>
        <v>39</v>
      </c>
      <c r="CI563" s="9">
        <f t="shared" si="199"/>
        <v>0</v>
      </c>
      <c r="CJ563" s="10">
        <f t="shared" si="194"/>
        <v>45</v>
      </c>
      <c r="CK563" s="10" t="b">
        <f t="shared" si="200"/>
        <v>1</v>
      </c>
      <c r="CL563" s="10" t="b">
        <f t="shared" si="201"/>
        <v>1</v>
      </c>
      <c r="CM563" s="10" t="b">
        <f t="shared" si="202"/>
        <v>1</v>
      </c>
      <c r="CN563" s="9">
        <f t="shared" si="203"/>
        <v>1</v>
      </c>
      <c r="CO563" s="10">
        <f t="shared" si="210"/>
        <v>42</v>
      </c>
      <c r="CP563" s="10" t="b">
        <f t="shared" si="204"/>
        <v>1</v>
      </c>
      <c r="CQ563" s="10" t="b">
        <f t="shared" si="205"/>
        <v>1</v>
      </c>
      <c r="CR563" s="10" cm="1">
        <f t="array" ref="CR563">_xlfn.IFS(AND($CI563=0, CK563=FALSE), NA(), AND($CI563=1, CK563=FALSE), 0, CK563=TRUE, 1)</f>
        <v>1</v>
      </c>
      <c r="CS563" s="10" cm="1">
        <f t="array" ref="CS563">_xlfn.IFS(AND($CI563=0, CL563=FALSE), NA(), AND($CI563=1, CL563=FALSE), 0, CL563=TRUE, 1)</f>
        <v>1</v>
      </c>
      <c r="CT563" s="10" cm="1">
        <f t="array" ref="CT563">_xlfn.IFS(AND($CI563=0, CM563=FALSE), NA(), AND($CI563=1, CM563=FALSE), 0, CM563=TRUE, 1)</f>
        <v>1</v>
      </c>
      <c r="CU563" s="10" cm="1">
        <f t="array" ref="CU563">_xlfn.IFS(AND($CN563=0, CP563=FALSE), NA(), AND($CN563=1, CP563=FALSE), 0, CP563=TRUE, 1)</f>
        <v>1</v>
      </c>
      <c r="CV563" s="10" cm="1">
        <f t="array" ref="CV563">_xlfn.IFS(AND($CN563=0, CQ563=FALSE), NA(), AND($CN563=1, CQ563=FALSE), 0, CQ563=TRUE, 1)</f>
        <v>1</v>
      </c>
    </row>
    <row r="564" spans="1:100" ht="15.75" x14ac:dyDescent="0.25">
      <c r="A564" s="8">
        <v>563</v>
      </c>
      <c r="B564" s="9">
        <v>394</v>
      </c>
      <c r="C564" s="10" t="s">
        <v>29</v>
      </c>
      <c r="D564" s="11" t="s">
        <v>308</v>
      </c>
      <c r="E564" s="12">
        <v>20909</v>
      </c>
      <c r="F564" s="13">
        <v>2</v>
      </c>
      <c r="G564" s="9">
        <v>61.492130279541016</v>
      </c>
      <c r="H564" s="12">
        <v>43369</v>
      </c>
      <c r="I564" s="9">
        <v>0</v>
      </c>
      <c r="J564" s="12"/>
      <c r="K564" s="9">
        <v>1</v>
      </c>
      <c r="L564" s="9">
        <v>1</v>
      </c>
      <c r="M564" s="10" t="s">
        <v>401</v>
      </c>
      <c r="N564" s="9">
        <v>2</v>
      </c>
      <c r="O564" s="10" t="s">
        <v>145</v>
      </c>
      <c r="P564" s="9">
        <v>2</v>
      </c>
      <c r="Q564" s="10" t="s">
        <v>145</v>
      </c>
      <c r="R564" s="12">
        <v>43359</v>
      </c>
      <c r="S564" s="10" t="s">
        <v>450</v>
      </c>
      <c r="T564" s="9"/>
      <c r="U564" s="10" t="s">
        <v>401</v>
      </c>
      <c r="V564" s="10" t="s">
        <v>401</v>
      </c>
      <c r="W564" s="9"/>
      <c r="X564" s="9"/>
      <c r="Y564" s="9">
        <v>2</v>
      </c>
      <c r="Z564" s="40" t="s">
        <v>498</v>
      </c>
      <c r="AA564" s="17">
        <v>13.6</v>
      </c>
      <c r="AB564" s="18">
        <v>72</v>
      </c>
      <c r="AC564" s="18">
        <v>15</v>
      </c>
      <c r="AD564" s="9">
        <v>2</v>
      </c>
      <c r="AE564" s="9">
        <v>2</v>
      </c>
      <c r="AF564" s="9">
        <v>1</v>
      </c>
      <c r="AG564" s="9">
        <v>0</v>
      </c>
      <c r="AH564" s="9">
        <v>1</v>
      </c>
      <c r="AI564" s="9">
        <v>0</v>
      </c>
      <c r="AJ564" s="12">
        <v>43529</v>
      </c>
      <c r="AK564" s="9">
        <v>2</v>
      </c>
      <c r="AL564" s="12">
        <v>43797</v>
      </c>
      <c r="AM564" s="9">
        <v>2</v>
      </c>
      <c r="AN564" s="12">
        <v>43622</v>
      </c>
      <c r="AO564" s="12">
        <v>43797</v>
      </c>
      <c r="AP564" s="12">
        <v>43797</v>
      </c>
      <c r="AQ564" s="9">
        <v>1</v>
      </c>
      <c r="AR564" s="9">
        <f t="shared" si="195"/>
        <v>1</v>
      </c>
      <c r="AS564" s="9">
        <v>1</v>
      </c>
      <c r="AT564" s="9">
        <v>2</v>
      </c>
      <c r="AU564" s="9">
        <v>2</v>
      </c>
      <c r="AV564" s="9">
        <f t="shared" si="196"/>
        <v>1</v>
      </c>
      <c r="AW564" s="12">
        <v>44178</v>
      </c>
      <c r="AX564" s="9">
        <v>7600</v>
      </c>
      <c r="AY564" s="9">
        <v>5600</v>
      </c>
      <c r="AZ564" s="9">
        <v>1200</v>
      </c>
      <c r="BA564" s="9">
        <v>5600</v>
      </c>
      <c r="BB564" s="9">
        <v>1200.0001220703125</v>
      </c>
      <c r="BC564" s="9">
        <v>390000</v>
      </c>
      <c r="BD564" s="9">
        <v>60</v>
      </c>
      <c r="BE564" s="9">
        <v>20</v>
      </c>
      <c r="BF564" s="9"/>
      <c r="BG564" s="9">
        <v>8300</v>
      </c>
      <c r="BH564" s="9">
        <v>5478</v>
      </c>
      <c r="BI564" s="9">
        <v>1162</v>
      </c>
      <c r="BJ564" s="9">
        <v>529000</v>
      </c>
      <c r="BK564" s="9">
        <v>50</v>
      </c>
      <c r="BL564" s="9">
        <v>20</v>
      </c>
      <c r="BM564" s="9"/>
      <c r="BN564" s="9">
        <v>8400</v>
      </c>
      <c r="BO564" s="9">
        <v>5600</v>
      </c>
      <c r="BP564" s="9">
        <v>1500</v>
      </c>
      <c r="BQ564" s="9">
        <v>368000</v>
      </c>
      <c r="BR564" s="9">
        <v>60</v>
      </c>
      <c r="BS564" s="9">
        <v>20</v>
      </c>
      <c r="BT564" s="9"/>
      <c r="BU564" s="9">
        <v>7600</v>
      </c>
      <c r="BV564" s="9">
        <v>5600</v>
      </c>
      <c r="BW564" s="9">
        <v>1100</v>
      </c>
      <c r="BX564" s="9">
        <v>389000</v>
      </c>
      <c r="BY564" s="9">
        <v>50</v>
      </c>
      <c r="BZ564" s="10" t="s">
        <v>302</v>
      </c>
      <c r="CA564" s="9">
        <v>15</v>
      </c>
      <c r="CB564" s="9"/>
      <c r="CC564" s="10">
        <f t="shared" si="197"/>
        <v>4.666666191948833</v>
      </c>
      <c r="CD564" s="10">
        <f t="shared" si="198"/>
        <v>324.9999669392937</v>
      </c>
      <c r="CE564" s="10">
        <f t="shared" si="209"/>
        <v>1819999.814860045</v>
      </c>
      <c r="CF564" s="10">
        <f t="shared" ref="CF564:CF572" si="211">IF(AM564=4, 0,1)</f>
        <v>1</v>
      </c>
      <c r="CG564" s="10">
        <f t="shared" si="192"/>
        <v>1</v>
      </c>
      <c r="CH564" s="10">
        <f t="shared" si="193"/>
        <v>8</v>
      </c>
      <c r="CI564" s="9">
        <f t="shared" si="199"/>
        <v>1</v>
      </c>
      <c r="CJ564" s="10">
        <f t="shared" si="194"/>
        <v>21</v>
      </c>
      <c r="CK564" s="10" t="b">
        <f t="shared" si="200"/>
        <v>1</v>
      </c>
      <c r="CL564" s="10" t="b">
        <f t="shared" si="201"/>
        <v>1</v>
      </c>
      <c r="CM564" s="10" t="b">
        <f t="shared" si="202"/>
        <v>0</v>
      </c>
      <c r="CN564" s="9">
        <f t="shared" si="203"/>
        <v>1</v>
      </c>
      <c r="CO564" s="10">
        <f t="shared" si="210"/>
        <v>8</v>
      </c>
      <c r="CP564" s="10" t="b">
        <f t="shared" si="204"/>
        <v>1</v>
      </c>
      <c r="CQ564" s="10" t="b">
        <f t="shared" si="205"/>
        <v>0</v>
      </c>
      <c r="CR564" s="10" cm="1">
        <f t="array" ref="CR564">_xlfn.IFS(AND($CI564=0, CK564=FALSE), NA(), AND($CI564=1, CK564=FALSE), 0, CK564=TRUE, 1)</f>
        <v>1</v>
      </c>
      <c r="CS564" s="10" cm="1">
        <f t="array" ref="CS564">_xlfn.IFS(AND($CI564=0, CL564=FALSE), NA(), AND($CI564=1, CL564=FALSE), 0, CL564=TRUE, 1)</f>
        <v>1</v>
      </c>
      <c r="CT564" s="10" cm="1">
        <f t="array" ref="CT564">_xlfn.IFS(AND($CI564=0, CM564=FALSE), NA(), AND($CI564=1, CM564=FALSE), 0, CM564=TRUE, 1)</f>
        <v>0</v>
      </c>
      <c r="CU564" s="10" cm="1">
        <f t="array" ref="CU564">_xlfn.IFS(AND($CN564=0, CP564=FALSE), NA(), AND($CN564=1, CP564=FALSE), 0, CP564=TRUE, 1)</f>
        <v>1</v>
      </c>
      <c r="CV564" s="10" cm="1">
        <f t="array" ref="CV564">_xlfn.IFS(AND($CN564=0, CQ564=FALSE), NA(), AND($CN564=1, CQ564=FALSE), 0, CQ564=TRUE, 1)</f>
        <v>0</v>
      </c>
    </row>
    <row r="565" spans="1:100" x14ac:dyDescent="0.25">
      <c r="A565" s="8">
        <v>564</v>
      </c>
      <c r="B565" s="9">
        <v>52</v>
      </c>
      <c r="C565" s="10" t="s">
        <v>7</v>
      </c>
      <c r="D565" s="11" t="s">
        <v>85</v>
      </c>
      <c r="E565" s="12">
        <v>16352</v>
      </c>
      <c r="F565" s="13">
        <v>1</v>
      </c>
      <c r="G565" s="9">
        <v>73.97125244140625</v>
      </c>
      <c r="H565" s="12">
        <v>43370</v>
      </c>
      <c r="I565" s="9">
        <v>0</v>
      </c>
      <c r="J565" s="12"/>
      <c r="K565" s="9">
        <v>1</v>
      </c>
      <c r="L565" s="9">
        <v>1</v>
      </c>
      <c r="M565" s="10" t="s">
        <v>401</v>
      </c>
      <c r="N565" s="9">
        <v>3</v>
      </c>
      <c r="O565" s="10" t="s">
        <v>415</v>
      </c>
      <c r="P565" s="9">
        <v>3</v>
      </c>
      <c r="Q565" s="10" t="s">
        <v>413</v>
      </c>
      <c r="R565" s="12">
        <v>43370</v>
      </c>
      <c r="S565" s="10" t="s">
        <v>145</v>
      </c>
      <c r="T565" s="9"/>
      <c r="U565" s="10" t="s">
        <v>401</v>
      </c>
      <c r="V565" s="10" t="s">
        <v>401</v>
      </c>
      <c r="W565" s="9"/>
      <c r="X565" s="9"/>
      <c r="Y565" s="9">
        <v>2</v>
      </c>
      <c r="Z565" s="19">
        <v>1</v>
      </c>
      <c r="AB565" s="9"/>
      <c r="AC565" s="9"/>
      <c r="AD565" s="9">
        <v>3</v>
      </c>
      <c r="AE565" s="9">
        <v>3</v>
      </c>
      <c r="AF565" s="9">
        <v>2</v>
      </c>
      <c r="AG565" s="9">
        <v>1</v>
      </c>
      <c r="AH565" s="9">
        <v>1</v>
      </c>
      <c r="AI565" s="9">
        <v>0</v>
      </c>
      <c r="AJ565" s="12">
        <v>43538</v>
      </c>
      <c r="AK565" s="9">
        <v>2</v>
      </c>
      <c r="AL565" s="12">
        <v>43950</v>
      </c>
      <c r="AM565" s="9">
        <v>3</v>
      </c>
      <c r="AN565" s="12">
        <v>43642</v>
      </c>
      <c r="AO565" s="12">
        <v>43976</v>
      </c>
      <c r="AP565" s="12">
        <v>43976</v>
      </c>
      <c r="AQ565" s="9">
        <v>1</v>
      </c>
      <c r="AR565" s="9">
        <f t="shared" si="195"/>
        <v>1</v>
      </c>
      <c r="AS565" s="9">
        <v>1</v>
      </c>
      <c r="AT565" s="9">
        <v>2</v>
      </c>
      <c r="AU565" s="9">
        <v>2</v>
      </c>
      <c r="AV565" s="9">
        <f t="shared" si="196"/>
        <v>1</v>
      </c>
      <c r="AW565" s="12">
        <v>43976</v>
      </c>
      <c r="AX565" s="9">
        <v>7960</v>
      </c>
      <c r="AY565" s="9">
        <v>5300</v>
      </c>
      <c r="AZ565" s="9">
        <v>1480</v>
      </c>
      <c r="BA565" s="9">
        <v>5300</v>
      </c>
      <c r="BB565" s="9">
        <v>1480.000244140625</v>
      </c>
      <c r="BC565" s="9">
        <v>482000</v>
      </c>
      <c r="BD565" s="9">
        <v>1070</v>
      </c>
      <c r="BE565" s="9">
        <v>60</v>
      </c>
      <c r="BF565" s="9"/>
      <c r="BG565" s="9">
        <v>7860</v>
      </c>
      <c r="BH565" s="9">
        <v>5480</v>
      </c>
      <c r="BI565" s="9">
        <v>1340</v>
      </c>
      <c r="BJ565" s="9">
        <v>567000</v>
      </c>
      <c r="BK565" s="9">
        <v>920</v>
      </c>
      <c r="BL565" s="9">
        <v>70</v>
      </c>
      <c r="BM565" s="9">
        <v>389</v>
      </c>
      <c r="BN565" s="9">
        <v>8320</v>
      </c>
      <c r="BO565" s="9">
        <v>5910</v>
      </c>
      <c r="BP565" s="9">
        <v>1270</v>
      </c>
      <c r="BQ565" s="9">
        <v>624000</v>
      </c>
      <c r="BR565" s="9">
        <v>950</v>
      </c>
      <c r="BS565" s="9">
        <v>10</v>
      </c>
      <c r="BT565" s="9"/>
      <c r="BU565" s="9">
        <v>7510</v>
      </c>
      <c r="BV565" s="9">
        <v>5240</v>
      </c>
      <c r="BW565" s="9">
        <v>1160</v>
      </c>
      <c r="BX565" s="9">
        <v>651000</v>
      </c>
      <c r="BY565" s="9">
        <v>950</v>
      </c>
      <c r="BZ565" s="10" t="s">
        <v>345</v>
      </c>
      <c r="CA565" s="9">
        <v>9</v>
      </c>
      <c r="CB565" s="9"/>
      <c r="CC565" s="10">
        <f t="shared" si="197"/>
        <v>3.581080490346467</v>
      </c>
      <c r="CD565" s="10">
        <f t="shared" si="198"/>
        <v>325.67562195226361</v>
      </c>
      <c r="CE565" s="10">
        <f t="shared" si="209"/>
        <v>1726080.7963469971</v>
      </c>
      <c r="CF565" s="10">
        <f t="shared" si="211"/>
        <v>1</v>
      </c>
      <c r="CG565" s="10">
        <f t="shared" si="192"/>
        <v>0</v>
      </c>
      <c r="CH565" s="10">
        <f t="shared" si="193"/>
        <v>13</v>
      </c>
      <c r="CI565" s="9">
        <f t="shared" si="199"/>
        <v>1</v>
      </c>
      <c r="CJ565" s="10">
        <f t="shared" si="194"/>
        <v>14</v>
      </c>
      <c r="CK565" s="10" t="b">
        <f t="shared" si="200"/>
        <v>1</v>
      </c>
      <c r="CL565" s="10" t="b">
        <f t="shared" si="201"/>
        <v>0</v>
      </c>
      <c r="CM565" s="10" t="b">
        <f t="shared" si="202"/>
        <v>0</v>
      </c>
      <c r="CN565" s="9">
        <f t="shared" si="203"/>
        <v>1</v>
      </c>
      <c r="CO565" s="10">
        <f t="shared" si="210"/>
        <v>14</v>
      </c>
      <c r="CP565" s="10" t="b">
        <f t="shared" si="204"/>
        <v>1</v>
      </c>
      <c r="CQ565" s="10" t="b">
        <f t="shared" si="205"/>
        <v>1</v>
      </c>
      <c r="CR565" s="10" cm="1">
        <f t="array" ref="CR565">_xlfn.IFS(AND($CI565=0, CK565=FALSE), NA(), AND($CI565=1, CK565=FALSE), 0, CK565=TRUE, 1)</f>
        <v>1</v>
      </c>
      <c r="CS565" s="10" cm="1">
        <f t="array" ref="CS565">_xlfn.IFS(AND($CI565=0, CL565=FALSE), NA(), AND($CI565=1, CL565=FALSE), 0, CL565=TRUE, 1)</f>
        <v>0</v>
      </c>
      <c r="CT565" s="10" cm="1">
        <f t="array" ref="CT565">_xlfn.IFS(AND($CI565=0, CM565=FALSE), NA(), AND($CI565=1, CM565=FALSE), 0, CM565=TRUE, 1)</f>
        <v>0</v>
      </c>
      <c r="CU565" s="10" cm="1">
        <f t="array" ref="CU565">_xlfn.IFS(AND($CN565=0, CP565=FALSE), NA(), AND($CN565=1, CP565=FALSE), 0, CP565=TRUE, 1)</f>
        <v>1</v>
      </c>
      <c r="CV565" s="10" cm="1">
        <f t="array" ref="CV565">_xlfn.IFS(AND($CN565=0, CQ565=FALSE), NA(), AND($CN565=1, CQ565=FALSE), 0, CQ565=TRUE, 1)</f>
        <v>1</v>
      </c>
    </row>
    <row r="566" spans="1:100" ht="15.75" x14ac:dyDescent="0.25">
      <c r="A566" s="8">
        <v>565</v>
      </c>
      <c r="B566" s="9">
        <v>302</v>
      </c>
      <c r="C566" s="10" t="s">
        <v>23</v>
      </c>
      <c r="D566" s="11" t="s">
        <v>260</v>
      </c>
      <c r="E566" s="12">
        <v>20437</v>
      </c>
      <c r="F566" s="13">
        <v>1</v>
      </c>
      <c r="G566" s="9">
        <v>62.798084259033203</v>
      </c>
      <c r="H566" s="12">
        <v>43374</v>
      </c>
      <c r="I566" s="9">
        <v>1</v>
      </c>
      <c r="J566" s="12">
        <v>43374</v>
      </c>
      <c r="K566" s="9">
        <v>0</v>
      </c>
      <c r="L566" s="9">
        <v>1</v>
      </c>
      <c r="M566" s="10" t="s">
        <v>401</v>
      </c>
      <c r="N566" s="9"/>
      <c r="O566" s="10" t="s">
        <v>401</v>
      </c>
      <c r="P566" s="9"/>
      <c r="Q566" s="10" t="s">
        <v>401</v>
      </c>
      <c r="R566" s="12">
        <v>43574</v>
      </c>
      <c r="S566" s="10" t="s">
        <v>145</v>
      </c>
      <c r="T566" s="9"/>
      <c r="U566" s="10" t="s">
        <v>401</v>
      </c>
      <c r="V566" s="10" t="s">
        <v>401</v>
      </c>
      <c r="W566" s="9"/>
      <c r="X566" s="9"/>
      <c r="Y566" s="9">
        <v>2</v>
      </c>
      <c r="Z566" s="14">
        <v>1</v>
      </c>
      <c r="AA566" s="38">
        <v>9.6999999999999993</v>
      </c>
      <c r="AB566" s="39">
        <v>92</v>
      </c>
      <c r="AC566" s="39">
        <v>14</v>
      </c>
      <c r="AD566" s="9">
        <v>3</v>
      </c>
      <c r="AE566" s="9">
        <v>3</v>
      </c>
      <c r="AF566" s="9">
        <v>2</v>
      </c>
      <c r="AG566" s="9">
        <v>1</v>
      </c>
      <c r="AH566" s="9">
        <v>1</v>
      </c>
      <c r="AI566" s="9">
        <v>1</v>
      </c>
      <c r="AJ566" s="12">
        <v>43748</v>
      </c>
      <c r="AK566" s="9">
        <v>2</v>
      </c>
      <c r="AL566" s="12">
        <v>43791</v>
      </c>
      <c r="AM566" s="9">
        <v>4</v>
      </c>
      <c r="AN566" s="12">
        <v>43808</v>
      </c>
      <c r="AO566" s="12">
        <v>43808</v>
      </c>
      <c r="AP566" s="12">
        <v>43808</v>
      </c>
      <c r="AQ566" s="9">
        <v>1</v>
      </c>
      <c r="AR566" s="9">
        <f t="shared" si="195"/>
        <v>1</v>
      </c>
      <c r="AS566" s="9">
        <v>1</v>
      </c>
      <c r="AT566" s="9">
        <v>2</v>
      </c>
      <c r="AU566" s="9">
        <v>2</v>
      </c>
      <c r="AV566" s="9">
        <f t="shared" si="196"/>
        <v>1</v>
      </c>
      <c r="AW566" s="12">
        <v>43841</v>
      </c>
      <c r="AX566" s="9">
        <v>8720</v>
      </c>
      <c r="AY566" s="9">
        <v>6600</v>
      </c>
      <c r="AZ566" s="9">
        <v>1100</v>
      </c>
      <c r="BA566" s="9">
        <v>6600</v>
      </c>
      <c r="BB566" s="9">
        <v>1100.0001220703125</v>
      </c>
      <c r="BC566" s="9">
        <v>275000</v>
      </c>
      <c r="BD566" s="9">
        <v>700</v>
      </c>
      <c r="BE566" s="9">
        <v>100</v>
      </c>
      <c r="BF566" s="9">
        <v>207</v>
      </c>
      <c r="BG566" s="9">
        <v>10960</v>
      </c>
      <c r="BH566" s="9">
        <v>8900</v>
      </c>
      <c r="BI566" s="9">
        <v>1100</v>
      </c>
      <c r="BJ566" s="9">
        <v>293000</v>
      </c>
      <c r="BK566" s="9">
        <v>800</v>
      </c>
      <c r="BL566" s="9">
        <v>100</v>
      </c>
      <c r="BM566" s="9">
        <v>248</v>
      </c>
      <c r="BN566" s="9">
        <v>11260</v>
      </c>
      <c r="BO566" s="9">
        <v>9630</v>
      </c>
      <c r="BP566" s="9">
        <v>860</v>
      </c>
      <c r="BQ566" s="9">
        <v>146000</v>
      </c>
      <c r="BR566" s="9">
        <v>550</v>
      </c>
      <c r="BS566" s="9">
        <v>60</v>
      </c>
      <c r="BT566" s="9">
        <v>243</v>
      </c>
      <c r="BU566" s="9">
        <v>10320</v>
      </c>
      <c r="BV566" s="9">
        <v>8700</v>
      </c>
      <c r="BW566" s="9">
        <v>840</v>
      </c>
      <c r="BX566" s="9">
        <v>194000</v>
      </c>
      <c r="BY566" s="9">
        <v>540</v>
      </c>
      <c r="BZ566" s="10" t="s">
        <v>150</v>
      </c>
      <c r="CA566" s="9">
        <v>6</v>
      </c>
      <c r="CB566" s="9">
        <v>247</v>
      </c>
      <c r="CC566" s="10">
        <f t="shared" si="197"/>
        <v>5.9999993341620055</v>
      </c>
      <c r="CD566" s="10">
        <f t="shared" si="198"/>
        <v>249.99997225675023</v>
      </c>
      <c r="CE566" s="10">
        <f t="shared" si="209"/>
        <v>1649999.8168945515</v>
      </c>
      <c r="CF566" s="10">
        <f t="shared" si="211"/>
        <v>0</v>
      </c>
      <c r="CG566" s="10">
        <f t="shared" si="192"/>
        <v>0</v>
      </c>
      <c r="CH566" s="10">
        <f t="shared" si="193"/>
        <v>1</v>
      </c>
      <c r="CI566" s="9">
        <f t="shared" si="199"/>
        <v>1</v>
      </c>
      <c r="CJ566" s="10">
        <f t="shared" si="194"/>
        <v>3</v>
      </c>
      <c r="CK566" s="10" t="b">
        <f t="shared" si="200"/>
        <v>0</v>
      </c>
      <c r="CL566" s="10" t="b">
        <f t="shared" si="201"/>
        <v>0</v>
      </c>
      <c r="CM566" s="10" t="b">
        <f t="shared" si="202"/>
        <v>0</v>
      </c>
      <c r="CN566" s="9">
        <f t="shared" si="203"/>
        <v>1</v>
      </c>
      <c r="CO566" s="10">
        <f t="shared" si="210"/>
        <v>2</v>
      </c>
      <c r="CP566" s="10" t="b">
        <f t="shared" si="204"/>
        <v>0</v>
      </c>
      <c r="CQ566" s="10" t="b">
        <f t="shared" si="205"/>
        <v>0</v>
      </c>
      <c r="CR566" s="10" cm="1">
        <f t="array" ref="CR566">_xlfn.IFS(AND($CI566=0, CK566=FALSE), NA(), AND($CI566=1, CK566=FALSE), 0, CK566=TRUE, 1)</f>
        <v>0</v>
      </c>
      <c r="CS566" s="10" cm="1">
        <f t="array" ref="CS566">_xlfn.IFS(AND($CI566=0, CL566=FALSE), NA(), AND($CI566=1, CL566=FALSE), 0, CL566=TRUE, 1)</f>
        <v>0</v>
      </c>
      <c r="CT566" s="10" cm="1">
        <f t="array" ref="CT566">_xlfn.IFS(AND($CI566=0, CM566=FALSE), NA(), AND($CI566=1, CM566=FALSE), 0, CM566=TRUE, 1)</f>
        <v>0</v>
      </c>
      <c r="CU566" s="10" cm="1">
        <f t="array" ref="CU566">_xlfn.IFS(AND($CN566=0, CP566=FALSE), NA(), AND($CN566=1, CP566=FALSE), 0, CP566=TRUE, 1)</f>
        <v>0</v>
      </c>
      <c r="CV566" s="10" cm="1">
        <f t="array" ref="CV566">_xlfn.IFS(AND($CN566=0, CQ566=FALSE), NA(), AND($CN566=1, CQ566=FALSE), 0, CQ566=TRUE, 1)</f>
        <v>0</v>
      </c>
    </row>
    <row r="567" spans="1:100" x14ac:dyDescent="0.25">
      <c r="A567" s="8">
        <v>566</v>
      </c>
      <c r="B567" s="9">
        <v>94</v>
      </c>
      <c r="C567" s="10" t="s">
        <v>10</v>
      </c>
      <c r="D567" s="11" t="s">
        <v>121</v>
      </c>
      <c r="E567" s="12">
        <v>26660</v>
      </c>
      <c r="F567" s="13">
        <v>2</v>
      </c>
      <c r="G567" s="9">
        <v>45.806980133056641</v>
      </c>
      <c r="H567" s="12">
        <v>43391</v>
      </c>
      <c r="I567" s="9">
        <v>0</v>
      </c>
      <c r="J567" s="12"/>
      <c r="K567" s="9">
        <v>1</v>
      </c>
      <c r="L567" s="9">
        <v>4</v>
      </c>
      <c r="M567" s="10" t="s">
        <v>405</v>
      </c>
      <c r="N567" s="9">
        <v>2</v>
      </c>
      <c r="O567" s="10" t="s">
        <v>146</v>
      </c>
      <c r="P567" s="9">
        <v>2</v>
      </c>
      <c r="Q567" s="10" t="s">
        <v>146</v>
      </c>
      <c r="R567" s="12">
        <v>43391</v>
      </c>
      <c r="S567" s="10" t="s">
        <v>145</v>
      </c>
      <c r="T567" s="9"/>
      <c r="U567" s="10" t="s">
        <v>401</v>
      </c>
      <c r="V567" s="10" t="s">
        <v>401</v>
      </c>
      <c r="W567" s="9"/>
      <c r="X567" s="9"/>
      <c r="Y567" s="9">
        <v>2</v>
      </c>
      <c r="Z567" s="19">
        <v>1</v>
      </c>
      <c r="AB567" s="9"/>
      <c r="AC567" s="9"/>
      <c r="AD567" s="9">
        <v>2</v>
      </c>
      <c r="AE567" s="9">
        <v>2</v>
      </c>
      <c r="AF567" s="9">
        <v>2</v>
      </c>
      <c r="AG567" s="9">
        <v>0</v>
      </c>
      <c r="AH567" s="9">
        <v>1</v>
      </c>
      <c r="AI567" s="9">
        <v>1</v>
      </c>
      <c r="AJ567" s="12">
        <v>43593</v>
      </c>
      <c r="AK567" s="9">
        <v>2</v>
      </c>
      <c r="AL567" s="12">
        <v>44103</v>
      </c>
      <c r="AM567" s="9">
        <v>2</v>
      </c>
      <c r="AN567" s="12">
        <v>43705</v>
      </c>
      <c r="AO567" s="12">
        <v>44161</v>
      </c>
      <c r="AP567" s="12">
        <v>44286</v>
      </c>
      <c r="AQ567" s="9">
        <v>1</v>
      </c>
      <c r="AR567" s="9">
        <f t="shared" si="195"/>
        <v>1</v>
      </c>
      <c r="AS567" s="9">
        <v>1</v>
      </c>
      <c r="AT567" s="9">
        <v>1</v>
      </c>
      <c r="AU567" s="9">
        <v>2</v>
      </c>
      <c r="AV567" s="9">
        <f t="shared" si="196"/>
        <v>1</v>
      </c>
      <c r="AW567" s="12">
        <v>44301</v>
      </c>
      <c r="AX567" s="9"/>
      <c r="AY567" s="9">
        <v>3000</v>
      </c>
      <c r="AZ567" s="9">
        <v>1000</v>
      </c>
      <c r="BA567" s="9">
        <v>3000</v>
      </c>
      <c r="BB567" s="9">
        <v>1000.0001220703125</v>
      </c>
      <c r="BC567" s="9">
        <v>300000</v>
      </c>
      <c r="BD567" s="9">
        <v>400</v>
      </c>
      <c r="BE567" s="9">
        <v>100</v>
      </c>
      <c r="BF567" s="9">
        <v>230</v>
      </c>
      <c r="BG567" s="9"/>
      <c r="BH567" s="9">
        <v>2200</v>
      </c>
      <c r="BI567" s="9">
        <v>1500</v>
      </c>
      <c r="BJ567" s="9">
        <v>180000</v>
      </c>
      <c r="BK567" s="9">
        <v>400</v>
      </c>
      <c r="BL567" s="9">
        <v>100</v>
      </c>
      <c r="BM567" s="9">
        <v>235</v>
      </c>
      <c r="BN567" s="9"/>
      <c r="BO567" s="9">
        <v>1900</v>
      </c>
      <c r="BP567" s="9">
        <v>1100</v>
      </c>
      <c r="BQ567" s="9">
        <v>200000</v>
      </c>
      <c r="BR567" s="9">
        <v>300</v>
      </c>
      <c r="BS567" s="9">
        <v>100</v>
      </c>
      <c r="BT567" s="9">
        <v>240</v>
      </c>
      <c r="BU567" s="9"/>
      <c r="BV567" s="9">
        <v>2700</v>
      </c>
      <c r="BW567" s="9">
        <v>700</v>
      </c>
      <c r="BX567" s="9">
        <v>169000</v>
      </c>
      <c r="BY567" s="9">
        <v>400</v>
      </c>
      <c r="BZ567" s="10" t="s">
        <v>525</v>
      </c>
      <c r="CA567" s="9">
        <v>100</v>
      </c>
      <c r="CB567" s="9">
        <v>206</v>
      </c>
      <c r="CC567" s="10">
        <f t="shared" si="197"/>
        <v>2.9999996337891073</v>
      </c>
      <c r="CD567" s="10">
        <f t="shared" si="198"/>
        <v>299.99996337891071</v>
      </c>
      <c r="CE567" s="10">
        <f t="shared" si="209"/>
        <v>899999.89013673214</v>
      </c>
      <c r="CF567" s="10">
        <f t="shared" si="211"/>
        <v>1</v>
      </c>
      <c r="CG567" s="10">
        <f t="shared" si="192"/>
        <v>1</v>
      </c>
      <c r="CH567" s="10">
        <f t="shared" si="193"/>
        <v>16</v>
      </c>
      <c r="CI567" s="9">
        <f t="shared" si="199"/>
        <v>1</v>
      </c>
      <c r="CJ567" s="10">
        <f t="shared" si="194"/>
        <v>23</v>
      </c>
      <c r="CK567" s="10" t="b">
        <f t="shared" si="200"/>
        <v>1</v>
      </c>
      <c r="CL567" s="10" t="b">
        <f t="shared" si="201"/>
        <v>1</v>
      </c>
      <c r="CM567" s="10" t="b">
        <f t="shared" si="202"/>
        <v>0</v>
      </c>
      <c r="CN567" s="9">
        <f t="shared" si="203"/>
        <v>1</v>
      </c>
      <c r="CO567" s="10">
        <f t="shared" si="210"/>
        <v>18</v>
      </c>
      <c r="CP567" s="10" t="b">
        <f t="shared" si="204"/>
        <v>1</v>
      </c>
      <c r="CQ567" s="10" t="b">
        <f t="shared" si="205"/>
        <v>1</v>
      </c>
      <c r="CR567" s="10" cm="1">
        <f t="array" ref="CR567">_xlfn.IFS(AND($CI567=0, CK567=FALSE), NA(), AND($CI567=1, CK567=FALSE), 0, CK567=TRUE, 1)</f>
        <v>1</v>
      </c>
      <c r="CS567" s="10" cm="1">
        <f t="array" ref="CS567">_xlfn.IFS(AND($CI567=0, CL567=FALSE), NA(), AND($CI567=1, CL567=FALSE), 0, CL567=TRUE, 1)</f>
        <v>1</v>
      </c>
      <c r="CT567" s="10" cm="1">
        <f t="array" ref="CT567">_xlfn.IFS(AND($CI567=0, CM567=FALSE), NA(), AND($CI567=1, CM567=FALSE), 0, CM567=TRUE, 1)</f>
        <v>0</v>
      </c>
      <c r="CU567" s="10" cm="1">
        <f t="array" ref="CU567">_xlfn.IFS(AND($CN567=0, CP567=FALSE), NA(), AND($CN567=1, CP567=FALSE), 0, CP567=TRUE, 1)</f>
        <v>1</v>
      </c>
      <c r="CV567" s="10" cm="1">
        <f t="array" ref="CV567">_xlfn.IFS(AND($CN567=0, CQ567=FALSE), NA(), AND($CN567=1, CQ567=FALSE), 0, CQ567=TRUE, 1)</f>
        <v>1</v>
      </c>
    </row>
    <row r="568" spans="1:100" ht="15.75" x14ac:dyDescent="0.25">
      <c r="A568" s="8">
        <v>567</v>
      </c>
      <c r="B568" s="9">
        <v>460</v>
      </c>
      <c r="C568" s="10" t="s">
        <v>30</v>
      </c>
      <c r="D568" s="11" t="s">
        <v>351</v>
      </c>
      <c r="E568" s="12">
        <v>20484</v>
      </c>
      <c r="F568" s="13">
        <v>1</v>
      </c>
      <c r="G568" s="9">
        <v>62.751541137695313</v>
      </c>
      <c r="H568" s="12">
        <v>43404</v>
      </c>
      <c r="I568" s="9">
        <v>1</v>
      </c>
      <c r="J568" s="12">
        <v>43404</v>
      </c>
      <c r="K568" s="9">
        <v>0</v>
      </c>
      <c r="L568" s="9">
        <v>1</v>
      </c>
      <c r="M568" s="10" t="s">
        <v>401</v>
      </c>
      <c r="N568" s="9">
        <v>2</v>
      </c>
      <c r="O568" s="10" t="s">
        <v>145</v>
      </c>
      <c r="P568" s="9">
        <v>2</v>
      </c>
      <c r="Q568" s="10" t="s">
        <v>145</v>
      </c>
      <c r="R568" s="12">
        <v>43472</v>
      </c>
      <c r="S568" s="10" t="s">
        <v>145</v>
      </c>
      <c r="T568" s="9"/>
      <c r="U568" s="10" t="s">
        <v>401</v>
      </c>
      <c r="V568" s="10" t="s">
        <v>401</v>
      </c>
      <c r="W568" s="9"/>
      <c r="X568" s="9"/>
      <c r="Y568" s="9">
        <v>2</v>
      </c>
      <c r="Z568" s="14">
        <v>1</v>
      </c>
      <c r="AA568" s="17">
        <v>12.1</v>
      </c>
      <c r="AB568" s="18">
        <v>85</v>
      </c>
      <c r="AC568" s="18">
        <v>13</v>
      </c>
      <c r="AD568" s="9">
        <v>3</v>
      </c>
      <c r="AE568" s="9">
        <v>3</v>
      </c>
      <c r="AF568" s="9">
        <v>2</v>
      </c>
      <c r="AG568" s="9">
        <v>1</v>
      </c>
      <c r="AH568" s="9">
        <v>1</v>
      </c>
      <c r="AI568" s="9">
        <v>1</v>
      </c>
      <c r="AJ568" s="12">
        <v>43603</v>
      </c>
      <c r="AK568" s="9">
        <v>2</v>
      </c>
      <c r="AL568" s="12">
        <v>43630</v>
      </c>
      <c r="AM568" s="9">
        <v>4</v>
      </c>
      <c r="AN568" s="12">
        <v>43654</v>
      </c>
      <c r="AO568" s="12">
        <v>43654</v>
      </c>
      <c r="AP568" s="12">
        <v>43654</v>
      </c>
      <c r="AQ568" s="9">
        <v>1</v>
      </c>
      <c r="AR568" s="9">
        <f t="shared" si="195"/>
        <v>1</v>
      </c>
      <c r="AS568" s="9">
        <v>1</v>
      </c>
      <c r="AT568" s="9">
        <v>2</v>
      </c>
      <c r="AU568" s="9">
        <v>2</v>
      </c>
      <c r="AV568" s="9">
        <f t="shared" si="196"/>
        <v>1</v>
      </c>
      <c r="AW568" s="12">
        <v>43903</v>
      </c>
      <c r="AX568" s="9">
        <v>9500</v>
      </c>
      <c r="AY568" s="9">
        <v>7770</v>
      </c>
      <c r="AZ568" s="9">
        <v>1010</v>
      </c>
      <c r="BA568" s="9">
        <v>7770</v>
      </c>
      <c r="BB568" s="9">
        <v>1009.9999389648438</v>
      </c>
      <c r="BC568" s="9">
        <v>427000</v>
      </c>
      <c r="BD568" s="9">
        <v>1010</v>
      </c>
      <c r="BE568" s="9">
        <v>20</v>
      </c>
      <c r="BF568" s="9">
        <v>611</v>
      </c>
      <c r="BG568" s="9">
        <v>9020</v>
      </c>
      <c r="BH568" s="9">
        <v>7500</v>
      </c>
      <c r="BI568" s="9">
        <v>1050</v>
      </c>
      <c r="BJ568" s="9">
        <v>406000</v>
      </c>
      <c r="BK568" s="9"/>
      <c r="BL568" s="9"/>
      <c r="BM568" s="9">
        <v>568</v>
      </c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10" t="s">
        <v>401</v>
      </c>
      <c r="CA568" s="9"/>
      <c r="CB568" s="9"/>
      <c r="CC568" s="10">
        <f t="shared" si="197"/>
        <v>7.6930697718294212</v>
      </c>
      <c r="CD568" s="10">
        <f t="shared" si="198"/>
        <v>422.77230277621146</v>
      </c>
      <c r="CE568" s="10">
        <f t="shared" si="209"/>
        <v>3284940.7925711628</v>
      </c>
      <c r="CF568" s="10">
        <f t="shared" si="211"/>
        <v>0</v>
      </c>
      <c r="CG568" s="10">
        <f t="shared" si="192"/>
        <v>0</v>
      </c>
      <c r="CH568" s="10">
        <f t="shared" si="193"/>
        <v>1</v>
      </c>
      <c r="CI568" s="9">
        <f t="shared" si="199"/>
        <v>1</v>
      </c>
      <c r="CJ568" s="10">
        <f t="shared" si="194"/>
        <v>10</v>
      </c>
      <c r="CK568" s="10" t="b">
        <f t="shared" si="200"/>
        <v>1</v>
      </c>
      <c r="CL568" s="10" t="b">
        <f t="shared" si="201"/>
        <v>0</v>
      </c>
      <c r="CM568" s="10" t="b">
        <f t="shared" si="202"/>
        <v>0</v>
      </c>
      <c r="CN568" s="9">
        <f t="shared" si="203"/>
        <v>1</v>
      </c>
      <c r="CO568" s="10">
        <f t="shared" si="210"/>
        <v>2</v>
      </c>
      <c r="CP568" s="10" t="b">
        <f t="shared" si="204"/>
        <v>0</v>
      </c>
      <c r="CQ568" s="10" t="b">
        <f t="shared" si="205"/>
        <v>0</v>
      </c>
      <c r="CR568" s="10" cm="1">
        <f t="array" ref="CR568">_xlfn.IFS(AND($CI568=0, CK568=FALSE), NA(), AND($CI568=1, CK568=FALSE), 0, CK568=TRUE, 1)</f>
        <v>1</v>
      </c>
      <c r="CS568" s="10" cm="1">
        <f t="array" ref="CS568">_xlfn.IFS(AND($CI568=0, CL568=FALSE), NA(), AND($CI568=1, CL568=FALSE), 0, CL568=TRUE, 1)</f>
        <v>0</v>
      </c>
      <c r="CT568" s="10" cm="1">
        <f t="array" ref="CT568">_xlfn.IFS(AND($CI568=0, CM568=FALSE), NA(), AND($CI568=1, CM568=FALSE), 0, CM568=TRUE, 1)</f>
        <v>0</v>
      </c>
      <c r="CU568" s="10" cm="1">
        <f t="array" ref="CU568">_xlfn.IFS(AND($CN568=0, CP568=FALSE), NA(), AND($CN568=1, CP568=FALSE), 0, CP568=TRUE, 1)</f>
        <v>0</v>
      </c>
      <c r="CV568" s="10" cm="1">
        <f t="array" ref="CV568">_xlfn.IFS(AND($CN568=0, CQ568=FALSE), NA(), AND($CN568=1, CQ568=FALSE), 0, CQ568=TRUE, 1)</f>
        <v>0</v>
      </c>
    </row>
    <row r="569" spans="1:100" ht="15.75" x14ac:dyDescent="0.25">
      <c r="A569" s="8">
        <v>568</v>
      </c>
      <c r="B569" s="9">
        <v>416</v>
      </c>
      <c r="C569" s="10" t="s">
        <v>29</v>
      </c>
      <c r="D569" s="11" t="s">
        <v>328</v>
      </c>
      <c r="E569" s="12">
        <v>24337</v>
      </c>
      <c r="F569" s="13">
        <v>2</v>
      </c>
      <c r="G569" s="9">
        <v>52.336753845214844</v>
      </c>
      <c r="H569" s="12">
        <v>43453</v>
      </c>
      <c r="I569" s="9">
        <v>1</v>
      </c>
      <c r="J569" s="12">
        <v>43453</v>
      </c>
      <c r="K569" s="9">
        <v>0</v>
      </c>
      <c r="L569" s="9">
        <v>1</v>
      </c>
      <c r="M569" s="10" t="s">
        <v>401</v>
      </c>
      <c r="N569" s="9">
        <v>1</v>
      </c>
      <c r="O569" s="10" t="s">
        <v>401</v>
      </c>
      <c r="P569" s="9">
        <v>1</v>
      </c>
      <c r="Q569" s="10" t="s">
        <v>401</v>
      </c>
      <c r="R569" s="12">
        <v>43543</v>
      </c>
      <c r="S569" s="10" t="s">
        <v>145</v>
      </c>
      <c r="T569" s="9"/>
      <c r="U569" s="10" t="s">
        <v>401</v>
      </c>
      <c r="V569" s="10" t="s">
        <v>401</v>
      </c>
      <c r="W569" s="9"/>
      <c r="X569" s="9"/>
      <c r="Y569" s="9">
        <v>2</v>
      </c>
      <c r="Z569" s="14">
        <v>1</v>
      </c>
      <c r="AA569" s="17">
        <v>9.1</v>
      </c>
      <c r="AB569" s="18">
        <v>99</v>
      </c>
      <c r="AC569" s="18"/>
      <c r="AD569" s="9">
        <v>1</v>
      </c>
      <c r="AE569" s="9">
        <v>1</v>
      </c>
      <c r="AF569" s="9">
        <v>1</v>
      </c>
      <c r="AG569" s="9">
        <v>0</v>
      </c>
      <c r="AH569" s="9">
        <v>1</v>
      </c>
      <c r="AI569" s="9">
        <v>0</v>
      </c>
      <c r="AJ569" s="12">
        <v>43683</v>
      </c>
      <c r="AK569" s="9">
        <v>2</v>
      </c>
      <c r="AL569" s="12">
        <v>44069</v>
      </c>
      <c r="AM569" s="9">
        <v>2</v>
      </c>
      <c r="AN569" s="12">
        <v>43768</v>
      </c>
      <c r="AO569" s="12"/>
      <c r="AP569" s="12"/>
      <c r="AQ569" s="9">
        <v>2</v>
      </c>
      <c r="AR569" s="9">
        <f t="shared" si="195"/>
        <v>0</v>
      </c>
      <c r="AS569" s="9">
        <v>2</v>
      </c>
      <c r="AT569" s="9"/>
      <c r="AU569" s="9">
        <v>1</v>
      </c>
      <c r="AV569" s="9">
        <f t="shared" si="196"/>
        <v>0</v>
      </c>
      <c r="AW569" s="12">
        <v>44926</v>
      </c>
      <c r="AX569" s="9">
        <v>14500</v>
      </c>
      <c r="AY569" s="9">
        <v>8800</v>
      </c>
      <c r="AZ569" s="9">
        <v>3790</v>
      </c>
      <c r="BA569" s="9">
        <v>8800</v>
      </c>
      <c r="BB569" s="9">
        <v>3789.99853515625</v>
      </c>
      <c r="BC569" s="9">
        <v>426000</v>
      </c>
      <c r="BD569" s="9">
        <v>250</v>
      </c>
      <c r="BE569" s="9">
        <v>120</v>
      </c>
      <c r="BF569" s="9"/>
      <c r="BG569" s="9">
        <v>7220</v>
      </c>
      <c r="BH569" s="9">
        <v>5350</v>
      </c>
      <c r="BI569" s="9">
        <v>1126</v>
      </c>
      <c r="BJ569" s="9">
        <v>398000</v>
      </c>
      <c r="BK569" s="9">
        <v>440</v>
      </c>
      <c r="BL569" s="9">
        <v>100</v>
      </c>
      <c r="BM569" s="9"/>
      <c r="BN569" s="9">
        <v>5400</v>
      </c>
      <c r="BO569" s="9">
        <v>2570</v>
      </c>
      <c r="BP569" s="9">
        <v>1180</v>
      </c>
      <c r="BQ569" s="9">
        <v>354000</v>
      </c>
      <c r="BR569" s="9">
        <v>200</v>
      </c>
      <c r="BS569" s="9">
        <v>80</v>
      </c>
      <c r="BT569" s="9"/>
      <c r="BU569" s="9">
        <v>5580</v>
      </c>
      <c r="BV569" s="9"/>
      <c r="BW569" s="9"/>
      <c r="BX569" s="9">
        <v>278000</v>
      </c>
      <c r="BY569" s="9"/>
      <c r="BZ569" s="10" t="s">
        <v>401</v>
      </c>
      <c r="CA569" s="9"/>
      <c r="CB569" s="9"/>
      <c r="CC569" s="10">
        <f t="shared" si="197"/>
        <v>2.3219006335677128</v>
      </c>
      <c r="CD569" s="10">
        <f t="shared" si="198"/>
        <v>112.40109885225519</v>
      </c>
      <c r="CE569" s="10">
        <f t="shared" si="209"/>
        <v>989129.66989984561</v>
      </c>
      <c r="CF569" s="10">
        <f t="shared" si="211"/>
        <v>1</v>
      </c>
      <c r="CG569" s="10">
        <f t="shared" si="192"/>
        <v>1</v>
      </c>
      <c r="CH569" s="10">
        <f t="shared" si="193"/>
        <v>12</v>
      </c>
      <c r="CI569" s="9">
        <f t="shared" si="199"/>
        <v>0</v>
      </c>
      <c r="CJ569" s="10">
        <f t="shared" si="194"/>
        <v>40</v>
      </c>
      <c r="CK569" s="10" t="b">
        <f t="shared" si="200"/>
        <v>1</v>
      </c>
      <c r="CL569" s="10" t="b">
        <f t="shared" si="201"/>
        <v>1</v>
      </c>
      <c r="CM569" s="10" t="b">
        <f t="shared" si="202"/>
        <v>1</v>
      </c>
      <c r="CN569" s="9">
        <f t="shared" si="203"/>
        <v>0</v>
      </c>
      <c r="CO569" s="10">
        <f>CJ569</f>
        <v>40</v>
      </c>
      <c r="CP569" s="10" t="b">
        <f t="shared" si="204"/>
        <v>1</v>
      </c>
      <c r="CQ569" s="10" t="b">
        <f t="shared" si="205"/>
        <v>1</v>
      </c>
      <c r="CR569" s="10" cm="1">
        <f t="array" ref="CR569">_xlfn.IFS(AND($CI569=0, CK569=FALSE), NA(), AND($CI569=1, CK569=FALSE), 0, CK569=TRUE, 1)</f>
        <v>1</v>
      </c>
      <c r="CS569" s="10" cm="1">
        <f t="array" ref="CS569">_xlfn.IFS(AND($CI569=0, CL569=FALSE), NA(), AND($CI569=1, CL569=FALSE), 0, CL569=TRUE, 1)</f>
        <v>1</v>
      </c>
      <c r="CT569" s="10" cm="1">
        <f t="array" ref="CT569">_xlfn.IFS(AND($CI569=0, CM569=FALSE), NA(), AND($CI569=1, CM569=FALSE), 0, CM569=TRUE, 1)</f>
        <v>1</v>
      </c>
      <c r="CU569" s="10" cm="1">
        <f t="array" ref="CU569">_xlfn.IFS(AND($CN569=0, CP569=FALSE), NA(), AND($CN569=1, CP569=FALSE), 0, CP569=TRUE, 1)</f>
        <v>1</v>
      </c>
      <c r="CV569" s="10" cm="1">
        <f t="array" ref="CV569">_xlfn.IFS(AND($CN569=0, CQ569=FALSE), NA(), AND($CN569=1, CQ569=FALSE), 0, CQ569=TRUE, 1)</f>
        <v>1</v>
      </c>
    </row>
    <row r="570" spans="1:100" ht="15.75" x14ac:dyDescent="0.25">
      <c r="A570" s="8">
        <v>569</v>
      </c>
      <c r="B570" s="9">
        <v>246</v>
      </c>
      <c r="C570" s="10" t="s">
        <v>20</v>
      </c>
      <c r="D570" s="11" t="s">
        <v>53</v>
      </c>
      <c r="E570" s="12">
        <v>27709</v>
      </c>
      <c r="F570" s="13">
        <v>1</v>
      </c>
      <c r="G570" s="9">
        <v>43.104721069335938</v>
      </c>
      <c r="H570" s="12">
        <v>43453</v>
      </c>
      <c r="I570" s="9">
        <v>1</v>
      </c>
      <c r="J570" s="12">
        <v>43453</v>
      </c>
      <c r="K570" s="9">
        <v>1</v>
      </c>
      <c r="L570" s="9">
        <v>3</v>
      </c>
      <c r="M570" s="10" t="s">
        <v>401</v>
      </c>
      <c r="N570" s="9">
        <v>2</v>
      </c>
      <c r="O570" s="10" t="s">
        <v>145</v>
      </c>
      <c r="P570" s="9">
        <v>2</v>
      </c>
      <c r="Q570" s="10" t="s">
        <v>145</v>
      </c>
      <c r="R570" s="12">
        <v>43556</v>
      </c>
      <c r="S570" s="10" t="s">
        <v>146</v>
      </c>
      <c r="T570" s="9"/>
      <c r="U570" s="10" t="s">
        <v>401</v>
      </c>
      <c r="V570" s="10" t="s">
        <v>401</v>
      </c>
      <c r="W570" s="9"/>
      <c r="X570" s="9"/>
      <c r="Y570" s="9">
        <v>2</v>
      </c>
      <c r="Z570" s="14">
        <v>2</v>
      </c>
      <c r="AB570" s="9"/>
      <c r="AC570" s="9"/>
      <c r="AD570" s="9">
        <v>2</v>
      </c>
      <c r="AE570" s="9">
        <v>2</v>
      </c>
      <c r="AF570" s="9">
        <v>2</v>
      </c>
      <c r="AG570" s="9">
        <v>1</v>
      </c>
      <c r="AH570" s="9">
        <v>0</v>
      </c>
      <c r="AI570" s="9">
        <v>1</v>
      </c>
      <c r="AJ570" s="12">
        <v>43731</v>
      </c>
      <c r="AK570" s="9">
        <v>2</v>
      </c>
      <c r="AL570" s="12">
        <v>43816</v>
      </c>
      <c r="AM570" s="9">
        <v>4</v>
      </c>
      <c r="AN570" s="12">
        <v>43826</v>
      </c>
      <c r="AO570" s="12">
        <v>43826</v>
      </c>
      <c r="AP570" s="12">
        <v>43826</v>
      </c>
      <c r="AQ570" s="9">
        <v>1</v>
      </c>
      <c r="AR570" s="9">
        <f t="shared" si="195"/>
        <v>1</v>
      </c>
      <c r="AS570" s="9">
        <v>1</v>
      </c>
      <c r="AT570" s="9">
        <v>2</v>
      </c>
      <c r="AU570" s="9">
        <v>2</v>
      </c>
      <c r="AV570" s="9">
        <f t="shared" si="196"/>
        <v>1</v>
      </c>
      <c r="AW570" s="12">
        <v>43847</v>
      </c>
      <c r="AX570" s="9">
        <v>4700</v>
      </c>
      <c r="AY570" s="9">
        <v>3478</v>
      </c>
      <c r="AZ570" s="9"/>
      <c r="BA570" s="9">
        <v>3478</v>
      </c>
      <c r="BB570" s="9">
        <v>881.69232177734375</v>
      </c>
      <c r="BC570" s="9">
        <v>218000</v>
      </c>
      <c r="BD570" s="9"/>
      <c r="BE570" s="9"/>
      <c r="BF570" s="9"/>
      <c r="BG570" s="9">
        <v>6470</v>
      </c>
      <c r="BH570" s="9">
        <v>4917</v>
      </c>
      <c r="BI570" s="9">
        <v>776</v>
      </c>
      <c r="BJ570" s="9">
        <v>335000</v>
      </c>
      <c r="BK570" s="9"/>
      <c r="BL570" s="9"/>
      <c r="BM570" s="9"/>
      <c r="BN570" s="9">
        <v>9330</v>
      </c>
      <c r="BO570" s="9"/>
      <c r="BP570" s="9"/>
      <c r="BQ570" s="9">
        <v>367000</v>
      </c>
      <c r="BR570" s="9"/>
      <c r="BS570" s="9"/>
      <c r="BT570" s="9"/>
      <c r="BU570" s="9">
        <v>9680</v>
      </c>
      <c r="BV570" s="9">
        <v>7356</v>
      </c>
      <c r="BW570" s="9"/>
      <c r="BX570" s="9">
        <v>422000</v>
      </c>
      <c r="BY570" s="9"/>
      <c r="BZ570" s="10" t="s">
        <v>401</v>
      </c>
      <c r="CA570" s="9"/>
      <c r="CB570" s="9"/>
      <c r="CC570" s="10">
        <f t="shared" si="197"/>
        <v>3.9446867281195503</v>
      </c>
      <c r="CD570" s="10">
        <f t="shared" si="198"/>
        <v>247.25178456873547</v>
      </c>
      <c r="CE570" s="10">
        <f t="shared" si="209"/>
        <v>859941.70673006203</v>
      </c>
      <c r="CF570" s="10">
        <f t="shared" si="211"/>
        <v>0</v>
      </c>
      <c r="CG570" s="10">
        <f t="shared" si="192"/>
        <v>0</v>
      </c>
      <c r="CH570" s="10">
        <f t="shared" si="193"/>
        <v>3</v>
      </c>
      <c r="CI570" s="9">
        <f t="shared" si="199"/>
        <v>1</v>
      </c>
      <c r="CJ570" s="10">
        <f t="shared" si="194"/>
        <v>4</v>
      </c>
      <c r="CK570" s="10" t="b">
        <f t="shared" si="200"/>
        <v>0</v>
      </c>
      <c r="CL570" s="10" t="b">
        <f t="shared" si="201"/>
        <v>0</v>
      </c>
      <c r="CM570" s="10" t="b">
        <f t="shared" si="202"/>
        <v>0</v>
      </c>
      <c r="CN570" s="9">
        <f t="shared" si="203"/>
        <v>1</v>
      </c>
      <c r="CO570" s="10">
        <f>(YEAR(AO570)-YEAR(AJ570))*12+MONTH(AO570)-MONTH(AJ570)</f>
        <v>3</v>
      </c>
      <c r="CP570" s="10" t="b">
        <f t="shared" si="204"/>
        <v>1</v>
      </c>
      <c r="CQ570" s="10" t="b">
        <f t="shared" si="205"/>
        <v>0</v>
      </c>
      <c r="CR570" s="10" cm="1">
        <f t="array" ref="CR570">_xlfn.IFS(AND($CI570=0, CK570=FALSE), NA(), AND($CI570=1, CK570=FALSE), 0, CK570=TRUE, 1)</f>
        <v>0</v>
      </c>
      <c r="CS570" s="10" cm="1">
        <f t="array" ref="CS570">_xlfn.IFS(AND($CI570=0, CL570=FALSE), NA(), AND($CI570=1, CL570=FALSE), 0, CL570=TRUE, 1)</f>
        <v>0</v>
      </c>
      <c r="CT570" s="10" cm="1">
        <f t="array" ref="CT570">_xlfn.IFS(AND($CI570=0, CM570=FALSE), NA(), AND($CI570=1, CM570=FALSE), 0, CM570=TRUE, 1)</f>
        <v>0</v>
      </c>
      <c r="CU570" s="10" cm="1">
        <f t="array" ref="CU570">_xlfn.IFS(AND($CN570=0, CP570=FALSE), NA(), AND($CN570=1, CP570=FALSE), 0, CP570=TRUE, 1)</f>
        <v>1</v>
      </c>
      <c r="CV570" s="10" cm="1">
        <f t="array" ref="CV570">_xlfn.IFS(AND($CN570=0, CQ570=FALSE), NA(), AND($CN570=1, CQ570=FALSE), 0, CQ570=TRUE, 1)</f>
        <v>0</v>
      </c>
    </row>
    <row r="571" spans="1:100" ht="15.75" x14ac:dyDescent="0.25">
      <c r="A571" s="8">
        <v>570</v>
      </c>
      <c r="B571" s="9">
        <v>443</v>
      </c>
      <c r="C571" s="10" t="s">
        <v>30</v>
      </c>
      <c r="D571" s="11" t="s">
        <v>347</v>
      </c>
      <c r="E571" s="12">
        <v>15429</v>
      </c>
      <c r="F571" s="13">
        <v>1</v>
      </c>
      <c r="G571" s="9">
        <v>76.731002807617188</v>
      </c>
      <c r="H571" s="12">
        <v>43455</v>
      </c>
      <c r="I571" s="9">
        <v>0</v>
      </c>
      <c r="J571" s="12"/>
      <c r="K571" s="9">
        <v>1</v>
      </c>
      <c r="L571" s="9">
        <v>1</v>
      </c>
      <c r="M571" s="10" t="s">
        <v>401</v>
      </c>
      <c r="N571" s="9">
        <v>3</v>
      </c>
      <c r="O571" s="10" t="s">
        <v>440</v>
      </c>
      <c r="P571" s="9">
        <v>2</v>
      </c>
      <c r="Q571" s="10" t="s">
        <v>412</v>
      </c>
      <c r="R571" s="12">
        <v>43455</v>
      </c>
      <c r="S571" s="10" t="s">
        <v>145</v>
      </c>
      <c r="T571" s="9"/>
      <c r="U571" s="10" t="s">
        <v>401</v>
      </c>
      <c r="V571" s="10" t="s">
        <v>401</v>
      </c>
      <c r="W571" s="9"/>
      <c r="X571" s="9"/>
      <c r="Y571" s="9">
        <v>2</v>
      </c>
      <c r="Z571" s="14">
        <v>1</v>
      </c>
      <c r="AA571" s="17">
        <v>13</v>
      </c>
      <c r="AB571" s="18">
        <v>90</v>
      </c>
      <c r="AC571" s="18">
        <v>9</v>
      </c>
      <c r="AD571" s="9">
        <v>3</v>
      </c>
      <c r="AE571" s="9">
        <v>3</v>
      </c>
      <c r="AF571" s="9">
        <v>2</v>
      </c>
      <c r="AG571" s="9">
        <v>0</v>
      </c>
      <c r="AH571" s="9">
        <v>0</v>
      </c>
      <c r="AI571" s="9">
        <v>1</v>
      </c>
      <c r="AJ571" s="12">
        <v>43558</v>
      </c>
      <c r="AK571" s="9">
        <v>2</v>
      </c>
      <c r="AL571" s="12">
        <v>43558</v>
      </c>
      <c r="AM571" s="9">
        <v>4</v>
      </c>
      <c r="AN571" s="12">
        <v>43584</v>
      </c>
      <c r="AO571" s="12">
        <v>43584</v>
      </c>
      <c r="AP571" s="12">
        <v>43584</v>
      </c>
      <c r="AQ571" s="9">
        <v>1</v>
      </c>
      <c r="AR571" s="9">
        <f t="shared" si="195"/>
        <v>1</v>
      </c>
      <c r="AS571" s="9">
        <v>1</v>
      </c>
      <c r="AT571" s="9">
        <v>2</v>
      </c>
      <c r="AU571" s="9">
        <v>2</v>
      </c>
      <c r="AV571" s="9">
        <f t="shared" si="196"/>
        <v>1</v>
      </c>
      <c r="AW571" s="12">
        <v>43584</v>
      </c>
      <c r="AX571" s="9">
        <v>6000</v>
      </c>
      <c r="AY571" s="9">
        <v>4620</v>
      </c>
      <c r="AZ571" s="9">
        <v>660</v>
      </c>
      <c r="BA571" s="9">
        <v>4620</v>
      </c>
      <c r="BB571" s="9">
        <v>660.00006103515625</v>
      </c>
      <c r="BC571" s="9">
        <v>413000</v>
      </c>
      <c r="BD571" s="9"/>
      <c r="BE571" s="9"/>
      <c r="BF571" s="9">
        <v>267</v>
      </c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10" t="s">
        <v>401</v>
      </c>
      <c r="CA571" s="9"/>
      <c r="CB571" s="9"/>
      <c r="CC571" s="10">
        <f t="shared" si="197"/>
        <v>6.9999993526574933</v>
      </c>
      <c r="CD571" s="10">
        <f t="shared" si="198"/>
        <v>625.75751788907894</v>
      </c>
      <c r="CE571" s="10">
        <f t="shared" si="209"/>
        <v>2890999.7326475447</v>
      </c>
      <c r="CF571" s="10">
        <f t="shared" si="211"/>
        <v>0</v>
      </c>
      <c r="CG571" s="10">
        <f t="shared" si="192"/>
        <v>0</v>
      </c>
      <c r="CH571" s="10">
        <f t="shared" si="193"/>
        <v>0</v>
      </c>
      <c r="CI571" s="9">
        <f t="shared" si="199"/>
        <v>1</v>
      </c>
      <c r="CJ571" s="10">
        <f t="shared" si="194"/>
        <v>0</v>
      </c>
      <c r="CK571" s="10" t="b">
        <f t="shared" si="200"/>
        <v>0</v>
      </c>
      <c r="CL571" s="10" t="b">
        <f t="shared" si="201"/>
        <v>0</v>
      </c>
      <c r="CM571" s="10" t="b">
        <f t="shared" si="202"/>
        <v>0</v>
      </c>
      <c r="CN571" s="9">
        <f t="shared" si="203"/>
        <v>1</v>
      </c>
      <c r="CO571" s="10">
        <f>(YEAR(AO571)-YEAR(AJ571))*12+MONTH(AO571)-MONTH(AJ571)</f>
        <v>0</v>
      </c>
      <c r="CP571" s="10" t="b">
        <f t="shared" si="204"/>
        <v>0</v>
      </c>
      <c r="CQ571" s="10" t="b">
        <f t="shared" si="205"/>
        <v>0</v>
      </c>
      <c r="CR571" s="10" cm="1">
        <f t="array" ref="CR571">_xlfn.IFS(AND($CI571=0, CK571=FALSE), NA(), AND($CI571=1, CK571=FALSE), 0, CK571=TRUE, 1)</f>
        <v>0</v>
      </c>
      <c r="CS571" s="10" cm="1">
        <f t="array" ref="CS571">_xlfn.IFS(AND($CI571=0, CL571=FALSE), NA(), AND($CI571=1, CL571=FALSE), 0, CL571=TRUE, 1)</f>
        <v>0</v>
      </c>
      <c r="CT571" s="10" cm="1">
        <f t="array" ref="CT571">_xlfn.IFS(AND($CI571=0, CM571=FALSE), NA(), AND($CI571=1, CM571=FALSE), 0, CM571=TRUE, 1)</f>
        <v>0</v>
      </c>
      <c r="CU571" s="10" cm="1">
        <f t="array" ref="CU571">_xlfn.IFS(AND($CN571=0, CP571=FALSE), NA(), AND($CN571=1, CP571=FALSE), 0, CP571=TRUE, 1)</f>
        <v>0</v>
      </c>
      <c r="CV571" s="10" cm="1">
        <f t="array" ref="CV571">_xlfn.IFS(AND($CN571=0, CQ571=FALSE), NA(), AND($CN571=1, CQ571=FALSE), 0, CQ571=TRUE, 1)</f>
        <v>0</v>
      </c>
    </row>
    <row r="572" spans="1:100" ht="15.75" x14ac:dyDescent="0.25">
      <c r="A572" s="8">
        <v>571</v>
      </c>
      <c r="B572" s="9">
        <v>286</v>
      </c>
      <c r="C572" s="10" t="s">
        <v>22</v>
      </c>
      <c r="D572" s="11" t="s">
        <v>169</v>
      </c>
      <c r="E572" s="12">
        <v>25065</v>
      </c>
      <c r="F572" s="13">
        <v>1</v>
      </c>
      <c r="G572" s="9">
        <v>50.351814270019531</v>
      </c>
      <c r="H572" s="12">
        <v>43456</v>
      </c>
      <c r="I572" s="9">
        <v>1</v>
      </c>
      <c r="J572" s="12">
        <v>43456</v>
      </c>
      <c r="K572" s="9">
        <v>1</v>
      </c>
      <c r="L572" s="9">
        <v>2</v>
      </c>
      <c r="M572" s="10" t="s">
        <v>401</v>
      </c>
      <c r="N572" s="9">
        <v>3</v>
      </c>
      <c r="O572" s="10" t="s">
        <v>434</v>
      </c>
      <c r="P572" s="9">
        <v>3</v>
      </c>
      <c r="Q572" s="10" t="s">
        <v>419</v>
      </c>
      <c r="R572" s="12">
        <v>43456</v>
      </c>
      <c r="S572" s="10" t="s">
        <v>145</v>
      </c>
      <c r="T572" s="9"/>
      <c r="U572" s="10" t="s">
        <v>401</v>
      </c>
      <c r="V572" s="10" t="s">
        <v>401</v>
      </c>
      <c r="W572" s="9"/>
      <c r="X572" s="9"/>
      <c r="Y572" s="9">
        <v>2</v>
      </c>
      <c r="Z572" s="14">
        <v>1</v>
      </c>
      <c r="AB572" s="9"/>
      <c r="AC572" s="9"/>
      <c r="AD572" s="9">
        <v>3</v>
      </c>
      <c r="AE572" s="9">
        <v>3</v>
      </c>
      <c r="AF572" s="9">
        <v>2</v>
      </c>
      <c r="AG572" s="9">
        <v>0</v>
      </c>
      <c r="AH572" s="9">
        <v>1</v>
      </c>
      <c r="AI572" s="9">
        <v>1</v>
      </c>
      <c r="AJ572" s="12">
        <v>43655</v>
      </c>
      <c r="AK572" s="9">
        <v>2</v>
      </c>
      <c r="AL572" s="12">
        <v>43655</v>
      </c>
      <c r="AM572" s="9">
        <v>4</v>
      </c>
      <c r="AN572" s="12">
        <v>43672</v>
      </c>
      <c r="AO572" s="12">
        <v>43672</v>
      </c>
      <c r="AP572" s="12">
        <v>43672</v>
      </c>
      <c r="AQ572" s="9">
        <v>1</v>
      </c>
      <c r="AR572" s="9">
        <f t="shared" si="195"/>
        <v>1</v>
      </c>
      <c r="AS572" s="9">
        <v>1</v>
      </c>
      <c r="AT572" s="9">
        <v>2</v>
      </c>
      <c r="AU572" s="9">
        <v>2</v>
      </c>
      <c r="AV572" s="9">
        <f t="shared" si="196"/>
        <v>1</v>
      </c>
      <c r="AW572" s="12">
        <v>43672</v>
      </c>
      <c r="AX572" s="9">
        <v>12700</v>
      </c>
      <c r="AY572" s="9">
        <v>9430</v>
      </c>
      <c r="AZ572" s="9">
        <v>1700</v>
      </c>
      <c r="BA572" s="9">
        <v>9430</v>
      </c>
      <c r="BB572" s="9">
        <v>1700.0001220703125</v>
      </c>
      <c r="BC572" s="9">
        <v>107000</v>
      </c>
      <c r="BD572" s="9">
        <v>850</v>
      </c>
      <c r="BE572" s="9">
        <v>150</v>
      </c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10" t="s">
        <v>401</v>
      </c>
      <c r="CA572" s="9"/>
      <c r="CB572" s="9"/>
      <c r="CC572" s="10">
        <f t="shared" si="197"/>
        <v>5.5470584252169672</v>
      </c>
      <c r="CD572" s="10">
        <f t="shared" si="198"/>
        <v>62.941171951030277</v>
      </c>
      <c r="CE572" s="10">
        <f t="shared" si="209"/>
        <v>593535.25149821548</v>
      </c>
      <c r="CF572" s="10">
        <f t="shared" si="211"/>
        <v>0</v>
      </c>
      <c r="CG572" s="10">
        <f t="shared" si="192"/>
        <v>0</v>
      </c>
      <c r="CH572" s="10">
        <f t="shared" si="193"/>
        <v>0</v>
      </c>
      <c r="CI572" s="9">
        <f t="shared" si="199"/>
        <v>1</v>
      </c>
      <c r="CJ572" s="10">
        <f t="shared" si="194"/>
        <v>0</v>
      </c>
      <c r="CK572" s="10" t="b">
        <f t="shared" si="200"/>
        <v>0</v>
      </c>
      <c r="CL572" s="10" t="b">
        <f t="shared" si="201"/>
        <v>0</v>
      </c>
      <c r="CM572" s="10" t="b">
        <f t="shared" si="202"/>
        <v>0</v>
      </c>
      <c r="CN572" s="9">
        <f t="shared" si="203"/>
        <v>1</v>
      </c>
      <c r="CO572" s="10">
        <f>(YEAR(AO572)-YEAR(AJ572))*12+MONTH(AO572)-MONTH(AJ572)</f>
        <v>0</v>
      </c>
      <c r="CP572" s="10" t="b">
        <f t="shared" si="204"/>
        <v>0</v>
      </c>
      <c r="CQ572" s="10" t="b">
        <f t="shared" si="205"/>
        <v>0</v>
      </c>
      <c r="CR572" s="10" cm="1">
        <f t="array" ref="CR572">_xlfn.IFS(AND($CI572=0, CK572=FALSE), NA(), AND($CI572=1, CK572=FALSE), 0, CK572=TRUE, 1)</f>
        <v>0</v>
      </c>
      <c r="CS572" s="10" cm="1">
        <f t="array" ref="CS572">_xlfn.IFS(AND($CI572=0, CL572=FALSE), NA(), AND($CI572=1, CL572=FALSE), 0, CL572=TRUE, 1)</f>
        <v>0</v>
      </c>
      <c r="CT572" s="10" cm="1">
        <f t="array" ref="CT572">_xlfn.IFS(AND($CI572=0, CM572=FALSE), NA(), AND($CI572=1, CM572=FALSE), 0, CM572=TRUE, 1)</f>
        <v>0</v>
      </c>
      <c r="CU572" s="10" cm="1">
        <f t="array" ref="CU572">_xlfn.IFS(AND($CN572=0, CP572=FALSE), NA(), AND($CN572=1, CP572=FALSE), 0, CP572=TRUE, 1)</f>
        <v>0</v>
      </c>
      <c r="CV572" s="10" cm="1">
        <f t="array" ref="CV572">_xlfn.IFS(AND($CN572=0, CQ572=FALSE), NA(), AND($CN572=1, CQ572=FALSE), 0, CQ572=TRUE, 1)</f>
        <v>0</v>
      </c>
    </row>
  </sheetData>
  <autoFilter ref="A1:CV572" xr:uid="{00000000-0001-0000-0000-000000000000}"/>
  <sortState xmlns:xlrd2="http://schemas.microsoft.com/office/spreadsheetml/2017/richdata2" ref="A2:AX572">
    <sortCondition ref="A2:A572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Ferri Sara</cp:lastModifiedBy>
  <dcterms:created xsi:type="dcterms:W3CDTF">2023-09-06T12:42:27Z</dcterms:created>
  <dcterms:modified xsi:type="dcterms:W3CDTF">2026-03-31T14:46:00Z</dcterms:modified>
</cp:coreProperties>
</file>